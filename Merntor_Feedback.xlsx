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tables/table4.xml" ContentType="application/vnd.openxmlformats-officedocument.spreadsheetml.table+xml"/>
  <Override PartName="/xl/comments3.xml" ContentType="application/vnd.openxmlformats-officedocument.spreadsheetml.comments+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adhwanifoundation-my.sharepoint.com/personal/meenakshi_singh_wadhwanifoundation_org/Documents/04. Advisors/2026/Accelerate_Mentor_Feedback/"/>
    </mc:Choice>
  </mc:AlternateContent>
  <xr:revisionPtr revIDLastSave="2206" documentId="120_S{BB6F2964-B804-5057-AC19-E724F8F910CA}" xr6:coauthVersionLast="47" xr6:coauthVersionMax="47" xr10:uidLastSave="{135C2775-B557-4452-A87C-F4F96C8B8A9F}"/>
  <bookViews>
    <workbookView xWindow="-108" yWindow="-108" windowWidth="23256" windowHeight="12456" tabRatio="793" firstSheet="1" activeTab="2" xr2:uid="{0C7AB3DB-C097-4688-A112-7E2072E2109F}"/>
  </bookViews>
  <sheets>
    <sheet name="Venture Feedback Remarks" sheetId="21" state="hidden" r:id="rId1"/>
    <sheet name="Ventures" sheetId="37" r:id="rId2"/>
    <sheet name="Mentor Connects" sheetId="36" r:id="rId3"/>
    <sheet name="Feedback from Founders" sheetId="23" r:id="rId4"/>
    <sheet name="Feedback from Mentor" sheetId="24" r:id="rId5"/>
  </sheets>
  <externalReferences>
    <externalReference r:id="rId6"/>
  </externalReferences>
  <definedNames>
    <definedName name="_xlnm._FilterDatabase" localSheetId="4" hidden="1">'Feedback from Mentor'!$A$1:$AB$1</definedName>
    <definedName name="_xlnm._FilterDatabase" localSheetId="0" hidden="1">'Venture Feedback Remarks'!$A$1:$H$34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00" i="36" l="1"/>
  <c r="AJ300" i="36"/>
  <c r="D300" i="36"/>
  <c r="C300" i="36"/>
  <c r="B300" i="36"/>
  <c r="AK299" i="36"/>
  <c r="AJ299" i="36"/>
  <c r="D299" i="36"/>
  <c r="C299" i="36"/>
  <c r="B299" i="36"/>
  <c r="AK298" i="36"/>
  <c r="AJ298" i="36"/>
  <c r="D298" i="36"/>
  <c r="C298" i="36"/>
  <c r="B298" i="36"/>
  <c r="AK297" i="36"/>
  <c r="AJ297" i="36"/>
  <c r="D297" i="36"/>
  <c r="C297" i="36"/>
  <c r="B297" i="36"/>
  <c r="AK296" i="36"/>
  <c r="AJ296" i="36"/>
  <c r="D296" i="36"/>
  <c r="C296" i="36"/>
  <c r="B296" i="36"/>
  <c r="AK295" i="36"/>
  <c r="AJ295" i="36"/>
  <c r="D295" i="36"/>
  <c r="C295" i="36"/>
  <c r="B295" i="36"/>
  <c r="AK294" i="36"/>
  <c r="AJ294" i="36"/>
  <c r="D294" i="36"/>
  <c r="C294" i="36"/>
  <c r="B294" i="36"/>
  <c r="AK293" i="36"/>
  <c r="AJ293" i="36"/>
  <c r="D293" i="36"/>
  <c r="C293" i="36"/>
  <c r="B293" i="36"/>
  <c r="AK292" i="36"/>
  <c r="AJ292" i="36"/>
  <c r="D292" i="36"/>
  <c r="C292" i="36"/>
  <c r="B292" i="36"/>
  <c r="AK291" i="36"/>
  <c r="AJ291" i="36"/>
  <c r="D291" i="36"/>
  <c r="C291" i="36"/>
  <c r="B291" i="36"/>
  <c r="AK290" i="36"/>
  <c r="AJ290" i="36"/>
  <c r="D290" i="36"/>
  <c r="C290" i="36"/>
  <c r="B290" i="36"/>
  <c r="AK289" i="36"/>
  <c r="AJ289" i="36"/>
  <c r="D289" i="36"/>
  <c r="C289" i="36"/>
  <c r="B289" i="36"/>
  <c r="AK288" i="36"/>
  <c r="AJ288" i="36"/>
  <c r="D288" i="36"/>
  <c r="C288" i="36"/>
  <c r="B288" i="36"/>
  <c r="AK287" i="36"/>
  <c r="AJ287" i="36"/>
  <c r="D287" i="36"/>
  <c r="C287" i="36"/>
  <c r="B287" i="36"/>
  <c r="AK286" i="36"/>
  <c r="AJ286" i="36"/>
  <c r="D286" i="36"/>
  <c r="C286" i="36"/>
  <c r="B286" i="36"/>
  <c r="AK285" i="36"/>
  <c r="AJ285" i="36"/>
  <c r="D285" i="36"/>
  <c r="C285" i="36"/>
  <c r="B285" i="36"/>
  <c r="AK284" i="36"/>
  <c r="AJ284" i="36"/>
  <c r="D284" i="36"/>
  <c r="C284" i="36"/>
  <c r="B284" i="36"/>
  <c r="AK283" i="36"/>
  <c r="AJ283" i="36"/>
  <c r="D283" i="36"/>
  <c r="C283" i="36"/>
  <c r="B283" i="36"/>
  <c r="AK282" i="36"/>
  <c r="AJ282" i="36"/>
  <c r="D282" i="36"/>
  <c r="C282" i="36"/>
  <c r="B282" i="36"/>
  <c r="AK281" i="36"/>
  <c r="AJ281" i="36"/>
  <c r="D281" i="36"/>
  <c r="C281" i="36"/>
  <c r="B281" i="36"/>
  <c r="AK280" i="36"/>
  <c r="AJ280" i="36"/>
  <c r="D280" i="36"/>
  <c r="C280" i="36"/>
  <c r="B280" i="36"/>
  <c r="AK279" i="36"/>
  <c r="AJ279" i="36"/>
  <c r="D279" i="36"/>
  <c r="C279" i="36"/>
  <c r="B279" i="36"/>
  <c r="AK278" i="36"/>
  <c r="AJ278" i="36"/>
  <c r="D278" i="36"/>
  <c r="C278" i="36"/>
  <c r="B278" i="36"/>
  <c r="AK277" i="36"/>
  <c r="AJ277" i="36"/>
  <c r="D277" i="36"/>
  <c r="C277" i="36"/>
  <c r="B277" i="36"/>
  <c r="AK276" i="36"/>
  <c r="AJ276" i="36"/>
  <c r="D276" i="36"/>
  <c r="C276" i="36"/>
  <c r="B276" i="36"/>
  <c r="AK275" i="36"/>
  <c r="AJ275" i="36"/>
  <c r="D275" i="36"/>
  <c r="C275" i="36"/>
  <c r="B275" i="36"/>
  <c r="AK274" i="36"/>
  <c r="AJ274" i="36"/>
  <c r="D274" i="36"/>
  <c r="C274" i="36"/>
  <c r="B274" i="36"/>
  <c r="AK273" i="36"/>
  <c r="AJ273" i="36"/>
  <c r="D273" i="36"/>
  <c r="C273" i="36"/>
  <c r="B273" i="36"/>
  <c r="AK272" i="36"/>
  <c r="AJ272" i="36"/>
  <c r="D272" i="36"/>
  <c r="C272" i="36"/>
  <c r="B272" i="36"/>
  <c r="AK271" i="36"/>
  <c r="AJ271" i="36"/>
  <c r="D271" i="36"/>
  <c r="C271" i="36"/>
  <c r="B271" i="36"/>
  <c r="AK270" i="36"/>
  <c r="AJ270" i="36"/>
  <c r="D270" i="36"/>
  <c r="C270" i="36"/>
  <c r="B270" i="36"/>
  <c r="AK269" i="36"/>
  <c r="AJ269" i="36"/>
  <c r="D269" i="36"/>
  <c r="C269" i="36"/>
  <c r="B269" i="36"/>
  <c r="AK268" i="36"/>
  <c r="AJ268" i="36"/>
  <c r="D268" i="36"/>
  <c r="C268" i="36"/>
  <c r="B268" i="36"/>
  <c r="AK267" i="36"/>
  <c r="AJ267" i="36"/>
  <c r="D267" i="36"/>
  <c r="C267" i="36"/>
  <c r="B267" i="36"/>
  <c r="AK266" i="36"/>
  <c r="AJ266" i="36"/>
  <c r="D266" i="36"/>
  <c r="C266" i="36"/>
  <c r="B266" i="36"/>
  <c r="AK265" i="36"/>
  <c r="AJ265" i="36"/>
  <c r="D265" i="36"/>
  <c r="C265" i="36"/>
  <c r="B265" i="36"/>
  <c r="AK264" i="36"/>
  <c r="AJ264" i="36"/>
  <c r="D264" i="36"/>
  <c r="C264" i="36"/>
  <c r="B264" i="36"/>
  <c r="AK263" i="36"/>
  <c r="AJ263" i="36"/>
  <c r="D263" i="36"/>
  <c r="C263" i="36"/>
  <c r="B263" i="36"/>
  <c r="AK262" i="36"/>
  <c r="AJ262" i="36"/>
  <c r="D262" i="36"/>
  <c r="C262" i="36"/>
  <c r="B262" i="36"/>
  <c r="AK261" i="36"/>
  <c r="AJ261" i="36"/>
  <c r="D261" i="36"/>
  <c r="C261" i="36"/>
  <c r="B261" i="36"/>
  <c r="AK260" i="36"/>
  <c r="AJ260" i="36"/>
  <c r="D260" i="36"/>
  <c r="C260" i="36"/>
  <c r="B260" i="36"/>
  <c r="AK259" i="36"/>
  <c r="AJ259" i="36"/>
  <c r="D259" i="36"/>
  <c r="C259" i="36"/>
  <c r="B259" i="36"/>
  <c r="AK258" i="36"/>
  <c r="AJ258" i="36"/>
  <c r="D258" i="36"/>
  <c r="C258" i="36"/>
  <c r="B258" i="36"/>
  <c r="AK257" i="36"/>
  <c r="AJ257" i="36"/>
  <c r="D257" i="36"/>
  <c r="C257" i="36"/>
  <c r="B257" i="36"/>
  <c r="AK256" i="36"/>
  <c r="AJ256" i="36"/>
  <c r="D256" i="36"/>
  <c r="C256" i="36"/>
  <c r="B256" i="36"/>
  <c r="AK255" i="36"/>
  <c r="AJ255" i="36"/>
  <c r="D255" i="36"/>
  <c r="C255" i="36"/>
  <c r="B255" i="36"/>
  <c r="AK254" i="36"/>
  <c r="AJ254" i="36"/>
  <c r="D254" i="36"/>
  <c r="C254" i="36"/>
  <c r="B254" i="36"/>
  <c r="AK253" i="36"/>
  <c r="AJ253" i="36"/>
  <c r="D253" i="36"/>
  <c r="C253" i="36"/>
  <c r="B253" i="36"/>
  <c r="AK252" i="36"/>
  <c r="AJ252" i="36"/>
  <c r="D252" i="36"/>
  <c r="C252" i="36"/>
  <c r="B252" i="36"/>
  <c r="AK251" i="36"/>
  <c r="AJ251" i="36"/>
  <c r="D251" i="36"/>
  <c r="C251" i="36"/>
  <c r="B251" i="36"/>
  <c r="AK250" i="36"/>
  <c r="AJ250" i="36"/>
  <c r="D250" i="36"/>
  <c r="C250" i="36"/>
  <c r="B250" i="36"/>
  <c r="AK249" i="36"/>
  <c r="AJ249" i="36"/>
  <c r="D249" i="36"/>
  <c r="C249" i="36"/>
  <c r="B249" i="36"/>
  <c r="AK248" i="36"/>
  <c r="AJ248" i="36"/>
  <c r="D248" i="36"/>
  <c r="C248" i="36"/>
  <c r="B248" i="36"/>
  <c r="AK247" i="36"/>
  <c r="AJ247" i="36"/>
  <c r="D247" i="36"/>
  <c r="C247" i="36"/>
  <c r="B247" i="36"/>
  <c r="AK246" i="36"/>
  <c r="AJ246" i="36"/>
  <c r="D246" i="36"/>
  <c r="C246" i="36"/>
  <c r="B246" i="36"/>
  <c r="AK245" i="36"/>
  <c r="AJ245" i="36"/>
  <c r="D245" i="36"/>
  <c r="C245" i="36"/>
  <c r="B245" i="36"/>
  <c r="AK244" i="36"/>
  <c r="AJ244" i="36"/>
  <c r="D244" i="36"/>
  <c r="C244" i="36"/>
  <c r="B244" i="36"/>
  <c r="AK243" i="36"/>
  <c r="AJ243" i="36"/>
  <c r="D243" i="36"/>
  <c r="C243" i="36"/>
  <c r="B243" i="36"/>
  <c r="AK242" i="36"/>
  <c r="AJ242" i="36"/>
  <c r="D242" i="36"/>
  <c r="C242" i="36"/>
  <c r="B242" i="36"/>
  <c r="AK241" i="36"/>
  <c r="AJ241" i="36"/>
  <c r="D241" i="36"/>
  <c r="C241" i="36"/>
  <c r="B241" i="36"/>
  <c r="AK240" i="36"/>
  <c r="AJ240" i="36"/>
  <c r="D240" i="36"/>
  <c r="C240" i="36"/>
  <c r="B240" i="36"/>
  <c r="AK239" i="36"/>
  <c r="AJ239" i="36"/>
  <c r="D239" i="36"/>
  <c r="C239" i="36"/>
  <c r="B239" i="36"/>
  <c r="AK238" i="36"/>
  <c r="AJ238" i="36"/>
  <c r="D238" i="36"/>
  <c r="C238" i="36"/>
  <c r="B238" i="36"/>
  <c r="AK237" i="36"/>
  <c r="AJ237" i="36"/>
  <c r="D237" i="36"/>
  <c r="C237" i="36"/>
  <c r="B237" i="36"/>
  <c r="AK236" i="36"/>
  <c r="AJ236" i="36"/>
  <c r="D236" i="36"/>
  <c r="C236" i="36"/>
  <c r="B236" i="36"/>
  <c r="AK235" i="36"/>
  <c r="AJ235" i="36"/>
  <c r="D235" i="36"/>
  <c r="C235" i="36"/>
  <c r="B235" i="36"/>
  <c r="AK234" i="36"/>
  <c r="AJ234" i="36"/>
  <c r="D234" i="36"/>
  <c r="C234" i="36"/>
  <c r="B234" i="36"/>
  <c r="AK233" i="36"/>
  <c r="AJ233" i="36"/>
  <c r="D233" i="36"/>
  <c r="C233" i="36"/>
  <c r="B233" i="36"/>
  <c r="AK232" i="36"/>
  <c r="AJ232" i="36"/>
  <c r="D232" i="36"/>
  <c r="C232" i="36"/>
  <c r="B232" i="36"/>
  <c r="AK231" i="36"/>
  <c r="AJ231" i="36"/>
  <c r="D231" i="36"/>
  <c r="C231" i="36"/>
  <c r="B231" i="36"/>
  <c r="AK230" i="36"/>
  <c r="AJ230" i="36"/>
  <c r="D230" i="36"/>
  <c r="C230" i="36"/>
  <c r="B230" i="36"/>
  <c r="AK229" i="36"/>
  <c r="AJ229" i="36"/>
  <c r="D229" i="36"/>
  <c r="C229" i="36"/>
  <c r="B229" i="36"/>
  <c r="AK228" i="36"/>
  <c r="AJ228" i="36"/>
  <c r="D228" i="36"/>
  <c r="C228" i="36"/>
  <c r="B228" i="36"/>
  <c r="AK227" i="36"/>
  <c r="AJ227" i="36"/>
  <c r="D227" i="36"/>
  <c r="C227" i="36"/>
  <c r="B227" i="36"/>
  <c r="AK226" i="36"/>
  <c r="AJ226" i="36"/>
  <c r="D226" i="36"/>
  <c r="C226" i="36"/>
  <c r="B226" i="36"/>
  <c r="AK225" i="36"/>
  <c r="AJ225" i="36"/>
  <c r="D225" i="36"/>
  <c r="C225" i="36"/>
  <c r="B225" i="36"/>
  <c r="AK224" i="36"/>
  <c r="AJ224" i="36"/>
  <c r="D224" i="36"/>
  <c r="C224" i="36"/>
  <c r="B224" i="36"/>
  <c r="AK223" i="36"/>
  <c r="AJ223" i="36"/>
  <c r="D223" i="36"/>
  <c r="C223" i="36"/>
  <c r="B223" i="36"/>
  <c r="AK222" i="36"/>
  <c r="AJ222" i="36"/>
  <c r="D222" i="36"/>
  <c r="C222" i="36"/>
  <c r="B222" i="36"/>
  <c r="AK221" i="36"/>
  <c r="AJ221" i="36"/>
  <c r="D221" i="36"/>
  <c r="C221" i="36"/>
  <c r="B221" i="36"/>
  <c r="AK220" i="36"/>
  <c r="AJ220" i="36"/>
  <c r="D220" i="36"/>
  <c r="C220" i="36"/>
  <c r="B220" i="36"/>
  <c r="AK219" i="36"/>
  <c r="AJ219" i="36"/>
  <c r="D219" i="36"/>
  <c r="C219" i="36"/>
  <c r="B219" i="36"/>
  <c r="AK218" i="36"/>
  <c r="AJ218" i="36"/>
  <c r="D218" i="36"/>
  <c r="C218" i="36"/>
  <c r="B218" i="36"/>
  <c r="AK217" i="36"/>
  <c r="AJ217" i="36"/>
  <c r="D217" i="36"/>
  <c r="C217" i="36"/>
  <c r="B217" i="36"/>
  <c r="AK216" i="36"/>
  <c r="AJ216" i="36"/>
  <c r="D216" i="36"/>
  <c r="C216" i="36"/>
  <c r="B216" i="36"/>
  <c r="AK215" i="36"/>
  <c r="AJ215" i="36"/>
  <c r="D215" i="36"/>
  <c r="C215" i="36"/>
  <c r="B215" i="36"/>
  <c r="AK214" i="36"/>
  <c r="AJ214" i="36"/>
  <c r="D214" i="36"/>
  <c r="C214" i="36"/>
  <c r="B214" i="36"/>
  <c r="AK213" i="36"/>
  <c r="AJ213" i="36"/>
  <c r="D213" i="36"/>
  <c r="C213" i="36"/>
  <c r="B213" i="36"/>
  <c r="AK212" i="36"/>
  <c r="AJ212" i="36"/>
  <c r="D212" i="36"/>
  <c r="C212" i="36"/>
  <c r="B212" i="36"/>
  <c r="AK211" i="36"/>
  <c r="AJ211" i="36"/>
  <c r="D211" i="36"/>
  <c r="C211" i="36"/>
  <c r="B211" i="36"/>
  <c r="AK210" i="36"/>
  <c r="AJ210" i="36"/>
  <c r="D210" i="36"/>
  <c r="C210" i="36"/>
  <c r="B210" i="36"/>
  <c r="AK209" i="36"/>
  <c r="AJ209" i="36"/>
  <c r="D209" i="36"/>
  <c r="C209" i="36"/>
  <c r="B209" i="36"/>
  <c r="AK208" i="36"/>
  <c r="AJ208" i="36"/>
  <c r="D208" i="36"/>
  <c r="C208" i="36"/>
  <c r="B208" i="36"/>
  <c r="AK207" i="36"/>
  <c r="AJ207" i="36"/>
  <c r="D207" i="36"/>
  <c r="C207" i="36"/>
  <c r="B207" i="36"/>
  <c r="AK206" i="36"/>
  <c r="AJ206" i="36"/>
  <c r="D206" i="36"/>
  <c r="C206" i="36"/>
  <c r="B206" i="36"/>
  <c r="AK205" i="36"/>
  <c r="AJ205" i="36"/>
  <c r="D205" i="36"/>
  <c r="B205" i="36"/>
  <c r="AK204" i="36"/>
  <c r="AJ204" i="36"/>
  <c r="D204" i="36"/>
  <c r="C204" i="36"/>
  <c r="B204" i="36"/>
  <c r="AK203" i="36"/>
  <c r="AJ203" i="36"/>
  <c r="D203" i="36"/>
  <c r="C203" i="36"/>
  <c r="B203" i="36"/>
  <c r="AK202" i="36"/>
  <c r="AJ202" i="36"/>
  <c r="D202" i="36"/>
  <c r="C202" i="36"/>
  <c r="B202" i="36"/>
  <c r="AK201" i="36"/>
  <c r="AJ201" i="36"/>
  <c r="D201" i="36"/>
  <c r="C201" i="36"/>
  <c r="B201" i="36"/>
  <c r="AK200" i="36"/>
  <c r="AJ200" i="36"/>
  <c r="D200" i="36"/>
  <c r="C200" i="36"/>
  <c r="B200" i="36"/>
  <c r="AK199" i="36"/>
  <c r="AJ199" i="36"/>
  <c r="D199" i="36"/>
  <c r="C199" i="36"/>
  <c r="B199" i="36"/>
  <c r="AK198" i="36"/>
  <c r="AJ198" i="36"/>
  <c r="D198" i="36"/>
  <c r="C198" i="36"/>
  <c r="B198" i="36"/>
  <c r="AK197" i="36"/>
  <c r="AJ197" i="36"/>
  <c r="D197" i="36"/>
  <c r="C197" i="36"/>
  <c r="B197" i="36"/>
  <c r="AK196" i="36"/>
  <c r="AJ196" i="36"/>
  <c r="D196" i="36"/>
  <c r="C196" i="36"/>
  <c r="B196" i="36"/>
  <c r="AK195" i="36"/>
  <c r="AJ195" i="36"/>
  <c r="D195" i="36"/>
  <c r="C195" i="36"/>
  <c r="B195" i="36"/>
  <c r="AK194" i="36"/>
  <c r="AJ194" i="36"/>
  <c r="D194" i="36"/>
  <c r="C194" i="36"/>
  <c r="B194" i="36"/>
  <c r="AK193" i="36"/>
  <c r="AJ193" i="36"/>
  <c r="D193" i="36"/>
  <c r="C193" i="36"/>
  <c r="B193" i="36"/>
  <c r="AK192" i="36"/>
  <c r="AJ192" i="36"/>
  <c r="D192" i="36"/>
  <c r="C192" i="36"/>
  <c r="B192" i="36"/>
  <c r="AK191" i="36"/>
  <c r="AJ191" i="36"/>
  <c r="D191" i="36"/>
  <c r="C191" i="36"/>
  <c r="B191" i="36"/>
  <c r="AK190" i="36"/>
  <c r="AJ190" i="36"/>
  <c r="D190" i="36"/>
  <c r="C190" i="36"/>
  <c r="B190" i="36"/>
  <c r="AK189" i="36"/>
  <c r="AJ189" i="36"/>
  <c r="D189" i="36"/>
  <c r="C189" i="36"/>
  <c r="B189" i="36"/>
  <c r="AK188" i="36"/>
  <c r="AJ188" i="36"/>
  <c r="D188" i="36"/>
  <c r="C188" i="36"/>
  <c r="B188" i="36"/>
  <c r="AK187" i="36"/>
  <c r="AJ187" i="36"/>
  <c r="D187" i="36"/>
  <c r="C187" i="36"/>
  <c r="B187" i="36"/>
  <c r="AK186" i="36"/>
  <c r="AJ186" i="36"/>
  <c r="D186" i="36"/>
  <c r="C186" i="36"/>
  <c r="B186" i="36"/>
  <c r="AK185" i="36"/>
  <c r="AJ185" i="36"/>
  <c r="D185" i="36"/>
  <c r="C185" i="36"/>
  <c r="B185" i="36"/>
  <c r="AK184" i="36"/>
  <c r="AJ184" i="36"/>
  <c r="D184" i="36"/>
  <c r="C184" i="36"/>
  <c r="B184" i="36"/>
  <c r="AK183" i="36"/>
  <c r="AJ183" i="36"/>
  <c r="D183" i="36"/>
  <c r="C183" i="36"/>
  <c r="B183" i="36"/>
  <c r="AK182" i="36"/>
  <c r="AJ182" i="36"/>
  <c r="D182" i="36"/>
  <c r="C182" i="36"/>
  <c r="B182" i="36"/>
  <c r="AK181" i="36"/>
  <c r="AJ181" i="36"/>
  <c r="D181" i="36"/>
  <c r="C181" i="36"/>
  <c r="B181" i="36"/>
  <c r="AK180" i="36"/>
  <c r="AJ180" i="36"/>
  <c r="D180" i="36"/>
  <c r="C180" i="36"/>
  <c r="B180" i="36"/>
  <c r="AK179" i="36"/>
  <c r="AJ179" i="36"/>
  <c r="D179" i="36"/>
  <c r="C179" i="36"/>
  <c r="B179" i="36"/>
  <c r="AK178" i="36"/>
  <c r="AJ178" i="36"/>
  <c r="D178" i="36"/>
  <c r="C178" i="36"/>
  <c r="B178" i="36"/>
  <c r="AK177" i="36"/>
  <c r="AJ177" i="36"/>
  <c r="D177" i="36"/>
  <c r="C177" i="36"/>
  <c r="B177" i="36"/>
  <c r="AK176" i="36"/>
  <c r="AJ176" i="36"/>
  <c r="D176" i="36"/>
  <c r="C176" i="36"/>
  <c r="B176" i="36"/>
  <c r="AK175" i="36"/>
  <c r="AJ175" i="36"/>
  <c r="D175" i="36"/>
  <c r="C175" i="36"/>
  <c r="B175" i="36"/>
  <c r="AK174" i="36"/>
  <c r="AJ174" i="36"/>
  <c r="D174" i="36"/>
  <c r="C174" i="36"/>
  <c r="B174" i="36"/>
  <c r="AK173" i="36"/>
  <c r="AJ173" i="36"/>
  <c r="D173" i="36"/>
  <c r="C173" i="36"/>
  <c r="B173" i="36"/>
  <c r="AK172" i="36"/>
  <c r="AJ172" i="36"/>
  <c r="D172" i="36"/>
  <c r="C172" i="36"/>
  <c r="B172" i="36"/>
  <c r="AK171" i="36"/>
  <c r="AJ171" i="36"/>
  <c r="D171" i="36"/>
  <c r="C171" i="36"/>
  <c r="B171" i="36"/>
  <c r="AK170" i="36"/>
  <c r="AJ170" i="36"/>
  <c r="D170" i="36"/>
  <c r="C170" i="36"/>
  <c r="B170" i="36"/>
  <c r="AK169" i="36"/>
  <c r="AJ169" i="36"/>
  <c r="D169" i="36"/>
  <c r="C169" i="36"/>
  <c r="B169" i="36"/>
  <c r="AK168" i="36"/>
  <c r="AJ168" i="36"/>
  <c r="D168" i="36"/>
  <c r="C168" i="36"/>
  <c r="B168" i="36"/>
  <c r="AK167" i="36"/>
  <c r="AJ167" i="36"/>
  <c r="D167" i="36"/>
  <c r="C167" i="36"/>
  <c r="B167" i="36"/>
  <c r="AK166" i="36"/>
  <c r="AJ166" i="36"/>
  <c r="D166" i="36"/>
  <c r="C166" i="36"/>
  <c r="B166" i="36"/>
  <c r="AK165" i="36"/>
  <c r="AJ165" i="36"/>
  <c r="D165" i="36"/>
  <c r="C165" i="36"/>
  <c r="B165" i="36"/>
  <c r="AK164" i="36"/>
  <c r="AJ164" i="36"/>
  <c r="D164" i="36"/>
  <c r="C164" i="36"/>
  <c r="B164" i="36"/>
  <c r="AK163" i="36"/>
  <c r="AJ163" i="36"/>
  <c r="D163" i="36"/>
  <c r="C163" i="36"/>
  <c r="B163" i="36"/>
  <c r="AK162" i="36"/>
  <c r="AJ162" i="36"/>
  <c r="D162" i="36"/>
  <c r="C162" i="36"/>
  <c r="B162" i="36"/>
  <c r="AK161" i="36"/>
  <c r="AJ161" i="36"/>
  <c r="D161" i="36"/>
  <c r="C161" i="36"/>
  <c r="B161" i="36"/>
  <c r="AK160" i="36"/>
  <c r="AJ160" i="36"/>
  <c r="D160" i="36"/>
  <c r="C160" i="36"/>
  <c r="B160" i="36"/>
  <c r="AK159" i="36"/>
  <c r="AJ159" i="36"/>
  <c r="D159" i="36"/>
  <c r="C159" i="36"/>
  <c r="B159" i="36"/>
  <c r="AK158" i="36"/>
  <c r="AJ158" i="36"/>
  <c r="D158" i="36"/>
  <c r="C158" i="36"/>
  <c r="B158" i="36"/>
  <c r="AK157" i="36"/>
  <c r="AJ157" i="36"/>
  <c r="D157" i="36"/>
  <c r="C157" i="36"/>
  <c r="B157" i="36"/>
  <c r="AK156" i="36"/>
  <c r="AJ156" i="36"/>
  <c r="D156" i="36"/>
  <c r="C156" i="36"/>
  <c r="B156" i="36"/>
  <c r="AK155" i="36"/>
  <c r="AJ155" i="36"/>
  <c r="D155" i="36"/>
  <c r="B155" i="36"/>
  <c r="AK154" i="36"/>
  <c r="AJ154" i="36"/>
  <c r="D154" i="36"/>
  <c r="C154" i="36"/>
  <c r="B154" i="36"/>
  <c r="AK153" i="36"/>
  <c r="AJ153" i="36"/>
  <c r="D153" i="36"/>
  <c r="C153" i="36"/>
  <c r="B153" i="36"/>
  <c r="AK152" i="36"/>
  <c r="AJ152" i="36"/>
  <c r="D152" i="36"/>
  <c r="C152" i="36"/>
  <c r="B152" i="36"/>
  <c r="AK151" i="36"/>
  <c r="AJ151" i="36"/>
  <c r="D151" i="36"/>
  <c r="C151" i="36"/>
  <c r="B151" i="36"/>
  <c r="AK150" i="36"/>
  <c r="AJ150" i="36"/>
  <c r="D150" i="36"/>
  <c r="B150" i="36"/>
  <c r="AK149" i="36"/>
  <c r="AJ149" i="36"/>
  <c r="D149" i="36"/>
  <c r="C149" i="36"/>
  <c r="B149" i="36"/>
  <c r="AK148" i="36"/>
  <c r="AJ148" i="36"/>
  <c r="D148" i="36"/>
  <c r="C148" i="36"/>
  <c r="B148" i="36"/>
  <c r="AK147" i="36"/>
  <c r="AJ147" i="36"/>
  <c r="D147" i="36"/>
  <c r="C147" i="36"/>
  <c r="B147" i="36"/>
  <c r="AK146" i="36"/>
  <c r="AJ146" i="36"/>
  <c r="D146" i="36"/>
  <c r="C146" i="36"/>
  <c r="B146" i="36"/>
  <c r="AK145" i="36"/>
  <c r="AJ145" i="36"/>
  <c r="D145" i="36"/>
  <c r="C145" i="36"/>
  <c r="B145" i="36"/>
  <c r="AK144" i="36"/>
  <c r="AJ144" i="36"/>
  <c r="D144" i="36"/>
  <c r="C144" i="36"/>
  <c r="B144" i="36"/>
  <c r="AK143" i="36"/>
  <c r="AJ143" i="36"/>
  <c r="D143" i="36"/>
  <c r="C143" i="36"/>
  <c r="B143" i="36"/>
  <c r="AK142" i="36"/>
  <c r="AJ142" i="36"/>
  <c r="D142" i="36"/>
  <c r="C142" i="36"/>
  <c r="B142" i="36"/>
  <c r="AK141" i="36"/>
  <c r="AJ141" i="36"/>
  <c r="D141" i="36"/>
  <c r="C141" i="36"/>
  <c r="B141" i="36"/>
  <c r="AK140" i="36"/>
  <c r="AJ140" i="36"/>
  <c r="D140" i="36"/>
  <c r="C140" i="36"/>
  <c r="B140" i="36"/>
  <c r="AK139" i="36"/>
  <c r="AJ139" i="36"/>
  <c r="D139" i="36"/>
  <c r="C139" i="36"/>
  <c r="B139" i="36"/>
  <c r="AK138" i="36"/>
  <c r="AJ138" i="36"/>
  <c r="D138" i="36"/>
  <c r="C138" i="36"/>
  <c r="B138" i="36"/>
  <c r="AK137" i="36"/>
  <c r="AJ137" i="36"/>
  <c r="D137" i="36"/>
  <c r="C137" i="36"/>
  <c r="B137" i="36"/>
  <c r="AK136" i="36"/>
  <c r="AJ136" i="36"/>
  <c r="D136" i="36"/>
  <c r="C136" i="36"/>
  <c r="B136" i="36"/>
  <c r="AK135" i="36"/>
  <c r="AJ135" i="36"/>
  <c r="D135" i="36"/>
  <c r="B135" i="36"/>
  <c r="AK134" i="36"/>
  <c r="AJ134" i="36"/>
  <c r="D134" i="36"/>
  <c r="C134" i="36"/>
  <c r="B134" i="36"/>
  <c r="AK133" i="36"/>
  <c r="AJ133" i="36"/>
  <c r="D133" i="36"/>
  <c r="C133" i="36"/>
  <c r="B133" i="36"/>
  <c r="AK132" i="36"/>
  <c r="AJ132" i="36"/>
  <c r="D132" i="36"/>
  <c r="C132" i="36"/>
  <c r="B132" i="36"/>
  <c r="AK131" i="36"/>
  <c r="AJ131" i="36"/>
  <c r="D131" i="36"/>
  <c r="C131" i="36"/>
  <c r="B131" i="36"/>
  <c r="AK130" i="36"/>
  <c r="AJ130" i="36"/>
  <c r="D130" i="36"/>
  <c r="C130" i="36"/>
  <c r="B130" i="36"/>
  <c r="AK129" i="36"/>
  <c r="AJ129" i="36"/>
  <c r="D129" i="36"/>
  <c r="C129" i="36"/>
  <c r="B129" i="36"/>
  <c r="AK128" i="36"/>
  <c r="AJ128" i="36"/>
  <c r="D128" i="36"/>
  <c r="C128" i="36"/>
  <c r="B128" i="36"/>
  <c r="AK127" i="36"/>
  <c r="AJ127" i="36"/>
  <c r="D127" i="36"/>
  <c r="C127" i="36"/>
  <c r="B127" i="36"/>
  <c r="AK126" i="36"/>
  <c r="AJ126" i="36"/>
  <c r="D126" i="36"/>
  <c r="C126" i="36"/>
  <c r="B126" i="36"/>
  <c r="AK125" i="36"/>
  <c r="AJ125" i="36"/>
  <c r="D125" i="36"/>
  <c r="C125" i="36"/>
  <c r="B125" i="36"/>
  <c r="AK124" i="36"/>
  <c r="AJ124" i="36"/>
  <c r="D124" i="36"/>
  <c r="C124" i="36"/>
  <c r="B124" i="36"/>
  <c r="AK123" i="36"/>
  <c r="AJ123" i="36"/>
  <c r="D123" i="36"/>
  <c r="C123" i="36"/>
  <c r="B123" i="36"/>
  <c r="AK122" i="36"/>
  <c r="AJ122" i="36"/>
  <c r="D122" i="36"/>
  <c r="C122" i="36"/>
  <c r="B122" i="36"/>
  <c r="AK121" i="36"/>
  <c r="AJ121" i="36"/>
  <c r="D121" i="36"/>
  <c r="C121" i="36"/>
  <c r="B121" i="36"/>
  <c r="AK120" i="36"/>
  <c r="AJ120" i="36"/>
  <c r="D120" i="36"/>
  <c r="C120" i="36"/>
  <c r="B120" i="36"/>
  <c r="AK119" i="36"/>
  <c r="AJ119" i="36"/>
  <c r="D119" i="36"/>
  <c r="C119" i="36"/>
  <c r="B119" i="36"/>
  <c r="AK118" i="36"/>
  <c r="AJ118" i="36"/>
  <c r="D118" i="36"/>
  <c r="C118" i="36"/>
  <c r="B118" i="36"/>
  <c r="AK117" i="36"/>
  <c r="AJ117" i="36"/>
  <c r="D117" i="36"/>
  <c r="C117" i="36"/>
  <c r="B117" i="36"/>
  <c r="AK116" i="36"/>
  <c r="AJ116" i="36"/>
  <c r="D116" i="36"/>
  <c r="C116" i="36"/>
  <c r="B116" i="36"/>
  <c r="AK115" i="36"/>
  <c r="AJ115" i="36"/>
  <c r="D115" i="36"/>
  <c r="C115" i="36"/>
  <c r="B115" i="36"/>
  <c r="AK114" i="36"/>
  <c r="AJ114" i="36"/>
  <c r="D114" i="36"/>
  <c r="C114" i="36"/>
  <c r="B114" i="36"/>
  <c r="AK113" i="36"/>
  <c r="AJ113" i="36"/>
  <c r="D113" i="36"/>
  <c r="C113" i="36"/>
  <c r="B113" i="36"/>
  <c r="AK112" i="36"/>
  <c r="AJ112" i="36"/>
  <c r="D112" i="36"/>
  <c r="C112" i="36"/>
  <c r="B112" i="36"/>
  <c r="AK111" i="36"/>
  <c r="AJ111" i="36"/>
  <c r="D111" i="36"/>
  <c r="C111" i="36"/>
  <c r="B111" i="36"/>
  <c r="AK110" i="36"/>
  <c r="AJ110" i="36"/>
  <c r="D110" i="36"/>
  <c r="C110" i="36"/>
  <c r="B110" i="36"/>
  <c r="AK109" i="36"/>
  <c r="AJ109" i="36"/>
  <c r="D109" i="36"/>
  <c r="C109" i="36"/>
  <c r="B109" i="36"/>
  <c r="AK108" i="36"/>
  <c r="AJ108" i="36"/>
  <c r="D108" i="36"/>
  <c r="C108" i="36"/>
  <c r="B108" i="36"/>
  <c r="AK107" i="36"/>
  <c r="AJ107" i="36"/>
  <c r="D107" i="36"/>
  <c r="C107" i="36"/>
  <c r="B107" i="36"/>
  <c r="AK106" i="36"/>
  <c r="AJ106" i="36"/>
  <c r="D106" i="36"/>
  <c r="C106" i="36"/>
  <c r="B106" i="36"/>
  <c r="AK105" i="36"/>
  <c r="AJ105" i="36"/>
  <c r="D105" i="36"/>
  <c r="C105" i="36"/>
  <c r="B105" i="36"/>
  <c r="AK104" i="36"/>
  <c r="AJ104" i="36"/>
  <c r="D104" i="36"/>
  <c r="C104" i="36"/>
  <c r="B104" i="36"/>
  <c r="AK103" i="36"/>
  <c r="AJ103" i="36"/>
  <c r="D103" i="36"/>
  <c r="C103" i="36"/>
  <c r="B103" i="36"/>
  <c r="AK102" i="36"/>
  <c r="AJ102" i="36"/>
  <c r="D102" i="36"/>
  <c r="C102" i="36"/>
  <c r="B102" i="36"/>
  <c r="AK101" i="36"/>
  <c r="AJ101" i="36"/>
  <c r="D101" i="36"/>
  <c r="C101" i="36"/>
  <c r="B101" i="36"/>
  <c r="AK100" i="36"/>
  <c r="AJ100" i="36"/>
  <c r="D100" i="36"/>
  <c r="C100" i="36"/>
  <c r="B100" i="36"/>
  <c r="AK99" i="36"/>
  <c r="AJ99" i="36"/>
  <c r="D99" i="36"/>
  <c r="C99" i="36"/>
  <c r="B99" i="36"/>
  <c r="AK98" i="36"/>
  <c r="AJ98" i="36"/>
  <c r="D98" i="36"/>
  <c r="C98" i="36"/>
  <c r="B98" i="36"/>
  <c r="AK97" i="36"/>
  <c r="AJ97" i="36"/>
  <c r="D97" i="36"/>
  <c r="C97" i="36"/>
  <c r="B97" i="36"/>
  <c r="AK96" i="36"/>
  <c r="AJ96" i="36"/>
  <c r="D96" i="36"/>
  <c r="C96" i="36"/>
  <c r="B96" i="36"/>
  <c r="AK95" i="36"/>
  <c r="AJ95" i="36"/>
  <c r="D95" i="36"/>
  <c r="C95" i="36"/>
  <c r="B95" i="36"/>
  <c r="AK94" i="36"/>
  <c r="AJ94" i="36"/>
  <c r="D94" i="36"/>
  <c r="C94" i="36"/>
  <c r="B94" i="36"/>
  <c r="AK93" i="36"/>
  <c r="AJ93" i="36"/>
  <c r="D93" i="36"/>
  <c r="C93" i="36"/>
  <c r="B93" i="36"/>
  <c r="AK92" i="36"/>
  <c r="AJ92" i="36"/>
  <c r="D92" i="36"/>
  <c r="C92" i="36"/>
  <c r="B92" i="36"/>
  <c r="AK91" i="36"/>
  <c r="AJ91" i="36"/>
  <c r="D91" i="36"/>
  <c r="C91" i="36"/>
  <c r="B91" i="36"/>
  <c r="AK90" i="36"/>
  <c r="AJ90" i="36"/>
  <c r="D90" i="36"/>
  <c r="C90" i="36"/>
  <c r="B90" i="36"/>
  <c r="AK89" i="36"/>
  <c r="AJ89" i="36"/>
  <c r="D89" i="36"/>
  <c r="C89" i="36"/>
  <c r="B89" i="36"/>
  <c r="AK88" i="36"/>
  <c r="AJ88" i="36"/>
  <c r="D88" i="36"/>
  <c r="C88" i="36"/>
  <c r="B88" i="36"/>
  <c r="AK87" i="36"/>
  <c r="AJ87" i="36"/>
  <c r="D87" i="36"/>
  <c r="C87" i="36"/>
  <c r="B87" i="36"/>
  <c r="AK86" i="36"/>
  <c r="AJ86" i="36"/>
  <c r="D86" i="36"/>
  <c r="C86" i="36"/>
  <c r="B86" i="36"/>
  <c r="AK85" i="36"/>
  <c r="AJ85" i="36"/>
  <c r="D85" i="36"/>
  <c r="C85" i="36"/>
  <c r="B85" i="36"/>
  <c r="AK84" i="36"/>
  <c r="AJ84" i="36"/>
  <c r="D84" i="36"/>
  <c r="C84" i="36"/>
  <c r="B84" i="36"/>
  <c r="AK83" i="36"/>
  <c r="AJ83" i="36"/>
  <c r="D83" i="36"/>
  <c r="C83" i="36"/>
  <c r="B83" i="36"/>
  <c r="AK82" i="36"/>
  <c r="AJ82" i="36"/>
  <c r="D82" i="36"/>
  <c r="C82" i="36"/>
  <c r="B82" i="36"/>
  <c r="AK81" i="36"/>
  <c r="AJ81" i="36"/>
  <c r="D81" i="36"/>
  <c r="C81" i="36"/>
  <c r="B81" i="36"/>
  <c r="AK80" i="36"/>
  <c r="AJ80" i="36"/>
  <c r="D80" i="36"/>
  <c r="C80" i="36"/>
  <c r="B80" i="36"/>
  <c r="AK79" i="36"/>
  <c r="AJ79" i="36"/>
  <c r="D79" i="36"/>
  <c r="C79" i="36"/>
  <c r="B79" i="36"/>
  <c r="AK78" i="36"/>
  <c r="AJ78" i="36"/>
  <c r="D78" i="36"/>
  <c r="C78" i="36"/>
  <c r="B78" i="36"/>
  <c r="AK77" i="36"/>
  <c r="AJ77" i="36"/>
  <c r="D77" i="36"/>
  <c r="C77" i="36"/>
  <c r="B77" i="36"/>
  <c r="AK76" i="36"/>
  <c r="AJ76" i="36"/>
  <c r="D76" i="36"/>
  <c r="C76" i="36"/>
  <c r="B76" i="36"/>
  <c r="AK75" i="36"/>
  <c r="AJ75" i="36"/>
  <c r="D75" i="36"/>
  <c r="C75" i="36"/>
  <c r="B75" i="36"/>
  <c r="AK74" i="36"/>
  <c r="AJ74" i="36"/>
  <c r="D74" i="36"/>
  <c r="C74" i="36"/>
  <c r="B74" i="36"/>
  <c r="AK73" i="36"/>
  <c r="AJ73" i="36"/>
  <c r="D73" i="36"/>
  <c r="C73" i="36"/>
  <c r="B73" i="36"/>
  <c r="AK72" i="36"/>
  <c r="AJ72" i="36"/>
  <c r="D72" i="36"/>
  <c r="C72" i="36"/>
  <c r="B72" i="36"/>
  <c r="AK71" i="36"/>
  <c r="AJ71" i="36"/>
  <c r="D71" i="36"/>
  <c r="C71" i="36"/>
  <c r="B71" i="36"/>
  <c r="AK70" i="36"/>
  <c r="AJ70" i="36"/>
  <c r="D70" i="36"/>
  <c r="C70" i="36"/>
  <c r="B70" i="36"/>
  <c r="AK69" i="36"/>
  <c r="AJ69" i="36"/>
  <c r="D69" i="36"/>
  <c r="C69" i="36"/>
  <c r="B69" i="36"/>
  <c r="AK68" i="36"/>
  <c r="AJ68" i="36"/>
  <c r="D68" i="36"/>
  <c r="C68" i="36"/>
  <c r="B68" i="36"/>
  <c r="AK67" i="36"/>
  <c r="AJ67" i="36"/>
  <c r="D67" i="36"/>
  <c r="C67" i="36"/>
  <c r="B67" i="36"/>
  <c r="AK66" i="36"/>
  <c r="AJ66" i="36"/>
  <c r="D66" i="36"/>
  <c r="C66" i="36"/>
  <c r="B66" i="36"/>
  <c r="AK65" i="36"/>
  <c r="AJ65" i="36"/>
  <c r="D65" i="36"/>
  <c r="C65" i="36"/>
  <c r="B65" i="36"/>
  <c r="AK64" i="36"/>
  <c r="AJ64" i="36"/>
  <c r="D64" i="36"/>
  <c r="C64" i="36"/>
  <c r="B64" i="36"/>
  <c r="AK63" i="36"/>
  <c r="AJ63" i="36"/>
  <c r="D63" i="36"/>
  <c r="C63" i="36"/>
  <c r="B63" i="36"/>
  <c r="AK62" i="36"/>
  <c r="AJ62" i="36"/>
  <c r="D62" i="36"/>
  <c r="C62" i="36"/>
  <c r="B62" i="36"/>
  <c r="AK61" i="36"/>
  <c r="AJ61" i="36"/>
  <c r="D61" i="36"/>
  <c r="C61" i="36"/>
  <c r="B61" i="36"/>
  <c r="AK60" i="36"/>
  <c r="AJ60" i="36"/>
  <c r="D60" i="36"/>
  <c r="C60" i="36"/>
  <c r="B60" i="36"/>
  <c r="AK59" i="36"/>
  <c r="AJ59" i="36"/>
  <c r="D59" i="36"/>
  <c r="C59" i="36"/>
  <c r="B59" i="36"/>
  <c r="AK58" i="36"/>
  <c r="AJ58" i="36"/>
  <c r="D58" i="36"/>
  <c r="C58" i="36"/>
  <c r="B58" i="36"/>
  <c r="AK57" i="36"/>
  <c r="AJ57" i="36"/>
  <c r="D57" i="36"/>
  <c r="C57" i="36"/>
  <c r="B57" i="36"/>
  <c r="AK56" i="36"/>
  <c r="AJ56" i="36"/>
  <c r="D56" i="36"/>
  <c r="C56" i="36"/>
  <c r="B56" i="36"/>
  <c r="AK55" i="36"/>
  <c r="AJ55" i="36"/>
  <c r="D55" i="36"/>
  <c r="C55" i="36"/>
  <c r="B55" i="36"/>
  <c r="AK54" i="36"/>
  <c r="AJ54" i="36"/>
  <c r="D54" i="36"/>
  <c r="C54" i="36"/>
  <c r="B54" i="36"/>
  <c r="AK53" i="36"/>
  <c r="AJ53" i="36"/>
  <c r="D53" i="36"/>
  <c r="C53" i="36"/>
  <c r="B53" i="36"/>
  <c r="AK52" i="36"/>
  <c r="AJ52" i="36"/>
  <c r="D52" i="36"/>
  <c r="C52" i="36"/>
  <c r="B52" i="36"/>
  <c r="AK51" i="36"/>
  <c r="AJ51" i="36"/>
  <c r="D51" i="36"/>
  <c r="C51" i="36"/>
  <c r="B51" i="36"/>
  <c r="AK50" i="36"/>
  <c r="AJ50" i="36"/>
  <c r="D50" i="36"/>
  <c r="C50" i="36"/>
  <c r="B50" i="36"/>
  <c r="AK49" i="36"/>
  <c r="AJ49" i="36"/>
  <c r="D49" i="36"/>
  <c r="C49" i="36"/>
  <c r="B49" i="36"/>
  <c r="AK48" i="36"/>
  <c r="AJ48" i="36"/>
  <c r="D48" i="36"/>
  <c r="C48" i="36"/>
  <c r="B48" i="36"/>
  <c r="AK47" i="36"/>
  <c r="AJ47" i="36"/>
  <c r="D47" i="36"/>
  <c r="C47" i="36"/>
  <c r="B47" i="36"/>
  <c r="AK46" i="36"/>
  <c r="AJ46" i="36"/>
  <c r="D46" i="36"/>
  <c r="C46" i="36"/>
  <c r="B46" i="36"/>
  <c r="AK45" i="36"/>
  <c r="AJ45" i="36"/>
  <c r="D45" i="36"/>
  <c r="C45" i="36"/>
  <c r="B45" i="36"/>
  <c r="AK44" i="36"/>
  <c r="AJ44" i="36"/>
  <c r="D44" i="36"/>
  <c r="C44" i="36"/>
  <c r="B44" i="36"/>
  <c r="AK43" i="36"/>
  <c r="AJ43" i="36"/>
  <c r="D43" i="36"/>
  <c r="C43" i="36"/>
  <c r="B43" i="36"/>
  <c r="AK42" i="36"/>
  <c r="AJ42" i="36"/>
  <c r="D42" i="36"/>
  <c r="C42" i="36"/>
  <c r="B42" i="36"/>
  <c r="AK41" i="36"/>
  <c r="AJ41" i="36"/>
  <c r="D41" i="36"/>
  <c r="C41" i="36"/>
  <c r="B41" i="36"/>
  <c r="AK40" i="36"/>
  <c r="AJ40" i="36"/>
  <c r="D40" i="36"/>
  <c r="C40" i="36"/>
  <c r="B40" i="36"/>
  <c r="AK39" i="36"/>
  <c r="AJ39" i="36"/>
  <c r="D39" i="36"/>
  <c r="C39" i="36"/>
  <c r="B39" i="36"/>
  <c r="AK38" i="36"/>
  <c r="AJ38" i="36"/>
  <c r="D38" i="36"/>
  <c r="C38" i="36"/>
  <c r="B38" i="36"/>
  <c r="AK37" i="36"/>
  <c r="AJ37" i="36"/>
  <c r="D37" i="36"/>
  <c r="C37" i="36"/>
  <c r="B37" i="36"/>
  <c r="AK36" i="36"/>
  <c r="AJ36" i="36"/>
  <c r="D36" i="36"/>
  <c r="C36" i="36"/>
  <c r="B36" i="36"/>
  <c r="AK35" i="36"/>
  <c r="AJ35" i="36"/>
  <c r="D35" i="36"/>
  <c r="C35" i="36"/>
  <c r="B35" i="36"/>
  <c r="AK34" i="36"/>
  <c r="AJ34" i="36"/>
  <c r="D34" i="36"/>
  <c r="C34" i="36"/>
  <c r="B34" i="36"/>
  <c r="AK33" i="36"/>
  <c r="AJ33" i="36"/>
  <c r="D33" i="36"/>
  <c r="C33" i="36"/>
  <c r="B33" i="36"/>
  <c r="AK32" i="36"/>
  <c r="AJ32" i="36"/>
  <c r="D32" i="36"/>
  <c r="C32" i="36"/>
  <c r="B32" i="36"/>
  <c r="AK31" i="36"/>
  <c r="AJ31" i="36"/>
  <c r="D31" i="36"/>
  <c r="C31" i="36"/>
  <c r="B31" i="36"/>
  <c r="AK30" i="36"/>
  <c r="AJ30" i="36"/>
  <c r="D30" i="36"/>
  <c r="C30" i="36"/>
  <c r="B30" i="36"/>
  <c r="AK29" i="36"/>
  <c r="AJ29" i="36"/>
  <c r="D29" i="36"/>
  <c r="C29" i="36"/>
  <c r="B29" i="36"/>
  <c r="AK28" i="36"/>
  <c r="AJ28" i="36"/>
  <c r="D28" i="36"/>
  <c r="C28" i="36"/>
  <c r="B28" i="36"/>
  <c r="AK27" i="36"/>
  <c r="AJ27" i="36"/>
  <c r="D27" i="36"/>
  <c r="C27" i="36"/>
  <c r="B27" i="36"/>
  <c r="AK26" i="36"/>
  <c r="AJ26" i="36"/>
  <c r="D26" i="36"/>
  <c r="C26" i="36"/>
  <c r="B26" i="36"/>
  <c r="AK25" i="36"/>
  <c r="AJ25" i="36"/>
  <c r="D25" i="36"/>
  <c r="C25" i="36"/>
  <c r="B25" i="36"/>
  <c r="AK24" i="36"/>
  <c r="AJ24" i="36"/>
  <c r="D24" i="36"/>
  <c r="C24" i="36"/>
  <c r="B24" i="36"/>
  <c r="AK23" i="36"/>
  <c r="AJ23" i="36"/>
  <c r="D23" i="36"/>
  <c r="C23" i="36"/>
  <c r="B23" i="36"/>
  <c r="AK22" i="36"/>
  <c r="AJ22" i="36"/>
  <c r="D22" i="36"/>
  <c r="C22" i="36"/>
  <c r="B22" i="36"/>
  <c r="AK21" i="36"/>
  <c r="AJ21" i="36"/>
  <c r="D21" i="36"/>
  <c r="C21" i="36"/>
  <c r="B21" i="36"/>
  <c r="AK20" i="36"/>
  <c r="AJ20" i="36"/>
  <c r="D20" i="36"/>
  <c r="C20" i="36"/>
  <c r="B20" i="36"/>
  <c r="AK19" i="36"/>
  <c r="AJ19" i="36"/>
  <c r="D19" i="36"/>
  <c r="C19" i="36"/>
  <c r="B19" i="36"/>
  <c r="AK18" i="36"/>
  <c r="AJ18" i="36"/>
  <c r="D18" i="36"/>
  <c r="C18" i="36"/>
  <c r="B18" i="36"/>
  <c r="AK17" i="36"/>
  <c r="AJ17" i="36"/>
  <c r="D17" i="36"/>
  <c r="C17" i="36"/>
  <c r="B17" i="36"/>
  <c r="AK16" i="36"/>
  <c r="AJ16" i="36"/>
  <c r="D16" i="36"/>
  <c r="C16" i="36"/>
  <c r="B16" i="36"/>
  <c r="AK15" i="36"/>
  <c r="AJ15" i="36"/>
  <c r="D15" i="36"/>
  <c r="C15" i="36"/>
  <c r="B15" i="36"/>
  <c r="AK14" i="36"/>
  <c r="AJ14" i="36"/>
  <c r="D14" i="36"/>
  <c r="C14" i="36"/>
  <c r="B14" i="36"/>
  <c r="AK13" i="36"/>
  <c r="AJ13" i="36"/>
  <c r="D13" i="36"/>
  <c r="C13" i="36"/>
  <c r="B13" i="36"/>
  <c r="AK12" i="36"/>
  <c r="AJ12" i="36"/>
  <c r="D12" i="36"/>
  <c r="C12" i="36"/>
  <c r="B12" i="36"/>
  <c r="AK11" i="36"/>
  <c r="AJ11" i="36"/>
  <c r="D11" i="36"/>
  <c r="C11" i="36"/>
  <c r="B11" i="36"/>
  <c r="AK10" i="36"/>
  <c r="AJ10" i="36"/>
  <c r="D10" i="36"/>
  <c r="C10" i="36"/>
  <c r="B10" i="36"/>
  <c r="AK9" i="36"/>
  <c r="AJ9" i="36"/>
  <c r="D9" i="36"/>
  <c r="C9" i="36"/>
  <c r="B9" i="36"/>
  <c r="AK8" i="36"/>
  <c r="AJ8" i="36"/>
  <c r="D8" i="36"/>
  <c r="C8" i="36"/>
  <c r="B8" i="36"/>
  <c r="AK7" i="36"/>
  <c r="AJ7" i="36"/>
  <c r="D7" i="36"/>
  <c r="C7" i="36"/>
  <c r="B7" i="36"/>
  <c r="AK6" i="36"/>
  <c r="AJ6" i="36"/>
  <c r="D6" i="36"/>
  <c r="C6" i="36"/>
  <c r="B6" i="36"/>
  <c r="AK5" i="36"/>
  <c r="AJ5" i="36"/>
  <c r="D5" i="36"/>
  <c r="C5" i="36"/>
  <c r="B5" i="36"/>
  <c r="AK4" i="36"/>
  <c r="AJ4" i="36"/>
  <c r="D4" i="36"/>
  <c r="C4" i="36"/>
  <c r="B4" i="36"/>
  <c r="AK3" i="36"/>
  <c r="AJ3" i="36"/>
  <c r="D3" i="36"/>
  <c r="C3" i="36"/>
  <c r="B3" i="36"/>
  <c r="AK2" i="36"/>
  <c r="AJ2" i="36"/>
  <c r="D2" i="36"/>
  <c r="C2" i="36"/>
  <c r="B2" i="36"/>
  <c r="AB2" i="23" l="1"/>
  <c r="AB3" i="23"/>
  <c r="AB4" i="23"/>
  <c r="AB5" i="23"/>
  <c r="AB6" i="23"/>
  <c r="AB7" i="23"/>
  <c r="AB8" i="23"/>
  <c r="AB9" i="23"/>
  <c r="AB10" i="23"/>
  <c r="AB11" i="23"/>
  <c r="AB12" i="23"/>
  <c r="AB13" i="23"/>
  <c r="AB14" i="23"/>
  <c r="AB15" i="23"/>
  <c r="AB16" i="23"/>
  <c r="AB17" i="23"/>
  <c r="AB18" i="23"/>
  <c r="AB19" i="23"/>
  <c r="AB20" i="23"/>
  <c r="AB21" i="23"/>
  <c r="AB22" i="23"/>
  <c r="AB23" i="23"/>
  <c r="AB24" i="23"/>
  <c r="AB25" i="23"/>
  <c r="AB26" i="23"/>
  <c r="AB27" i="23"/>
  <c r="AB28" i="23"/>
  <c r="AB29" i="23"/>
  <c r="AB30" i="23"/>
  <c r="AB31" i="23"/>
  <c r="AB32" i="23"/>
  <c r="AB33" i="23"/>
  <c r="AB34" i="23"/>
  <c r="AB35" i="23"/>
  <c r="AB36" i="23"/>
  <c r="AB37" i="23"/>
  <c r="AB38" i="23"/>
  <c r="AB39" i="23"/>
  <c r="AB40" i="23"/>
  <c r="AB41" i="23"/>
  <c r="AB42" i="23"/>
  <c r="AB43" i="23"/>
  <c r="AB44" i="23"/>
  <c r="AB45" i="23"/>
  <c r="AB46" i="23"/>
  <c r="AB47" i="23"/>
  <c r="AB48" i="23"/>
  <c r="AB49" i="23"/>
  <c r="AB50" i="23"/>
  <c r="AB51" i="23"/>
  <c r="AB52" i="23"/>
  <c r="AB53" i="23"/>
  <c r="AB54" i="23"/>
  <c r="AB55" i="23"/>
  <c r="AB56" i="23"/>
  <c r="AB57" i="23"/>
  <c r="AB58" i="23"/>
  <c r="AB59" i="23"/>
  <c r="AB60" i="23"/>
  <c r="AB61" i="23"/>
  <c r="AB62" i="23"/>
  <c r="AB63" i="23"/>
  <c r="AB64" i="23"/>
  <c r="AB65" i="23"/>
  <c r="AB66" i="23"/>
  <c r="AB67" i="23"/>
  <c r="AB68" i="23"/>
  <c r="AB69" i="23"/>
  <c r="AB70" i="23"/>
  <c r="AB71" i="23"/>
  <c r="AB72" i="23"/>
  <c r="AB73" i="23"/>
  <c r="AB74" i="23"/>
  <c r="AB75" i="23"/>
  <c r="AB76" i="23"/>
  <c r="AB77" i="23"/>
  <c r="AB78" i="23"/>
  <c r="AB79" i="23"/>
  <c r="AB80" i="23"/>
  <c r="AB81" i="23"/>
  <c r="AB82" i="23"/>
  <c r="AB83" i="23"/>
  <c r="AB84" i="23"/>
  <c r="AB85" i="23"/>
  <c r="AB86" i="23"/>
  <c r="AB87" i="23"/>
  <c r="AB88" i="23"/>
  <c r="AB89" i="23"/>
  <c r="AB90" i="23"/>
  <c r="AB91" i="23"/>
  <c r="AB92" i="23"/>
  <c r="AB93" i="23"/>
  <c r="AB94" i="23"/>
  <c r="AB95" i="23"/>
  <c r="AB96" i="23"/>
  <c r="AB97" i="23"/>
  <c r="AB98" i="23"/>
  <c r="AB99" i="23"/>
  <c r="AB100" i="23"/>
  <c r="AB101" i="23"/>
  <c r="AB102" i="23"/>
  <c r="AB103" i="23"/>
  <c r="AB104" i="23"/>
  <c r="AA2" i="23"/>
  <c r="AA3" i="23"/>
  <c r="AA4" i="23"/>
  <c r="AA5" i="23"/>
  <c r="AA6" i="23"/>
  <c r="AA7"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AA46" i="23"/>
  <c r="AA47" i="23"/>
  <c r="AA48" i="23"/>
  <c r="AA49" i="23"/>
  <c r="AA50" i="23"/>
  <c r="AA51" i="23"/>
  <c r="AA52" i="23"/>
  <c r="AA53" i="23"/>
  <c r="AA54" i="23"/>
  <c r="AA55" i="23"/>
  <c r="AA56" i="23"/>
  <c r="AA57" i="23"/>
  <c r="AA58" i="23"/>
  <c r="AA59" i="23"/>
  <c r="AA60" i="23"/>
  <c r="AA61" i="23"/>
  <c r="AA62" i="23"/>
  <c r="AA63" i="23"/>
  <c r="AA64" i="23"/>
  <c r="AA65" i="23"/>
  <c r="AA66" i="23"/>
  <c r="AA67" i="23"/>
  <c r="AA68" i="23"/>
  <c r="AA69" i="23"/>
  <c r="AA70" i="23"/>
  <c r="AA71" i="23"/>
  <c r="AA72" i="23"/>
  <c r="AA73" i="23"/>
  <c r="AA74" i="23"/>
  <c r="AA75" i="23"/>
  <c r="AA76" i="23"/>
  <c r="AA77" i="23"/>
  <c r="AA78" i="23"/>
  <c r="AA79" i="23"/>
  <c r="AA80" i="23"/>
  <c r="AA81" i="23"/>
  <c r="AA82" i="23"/>
  <c r="AA83" i="23"/>
  <c r="AA84" i="23"/>
  <c r="AA85" i="23"/>
  <c r="AA86" i="23"/>
  <c r="AA87" i="23"/>
  <c r="AA88" i="23"/>
  <c r="AA89" i="23"/>
  <c r="AA90" i="23"/>
  <c r="AA91" i="23"/>
  <c r="AA92" i="23"/>
  <c r="AA93" i="23"/>
  <c r="AA94" i="23"/>
  <c r="AA95" i="23"/>
  <c r="AA96" i="23"/>
  <c r="AA97" i="23"/>
  <c r="AA98" i="23"/>
  <c r="AA99" i="23"/>
  <c r="AA100" i="23"/>
  <c r="AA101" i="23"/>
  <c r="AA102" i="23"/>
  <c r="AA103" i="23"/>
  <c r="AA104" i="23"/>
  <c r="Y2" i="23" l="1"/>
  <c r="Z2" i="23" s="1"/>
  <c r="AA2" i="24"/>
  <c r="AB2" i="24" s="1"/>
  <c r="AA4" i="24"/>
  <c r="AB4" i="24" s="1"/>
  <c r="AA3" i="24"/>
  <c r="AB3" i="24" s="1"/>
  <c r="Y3" i="23" l="1"/>
  <c r="Z3" i="23" s="1"/>
  <c r="Y4" i="23"/>
  <c r="Z4" i="23" s="1"/>
  <c r="Y5" i="23"/>
  <c r="Z5" i="23" s="1"/>
  <c r="Y6" i="23"/>
  <c r="Z6" i="23" s="1"/>
  <c r="Y7" i="23"/>
  <c r="Z7" i="23" s="1"/>
  <c r="Y8" i="23"/>
  <c r="Z8" i="23" s="1"/>
  <c r="Y9" i="23"/>
  <c r="Z9" i="23" s="1"/>
  <c r="Y10" i="23"/>
  <c r="Z10" i="23" s="1"/>
  <c r="Y11" i="23"/>
  <c r="Z11" i="23" s="1"/>
  <c r="Y12" i="23"/>
  <c r="Z12" i="23" s="1"/>
  <c r="Y13" i="23"/>
  <c r="Z13" i="23" s="1"/>
  <c r="Y14" i="23"/>
  <c r="Z14" i="23" s="1"/>
  <c r="Y15" i="23"/>
  <c r="Z15" i="23" s="1"/>
  <c r="Y16" i="23"/>
  <c r="Z16" i="23" s="1"/>
  <c r="Y17" i="23"/>
  <c r="Z17" i="23" s="1"/>
  <c r="Y18" i="23"/>
  <c r="Z18" i="23" s="1"/>
  <c r="Y19" i="23"/>
  <c r="Z19" i="23" s="1"/>
  <c r="Y20" i="23"/>
  <c r="Z20" i="23" s="1"/>
  <c r="Y21" i="23"/>
  <c r="Z21" i="23" s="1"/>
  <c r="Y22" i="23"/>
  <c r="Z22" i="23" s="1"/>
  <c r="Y23" i="23"/>
  <c r="Z23" i="23" s="1"/>
  <c r="Y24" i="23"/>
  <c r="Z24" i="23" s="1"/>
  <c r="Y25" i="23"/>
  <c r="Z25" i="23" s="1"/>
  <c r="Y26" i="23"/>
  <c r="Z26" i="23" s="1"/>
  <c r="Y27" i="23"/>
  <c r="Z27" i="23" s="1"/>
  <c r="Y28" i="23"/>
  <c r="Z28" i="23" s="1"/>
  <c r="Y29" i="23"/>
  <c r="Z29" i="23" s="1"/>
  <c r="Y30" i="23"/>
  <c r="Z30" i="23" s="1"/>
  <c r="Y31" i="23"/>
  <c r="Z31" i="23" s="1"/>
  <c r="Y32" i="23"/>
  <c r="Z32" i="23" s="1"/>
  <c r="Y33" i="23"/>
  <c r="Z33" i="23" s="1"/>
  <c r="Y34" i="23"/>
  <c r="Z34" i="23" s="1"/>
  <c r="Y35" i="23"/>
  <c r="Z35" i="23" s="1"/>
  <c r="Y36" i="23"/>
  <c r="Z36" i="23" s="1"/>
  <c r="Y37" i="23"/>
  <c r="Z37" i="23" s="1"/>
  <c r="Y38" i="23"/>
  <c r="Z38" i="23" s="1"/>
  <c r="Y39" i="23"/>
  <c r="Z39" i="23" s="1"/>
  <c r="Y40" i="23"/>
  <c r="Z40" i="23" s="1"/>
  <c r="Y41" i="23"/>
  <c r="Z41" i="23" s="1"/>
  <c r="Y42" i="23"/>
  <c r="Z42" i="23" s="1"/>
  <c r="Y43" i="23"/>
  <c r="Z43" i="23" s="1"/>
  <c r="Y44" i="23"/>
  <c r="Z44" i="23" s="1"/>
  <c r="Y45" i="23"/>
  <c r="Z45" i="23" s="1"/>
  <c r="Y46" i="23"/>
  <c r="Z46" i="23" s="1"/>
  <c r="Y47" i="23"/>
  <c r="Z47" i="23" s="1"/>
  <c r="Y48" i="23"/>
  <c r="Z48" i="23" s="1"/>
  <c r="Y49" i="23"/>
  <c r="Z49" i="23" s="1"/>
  <c r="Y50" i="23"/>
  <c r="Z50" i="23" s="1"/>
  <c r="Y51" i="23"/>
  <c r="Z51" i="23" s="1"/>
  <c r="Y52" i="23"/>
  <c r="Z52" i="23" s="1"/>
  <c r="Y53" i="23"/>
  <c r="Z53" i="23" s="1"/>
  <c r="Y54" i="23"/>
  <c r="Z54" i="23" s="1"/>
  <c r="Y55" i="23"/>
  <c r="Z55" i="23" s="1"/>
  <c r="Y56" i="23"/>
  <c r="Z56" i="23" s="1"/>
  <c r="Y57" i="23"/>
  <c r="Z57" i="23" s="1"/>
  <c r="Y58" i="23"/>
  <c r="Z58" i="23" s="1"/>
  <c r="Y59" i="23"/>
  <c r="Z59" i="23" s="1"/>
  <c r="Y60" i="23"/>
  <c r="Z60" i="23" s="1"/>
  <c r="Y61" i="23"/>
  <c r="Z61" i="23" s="1"/>
  <c r="Y62" i="23"/>
  <c r="Z62" i="23" s="1"/>
  <c r="Y63" i="23"/>
  <c r="Z63" i="23" s="1"/>
  <c r="Y64" i="23"/>
  <c r="Z64" i="23" s="1"/>
  <c r="Y65" i="23"/>
  <c r="Z65" i="23" s="1"/>
  <c r="Y66" i="23"/>
  <c r="Z66" i="23" s="1"/>
  <c r="Y67" i="23"/>
  <c r="Z67" i="23" s="1"/>
  <c r="Y68" i="23"/>
  <c r="Z68" i="23" s="1"/>
  <c r="Y69" i="23"/>
  <c r="Z69" i="23" s="1"/>
  <c r="Y70" i="23"/>
  <c r="Z70" i="23" s="1"/>
  <c r="Y71" i="23"/>
  <c r="Z71" i="23" s="1"/>
  <c r="Y72" i="23"/>
  <c r="Z72" i="23" s="1"/>
  <c r="Y73" i="23"/>
  <c r="Z73" i="23" s="1"/>
  <c r="Y74" i="23"/>
  <c r="Z74" i="23" s="1"/>
  <c r="Y75" i="23"/>
  <c r="Z75" i="23" s="1"/>
  <c r="Y76" i="23"/>
  <c r="Z76" i="23" s="1"/>
  <c r="Y77" i="23"/>
  <c r="Z77" i="23" s="1"/>
  <c r="Y78" i="23"/>
  <c r="Z78" i="23" s="1"/>
  <c r="Y79" i="23"/>
  <c r="Z79" i="23" s="1"/>
  <c r="Y80" i="23"/>
  <c r="Z80" i="23" s="1"/>
  <c r="Y81" i="23"/>
  <c r="Z81" i="23" s="1"/>
  <c r="Y82" i="23"/>
  <c r="Z82" i="23" s="1"/>
  <c r="Y83" i="23"/>
  <c r="Z83" i="23" s="1"/>
  <c r="Y84" i="23"/>
  <c r="Z84" i="23" s="1"/>
  <c r="Y85" i="23"/>
  <c r="Z85" i="23" s="1"/>
  <c r="Y86" i="23"/>
  <c r="Z86" i="23" s="1"/>
  <c r="Y87" i="23"/>
  <c r="Z87" i="23" s="1"/>
  <c r="Y88" i="23"/>
  <c r="Z88" i="23" s="1"/>
  <c r="Y89" i="23"/>
  <c r="Z89" i="23" s="1"/>
  <c r="Y90" i="23"/>
  <c r="Z90" i="23" s="1"/>
  <c r="Y91" i="23"/>
  <c r="Z91" i="23" s="1"/>
  <c r="Y92" i="23"/>
  <c r="Z92" i="23" s="1"/>
  <c r="Y93" i="23"/>
  <c r="Z93" i="23" s="1"/>
  <c r="Y94" i="23"/>
  <c r="Z94" i="23" s="1"/>
  <c r="Y95" i="23"/>
  <c r="Z95" i="23" s="1"/>
  <c r="Y96" i="23"/>
  <c r="Z96" i="23" s="1"/>
  <c r="Y97" i="23"/>
  <c r="Z97" i="23" s="1"/>
  <c r="Y98" i="23"/>
  <c r="Z98" i="23" s="1"/>
  <c r="Y99" i="23"/>
  <c r="Z99" i="23" s="1"/>
  <c r="Y100" i="23"/>
  <c r="Z100" i="23" s="1"/>
  <c r="Y101" i="23"/>
  <c r="Z101" i="23" s="1"/>
  <c r="Y102" i="23"/>
  <c r="Z102" i="23" s="1"/>
  <c r="Y103" i="23"/>
  <c r="Z103" i="23" s="1"/>
  <c r="Y104" i="23"/>
  <c r="Z104" i="23" s="1"/>
  <c r="AA5" i="24" l="1"/>
  <c r="AB5" i="24" s="1"/>
  <c r="AA6" i="24"/>
  <c r="AB6" i="24" s="1"/>
  <c r="AA7" i="24"/>
  <c r="AB7" i="24" s="1"/>
  <c r="AA8" i="24"/>
  <c r="AB8" i="24" s="1"/>
  <c r="AA9" i="24"/>
  <c r="AB9" i="24" s="1"/>
  <c r="AA10" i="24"/>
  <c r="AB10" i="24" s="1"/>
  <c r="AA11" i="24"/>
  <c r="AB11" i="24" s="1"/>
  <c r="AA12" i="24"/>
  <c r="AB12" i="24" s="1"/>
  <c r="AA13" i="24"/>
  <c r="AB13" i="24" s="1"/>
  <c r="AA14" i="24"/>
  <c r="AB14" i="24" s="1"/>
  <c r="AA15" i="24"/>
  <c r="AB15" i="24" s="1"/>
  <c r="AA16" i="24"/>
  <c r="AB16" i="24" s="1"/>
  <c r="AA17" i="24"/>
  <c r="AB17" i="24" s="1"/>
  <c r="AA18" i="24"/>
  <c r="AB18" i="24" s="1"/>
  <c r="AA19" i="24"/>
  <c r="AB19" i="24" s="1"/>
  <c r="AA20" i="24"/>
  <c r="AB20" i="24" s="1"/>
  <c r="AA21" i="24"/>
  <c r="AB21" i="24" s="1"/>
  <c r="AA22" i="24"/>
  <c r="AB22" i="24" s="1"/>
  <c r="AA23" i="24"/>
  <c r="AB23" i="24" s="1"/>
  <c r="AA24" i="24"/>
  <c r="AB24" i="24" s="1"/>
  <c r="AA25" i="24"/>
  <c r="AB25" i="24" s="1"/>
  <c r="AA26" i="24"/>
  <c r="AB26" i="24" s="1"/>
  <c r="AA27" i="24"/>
  <c r="AB27" i="24" s="1"/>
  <c r="AA28" i="24"/>
  <c r="AB28" i="24" s="1"/>
  <c r="AA29" i="24"/>
  <c r="AB29" i="24" s="1"/>
  <c r="AA30" i="24"/>
  <c r="AB30" i="24" s="1"/>
  <c r="AA31" i="24"/>
  <c r="AB31" i="24" s="1"/>
  <c r="AA32" i="24"/>
  <c r="AB32" i="24" s="1"/>
  <c r="P5" i="21" l="1"/>
  <c r="C29" i="21" l="1"/>
  <c r="C2" i="21" l="1"/>
  <c r="C3" i="21"/>
  <c r="C4" i="21"/>
  <c r="C14" i="21"/>
  <c r="C6" i="21"/>
  <c r="C17" i="21"/>
  <c r="C11" i="21"/>
  <c r="C15" i="21"/>
  <c r="C31" i="21"/>
  <c r="C20" i="21"/>
  <c r="C23" i="21"/>
  <c r="C27" i="21"/>
  <c r="C32" i="21"/>
  <c r="C13" i="21"/>
  <c r="C16" i="21"/>
  <c r="C9" i="21"/>
  <c r="C24" i="21"/>
  <c r="C33" i="21"/>
  <c r="C34" i="21"/>
  <c r="C5" i="21"/>
  <c r="C22" i="21"/>
  <c r="C19" i="21"/>
  <c r="C25" i="21"/>
  <c r="C7" i="21"/>
  <c r="C30" i="21"/>
  <c r="C28" i="21"/>
  <c r="C8" i="21"/>
  <c r="C12" i="21"/>
  <c r="C26" i="21"/>
  <c r="C10" i="21"/>
  <c r="C21"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tc={CC45846C-CB6D-49B8-9816-9150E6781D86}</author>
    <author>tc={DE269066-AE78-4BB5-9D46-58E0C83B7AB7}</author>
    <author>tc={AD4EF33E-3AFA-498E-AFD5-2E0185D64018}</author>
    <author>tc={6E90F630-B57F-4EE2-BFD3-5C790C108A0D}</author>
    <author>tc={86E295F8-F14A-4D25-B4F4-80B2DD3FD132}</author>
    <author>tc={B64EE734-3E91-47E8-8BD4-88524F5E3ECC}</author>
  </authors>
  <commentList>
    <comment ref="A29" authorId="0" shapeId="0" xr:uid="{CC45846C-CB6D-49B8-9816-9150E6781D86}">
      <text>
        <t>[Threaded comment]
Your version of Excel allows you to read this threaded comment; however, any edits to it will get removed if the file is opened in a newer version of Excel. Learn more: https://go.microsoft.com/fwlink/?linkid=870924
Comment:
    @Meenakshi Singh taking this venture</t>
      </text>
    </comment>
    <comment ref="A34" authorId="1" shapeId="0" xr:uid="{DE269066-AE78-4BB5-9D46-58E0C83B7AB7}">
      <text>
        <t>[Threaded comment]
Your version of Excel allows you to read this threaded comment; however, any edits to it will get removed if the file is opened in a newer version of Excel. Learn more: https://go.microsoft.com/fwlink/?linkid=870924
Comment:
    @Meenakshi Singh suggested the mentors</t>
      </text>
    </comment>
    <comment ref="A53" authorId="2" shapeId="0" xr:uid="{AD4EF33E-3AFA-498E-AFD5-2E0185D64018}">
      <text>
        <t>[Threaded comment]
Your version of Excel allows you to read this threaded comment; however, any edits to it will get removed if the file is opened in a newer version of Excel. Learn more: https://go.microsoft.com/fwlink/?linkid=870924
Comment:
    @Meenakshi Singh working on thi</t>
      </text>
    </comment>
    <comment ref="A60" authorId="3" shapeId="0" xr:uid="{6E90F630-B57F-4EE2-BFD3-5C790C108A0D}">
      <text>
        <t>[Threaded comment]
Your version of Excel allows you to read this threaded comment; however, any edits to it will get removed if the file is opened in a newer version of Excel. Learn more: https://go.microsoft.com/fwlink/?linkid=870924
Comment:
    @Meenakshi Singh working on thi
Reply:
    @Meenakshi Singh suggested the mentors</t>
      </text>
    </comment>
    <comment ref="A120" authorId="4" shapeId="0" xr:uid="{86E295F8-F14A-4D25-B4F4-80B2DD3FD132}">
      <text>
        <t>[Threaded comment]
Your version of Excel allows you to read this threaded comment; however, any edits to it will get removed if the file is opened in a newer version of Excel. Learn more: https://go.microsoft.com/fwlink/?linkid=870924
Comment:
    @Meenakshi Singh working on this</t>
      </text>
    </comment>
    <comment ref="A136" authorId="5" shapeId="0" xr:uid="{B64EE734-3E91-47E8-8BD4-88524F5E3ECC}">
      <text>
        <t>[Threaded comment]
Your version of Excel allows you to read this threaded comment; however, any edits to it will get removed if the file is opened in a newer version of Excel. Learn more: https://go.microsoft.com/fwlink/?linkid=870924
Comment:
    @Meenakshi Singh taking this venture
Reply:
    @Meenakshi Singh suggested the mentors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tc={9C079CA5-12A0-4BEA-A41A-7643D7C81230}</author>
    <author>tc={4A1C8510-007D-411B-8098-FCA3D2C74A02}</author>
    <author>tc={FB5AA12A-D4EB-4AC0-9E30-61CC3B900E94}</author>
    <author>tc={E69FF2BB-638B-4F41-9B26-CF1CB9A2CCCF}</author>
    <author>tc={86C7DB21-E54D-4229-BCA5-1D970E0C48EA}</author>
    <author>tc={ABD67745-23B6-43C1-8239-E0B8FE0E56C3}</author>
    <author>tc={8B30CD47-5DD6-47AA-822F-61E48726DBD9}</author>
    <author>tc={0A311BC3-39BD-4195-9433-B86245C988C3}</author>
    <author>tc={6CF0A4F0-F7CF-4549-A34D-125C17324CBE}</author>
    <author>tc={3CD11A92-F7D4-4A3B-AA66-632657B9D2C6}</author>
    <author>tc={05452641-A4A0-41EE-AEF8-FC6780446F23}</author>
    <author>tc={07CDBEDA-E9DB-4A99-8BC0-E11B9FA7EE55}</author>
    <author>tc={47C964EC-02C5-4801-8C13-BA67CD2C1FCB}</author>
    <author>tc={8760CF8C-CB90-4A26-B920-75A909802566}</author>
    <author>tc={203F63DB-4969-4719-B3B1-33DECA9A5973}</author>
    <author>tc={C2BF15A5-5C8E-49A6-80F7-D0B86CBC828A}</author>
    <author>tc={DE9C8EC9-EBF2-41C9-AF61-C5B78BDC1DF5}</author>
  </authors>
  <commentList>
    <comment ref="A29" authorId="0" shapeId="0" xr:uid="{9C079CA5-12A0-4BEA-A41A-7643D7C81230}">
      <text>
        <t>[Threaded comment]
Your version of Excel allows you to read this threaded comment; however, any edits to it will get removed if the file is opened in a newer version of Excel. Learn more: https://go.microsoft.com/fwlink/?linkid=870924
Comment:
    @Meenakshi Singh suggested more mentors like Mr. Nilesh
Reply:
     @Meenakshi Singh suggested mentors</t>
      </text>
    </comment>
    <comment ref="A30" authorId="1" shapeId="0" xr:uid="{4A1C8510-007D-411B-8098-FCA3D2C74A02}">
      <text>
        <t>[Threaded comment]
Your version of Excel allows you to read this threaded comment; however, any edits to it will get removed if the file is opened in a newer version of Excel. Learn more: https://go.microsoft.com/fwlink/?linkid=870924
Comment:
    @Meenakshi Singh suggested more mentors like Mr. Nilesh</t>
      </text>
    </comment>
    <comment ref="A73" authorId="2" shapeId="0" xr:uid="{FB5AA12A-D4EB-4AC0-9E30-61CC3B900E9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@Meenakshi, suggested new mentors. Please check
Reply:
    Hi @Vaibhav, 
We can suggest this mentor to HMs
Reply:
    ok@Meenakshi</t>
      </text>
    </comment>
    <comment ref="A105" authorId="3" shapeId="0" xr:uid="{E69FF2BB-638B-4F41-9B26-CF1CB9A2CCCF}">
      <text>
        <t>[Threaded comment]
Your version of Excel allows you to read this threaded comment; however, any edits to it will get removed if the file is opened in a newer version of Excel. Learn more: https://go.microsoft.com/fwlink/?linkid=870924
Comment:
     @Meenakshi Singh suggested new mentor</t>
      </text>
    </comment>
    <comment ref="A159" authorId="4" shapeId="0" xr:uid="{86C7DB21-E54D-4229-BCA5-1D970E0C48EA}">
      <text>
        <t>[Threaded comment]
Your version of Excel allows you to read this threaded comment; however, any edits to it will get removed if the file is opened in a newer version of Excel. Learn more: https://go.microsoft.com/fwlink/?linkid=870924
Comment:
    Hi @Meenakshi, suggesting mentor for ask 5</t>
      </text>
    </comment>
    <comment ref="A216" authorId="5" shapeId="0" xr:uid="{ABD67745-23B6-43C1-8239-E0B8FE0E56C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@Meenakshi, suggested new set of mentor for fundrasing ask. Please check and confirm.</t>
      </text>
    </comment>
    <comment ref="A217" authorId="6" shapeId="0" xr:uid="{8B30CD47-5DD6-47AA-822F-61E48726DBD9}">
      <text>
        <t xml:space="preserve">[Threaded comment]
Your version of Excel allows you to read this threaded comment; however, any edits to it will get removed if the file is opened in a newer version of Excel. Learn more: https://go.microsoft.com/fwlink/?linkid=870924
Comment:
    @Meenakshi Singh Suggesting mentors
Reply:
    @Meenakshi Singh suggested mentors. Please check
</t>
      </text>
    </comment>
    <comment ref="A260" authorId="7" shapeId="0" xr:uid="{0A311BC3-39BD-4195-9433-B86245C988C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@Meenakshi, suggested new mentors. Please check
Reply:
    Hi @Vaibhav 
We can suggest these mentor to HMs
Reply:
    okay @Meenakshi</t>
      </text>
    </comment>
    <comment ref="A269" authorId="8" shapeId="0" xr:uid="{6CF0A4F0-F7CF-4549-A34D-125C17324CBE}">
      <text>
        <t>[Threaded comment]
Your version of Excel allows you to read this threaded comment; however, any edits to it will get removed if the file is opened in a newer version of Excel. Learn more: https://go.microsoft.com/fwlink/?linkid=870924
Comment:
     @Meenakshi Singh suggesting mentors
Reply:
     @Meenakshi Singh suggested mentors</t>
      </text>
    </comment>
    <comment ref="A270" authorId="9" shapeId="0" xr:uid="{3CD11A92-F7D4-4A3B-AA66-632657B9D2C6}">
      <text>
        <t>[Threaded comment]
Your version of Excel allows you to read this threaded comment; however, any edits to it will get removed if the file is opened in a newer version of Excel. Learn more: https://go.microsoft.com/fwlink/?linkid=870924
Comment:
     @Meenakshi Singh suggesting mentors
Reply:
     @Meenakshi Singh suggested mentors</t>
      </text>
    </comment>
    <comment ref="A272" authorId="10" shapeId="0" xr:uid="{05452641-A4A0-41EE-AEF8-FC6780446F23}">
      <text>
        <t xml:space="preserve">[Threaded comment]
Your version of Excel allows you to read this threaded comment; however, any edits to it will get removed if the file is opened in a newer version of Excel. Learn more: https://go.microsoft.com/fwlink/?linkid=870924
Comment:
    @Meenakshi Singh taking this venture
Reply:
    @Meenakshi Singh suggested mentors. Please check
</t>
      </text>
    </comment>
    <comment ref="A273" authorId="11" shapeId="0" xr:uid="{07CDBEDA-E9DB-4A99-8BC0-E11B9FA7EE55}">
      <text>
        <t>[Threaded comment]
Your version of Excel allows you to read this threaded comment; however, any edits to it will get removed if the file is opened in a newer version of Excel. Learn more: https://go.microsoft.com/fwlink/?linkid=870924
Comment:
     @Meenakshi Singh suggesting mentors 
Reply:
      @Meenakshi Singh suggested mentors</t>
      </text>
    </comment>
    <comment ref="A274" authorId="12" shapeId="0" xr:uid="{47C964EC-02C5-4801-8C13-BA67CD2C1FCB}">
      <text>
        <t xml:space="preserve">[Threaded comment]
Your version of Excel allows you to read this threaded comment; however, any edits to it will get removed if the file is opened in a newer version of Excel. Learn more: https://go.microsoft.com/fwlink/?linkid=870924
Comment:
     @Meenakshi Singh taking this venture 
Reply:
     @Meenakshi Singh Suggested mentors
</t>
      </text>
    </comment>
    <comment ref="A283" authorId="13" shapeId="0" xr:uid="{8760CF8C-CB90-4A26-B920-75A909802566}">
      <text>
        <t xml:space="preserve">[Threaded comment]
Your version of Excel allows you to read this threaded comment; however, any edits to it will get removed if the file is opened in a newer version of Excel. Learn more: https://go.microsoft.com/fwlink/?linkid=870924
Comment:
    @Meenakshi Singh suggesting mentors
</t>
      </text>
    </comment>
    <comment ref="A287" authorId="14" shapeId="0" xr:uid="{203F63DB-4969-4719-B3B1-33DECA9A5973}">
      <text>
        <t>[Threaded comment]
Your version of Excel allows you to read this threaded comment; however, any edits to it will get removed if the file is opened in a newer version of Excel. Learn more: https://go.microsoft.com/fwlink/?linkid=870924
Comment:
     @Meenakshi Singh Suggesting mentors
Reply:
     @Meenakshi Singh suggested mentors</t>
      </text>
    </comment>
    <comment ref="A288" authorId="15" shapeId="0" xr:uid="{C2BF15A5-5C8E-49A6-80F7-D0B86CBC828A}">
      <text>
        <t xml:space="preserve">[Threaded comment]
Your version of Excel allows you to read this threaded comment; however, any edits to it will get removed if the file is opened in a newer version of Excel. Learn more: https://go.microsoft.com/fwlink/?linkid=870924
Comment:
     @Meenakshi Singh Suggesting mentors
Reply:
     @Meenakshi Singh suggested mentors
</t>
      </text>
    </comment>
    <comment ref="A292" authorId="16" shapeId="0" xr:uid="{DE9C8EC9-EBF2-41C9-AF61-C5B78BDC1DF5}">
      <text>
        <t xml:space="preserve">[Threaded comment]
Your version of Excel allows you to read this threaded comment; however, any edits to it will get removed if the file is opened in a newer version of Excel. Learn more: https://go.microsoft.com/fwlink/?linkid=870924
Comment:
    @Meenakshi Singh suggested mentors. Please check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Meenakshi Singh</author>
  </authors>
  <commentList>
    <comment ref="U16" authorId="0" shapeId="0" xr:uid="{EA675401-1494-4CCD-B3CD-86427BD2E5E0}">
      <text>
        <r>
          <rPr>
            <b/>
            <sz val="9"/>
            <color indexed="81"/>
            <rFont val="Tahoma"/>
            <family val="2"/>
          </rPr>
          <t>Meenakshi Singh:</t>
        </r>
        <r>
          <rPr>
            <sz val="9"/>
            <color indexed="81"/>
            <rFont val="Tahoma"/>
            <family val="2"/>
          </rPr>
          <t xml:space="preserve">
</t>
        </r>
        <r>
          <rPr>
            <b/>
            <i/>
            <sz val="9"/>
            <color indexed="81"/>
            <rFont val="Tahoma"/>
            <family val="2"/>
          </rPr>
          <t>NoteLM Outpu</t>
        </r>
        <r>
          <rPr>
            <sz val="9"/>
            <color indexed="81"/>
            <rFont val="Tahoma"/>
            <family val="2"/>
          </rPr>
          <t xml:space="preserve">t
The founder explicitly asked for help scaling his B2B division and expanding his network to secure more enterprise projects. In response, the expert provided strategic B2C advice, suggesting the founder showcase repairs on YouTube, open a "refurbishing mall," and expand beyond electronics into furniture and clothing waste. This advice was heavily misaligned with the founder’s goals, as he firmly rejected the idea of expanding outside the electronics industry. A clear expectation mismatch is visible: the founder actively sought direct business leads and network introductions from a session meant for strategic guidance, while the expert provided guidance that ignored the founder's strict B2B and electronics focus. Consequently, the overall quality of the interaction was poor due to these conflicting agendas. The recommended next internal action is to improve expectation setting with the founder regarding the non-sales nature of these advisory calls, and to rematch him with a strategic expert focused strictly on B2B electronics scaling.
Mentor rejected the sustainability and furniture expansion ideas because **his current business focus is strictly and solely on the electronics sector**. He explained to the expert that **electronics is a "vast industry by itself,"** making it unnecessary to dilute their focus by branching out into unrelated categories like furniture or clothing at this time. 
He did note, however, that **he might consider such expansions in the future only if the company reaches a plateau** and is no longer able to scale further within the electronics market.
</t>
        </r>
        <r>
          <rPr>
            <b/>
            <sz val="9"/>
            <color indexed="81"/>
            <rFont val="Tahoma"/>
            <family val="2"/>
          </rPr>
          <t>Check with Mentor also</t>
        </r>
      </text>
    </comment>
  </commentList>
</comments>
</file>

<file path=xl/sharedStrings.xml><?xml version="1.0" encoding="utf-8"?>
<sst xmlns="http://schemas.openxmlformats.org/spreadsheetml/2006/main" count="6045" uniqueCount="1979">
  <si>
    <t>Month</t>
  </si>
  <si>
    <t>Ask</t>
  </si>
  <si>
    <t>NG Earsafe</t>
  </si>
  <si>
    <t>Prem Sanjay Vuthandam</t>
  </si>
  <si>
    <t>PowerTree</t>
  </si>
  <si>
    <t>Sriram Chidambaram</t>
  </si>
  <si>
    <t>Satya kiran Gannarapu</t>
  </si>
  <si>
    <t>Nayaz JU Launchpad</t>
  </si>
  <si>
    <t>VideoSDK</t>
  </si>
  <si>
    <t>BFSI sales/GTM mentor</t>
  </si>
  <si>
    <t>Dr. Sudin Baraokar</t>
  </si>
  <si>
    <t>Mithun Kumar Mahendra</t>
  </si>
  <si>
    <t>Alpino</t>
  </si>
  <si>
    <t>Support to raise a ₹15–20 Cr blended capital round (equity + debt) with clear working capital optimization and investor readiness. Hands-on support for offline GTM expansion including modern trade onboarding, distributor scaling, and institutional sales pilots. Strategic help in securing co-manufacturing partners and strengthening agri-supply chains to double capacity while maintaining quality and margins.</t>
  </si>
  <si>
    <t>Prashant Mandke</t>
  </si>
  <si>
    <t>Jajal</t>
  </si>
  <si>
    <t>Univia</t>
  </si>
  <si>
    <t>Meeting Status</t>
  </si>
  <si>
    <t>Connected</t>
  </si>
  <si>
    <t>Meeting Transcripts</t>
  </si>
  <si>
    <t>Qarmatek</t>
  </si>
  <si>
    <t>Vaultastic</t>
  </si>
  <si>
    <t>Atreya Innovations</t>
  </si>
  <si>
    <t>Tailor Smart</t>
  </si>
  <si>
    <t>Tikitoro</t>
  </si>
  <si>
    <t>Stembotix</t>
  </si>
  <si>
    <t>Raptee Energy Pvt Ltd</t>
  </si>
  <si>
    <t>Manufyx</t>
  </si>
  <si>
    <t>Raw Pharma</t>
  </si>
  <si>
    <t>Bebe Burp</t>
  </si>
  <si>
    <t>Jeevtronics</t>
  </si>
  <si>
    <t>Nuutjobs</t>
  </si>
  <si>
    <t>Nutrirasoi Foods Private Limited</t>
  </si>
  <si>
    <t>REAGRI - NANOBEE BIOINNOVATIONS</t>
  </si>
  <si>
    <t>amPICQ</t>
  </si>
  <si>
    <t>Bipolar Factory</t>
  </si>
  <si>
    <t>Dhobi G</t>
  </si>
  <si>
    <t>Indian Drivers</t>
  </si>
  <si>
    <t>Eximburg International</t>
  </si>
  <si>
    <t>Rupiya Finnovations Pvt Ltd</t>
  </si>
  <si>
    <t>FTB Organic (Dhombe Patil Foods)</t>
  </si>
  <si>
    <t>Vastra App</t>
  </si>
  <si>
    <t>Airmeds</t>
  </si>
  <si>
    <t>Gyrodrive</t>
  </si>
  <si>
    <t>Leankloud</t>
  </si>
  <si>
    <t>Leap Info</t>
  </si>
  <si>
    <t>Aeronero Solutions Private Limited</t>
  </si>
  <si>
    <t>Uravu Labs</t>
  </si>
  <si>
    <t>Startoon Labs</t>
  </si>
  <si>
    <t>Rises.io</t>
  </si>
  <si>
    <t>Agriown Farmtech</t>
  </si>
  <si>
    <t>Terrablu</t>
  </si>
  <si>
    <t>Elite Decor Pvt. Ltd</t>
  </si>
  <si>
    <t>Velaan Mart Pvt Ltd</t>
  </si>
  <si>
    <t>Zeus Engitech Private Limited</t>
  </si>
  <si>
    <t>Sarumam Pharmacy</t>
  </si>
  <si>
    <t>Mangopoint</t>
  </si>
  <si>
    <t>Eventbeep</t>
  </si>
  <si>
    <t>Torchit</t>
  </si>
  <si>
    <t>MiCoB Pvt Ltd</t>
  </si>
  <si>
    <t>Myharvest Farms</t>
  </si>
  <si>
    <t>Keepsake Automation Pvt Ltd</t>
  </si>
  <si>
    <t>Hogist technologies Pvt Ltd</t>
  </si>
  <si>
    <t>Ask Eva</t>
  </si>
  <si>
    <t>Servercake</t>
  </si>
  <si>
    <t>Exposit Immersive Solution Pvt Ltd</t>
  </si>
  <si>
    <t>Stem Tech</t>
  </si>
  <si>
    <t>Padcare Labs</t>
  </si>
  <si>
    <t>Culture x</t>
  </si>
  <si>
    <t>Foodnest</t>
  </si>
  <si>
    <t>InSyPay</t>
  </si>
  <si>
    <t>Prime UAV</t>
  </si>
  <si>
    <t>Frontierz</t>
  </si>
  <si>
    <t>Urdhvam</t>
  </si>
  <si>
    <t>Botminds.ai</t>
  </si>
  <si>
    <t>JidokaTechnologies</t>
  </si>
  <si>
    <t>Green Pods</t>
  </si>
  <si>
    <t>JustAct</t>
  </si>
  <si>
    <t>Bull AgriTech</t>
  </si>
  <si>
    <t>Redicine Medsol</t>
  </si>
  <si>
    <t>Linkmiles</t>
  </si>
  <si>
    <t>Mentor Name</t>
  </si>
  <si>
    <t>Meeting Date</t>
  </si>
  <si>
    <t>Start of Week</t>
  </si>
  <si>
    <t>Siddharth Pandey</t>
  </si>
  <si>
    <t>Ashish Mittal</t>
  </si>
  <si>
    <t>Gokulraj GK</t>
  </si>
  <si>
    <t>Manu Kumar</t>
  </si>
  <si>
    <t>Arnab Chatterjee</t>
  </si>
  <si>
    <t>Dheeresh Manrai</t>
  </si>
  <si>
    <t>Ramkumar Subramaniam</t>
  </si>
  <si>
    <t>B Gopalakrishnan</t>
  </si>
  <si>
    <t>Kalmesh Joshi</t>
  </si>
  <si>
    <t>Crispino Santamaria</t>
  </si>
  <si>
    <t>Krishna Dorai</t>
  </si>
  <si>
    <t>Vinay Goel</t>
  </si>
  <si>
    <t>Raj Gulia</t>
  </si>
  <si>
    <t>Vignesh Narayanan</t>
  </si>
  <si>
    <t>Jignesh Jain</t>
  </si>
  <si>
    <t>Sanjay Sharma</t>
  </si>
  <si>
    <t>Jayen Kotecha</t>
  </si>
  <si>
    <t>Anant Sood</t>
  </si>
  <si>
    <t>Kumaresh Tirukonda</t>
  </si>
  <si>
    <t>Deepak Srinivasan</t>
  </si>
  <si>
    <t xml:space="preserve">Arun Sharma </t>
  </si>
  <si>
    <t>Amiya Srivastava</t>
  </si>
  <si>
    <t>Mohit Monga</t>
  </si>
  <si>
    <t>Vaibhav Tewari</t>
  </si>
  <si>
    <t>Garima Mitra</t>
  </si>
  <si>
    <t>Sandeep Gupta</t>
  </si>
  <si>
    <t>Gopal Kalra</t>
  </si>
  <si>
    <t>Dr. Jagadeesh Gandla</t>
  </si>
  <si>
    <t>Mukul Bagga</t>
  </si>
  <si>
    <t>Rupaal Singh</t>
  </si>
  <si>
    <t>Vinod Keni</t>
  </si>
  <si>
    <t>Ankit Majumdar</t>
  </si>
  <si>
    <t>Amit Saluja</t>
  </si>
  <si>
    <t>Pradeep Malu</t>
  </si>
  <si>
    <t>Suhasini Barman</t>
  </si>
  <si>
    <t>Srinivas Yanamandra</t>
  </si>
  <si>
    <t>Pradeep Rathi</t>
  </si>
  <si>
    <t>Kavya Dehulia</t>
  </si>
  <si>
    <t>Abhay Jajoo</t>
  </si>
  <si>
    <t>Nirmallya Roy Chowdhury</t>
  </si>
  <si>
    <t>Mahesh Natranjan</t>
  </si>
  <si>
    <t>Amarpreet Kaur</t>
  </si>
  <si>
    <t>Abhishek Dakhole</t>
  </si>
  <si>
    <t>Ajay Rungta</t>
  </si>
  <si>
    <t>Bharat Moossaddee</t>
  </si>
  <si>
    <t>Ashesh D. Shah</t>
  </si>
  <si>
    <t xml:space="preserve">Siddhartha Kathpalia </t>
  </si>
  <si>
    <t>Mohanakrishnan P</t>
  </si>
  <si>
    <t>Umesh Uttamchandani</t>
  </si>
  <si>
    <t>Dr. Naman Agarwal</t>
  </si>
  <si>
    <t>Shridhar N Upadhye</t>
  </si>
  <si>
    <t>Gaurav Bansal</t>
  </si>
  <si>
    <t>Bharat Hudadalli</t>
  </si>
  <si>
    <t xml:space="preserve">Sivesh Kumar	</t>
  </si>
  <si>
    <t>Kushagra Gupta</t>
  </si>
  <si>
    <t>Shailendrasinh Rajput</t>
  </si>
  <si>
    <t>Vikram Alva</t>
  </si>
  <si>
    <t>Venture Name</t>
  </si>
  <si>
    <t>Program</t>
  </si>
  <si>
    <t>Hub</t>
  </si>
  <si>
    <t>Hub Manager</t>
  </si>
  <si>
    <t>Email ID</t>
  </si>
  <si>
    <t>Rahul</t>
  </si>
  <si>
    <t>prometheus@ampicq.in
rahul@ampicq.in</t>
  </si>
  <si>
    <t>prometheus: 9903061386</t>
  </si>
  <si>
    <t>Apaha</t>
  </si>
  <si>
    <t>Aniruddha</t>
  </si>
  <si>
    <t>aniruddha@atreyainnovations.com</t>
  </si>
  <si>
    <t>Ayu Devices Pvt. Ltd.</t>
  </si>
  <si>
    <t>Dr Vivek Manoharan</t>
  </si>
  <si>
    <t>vivek@bipolarfactory.com</t>
  </si>
  <si>
    <t>9790655873; +65 90555994 (WhatsApp)</t>
  </si>
  <si>
    <t>Biziverse</t>
  </si>
  <si>
    <t>ChimerTech</t>
  </si>
  <si>
    <t>Cloudbankin</t>
  </si>
  <si>
    <t>Vinay</t>
  </si>
  <si>
    <t>vinay@culturex.in</t>
  </si>
  <si>
    <t>Akshat (Founders Office) -7041611648</t>
  </si>
  <si>
    <t>DailyGurus</t>
  </si>
  <si>
    <t>Dalnex</t>
  </si>
  <si>
    <t>EV India</t>
  </si>
  <si>
    <t>Rakhi Pal</t>
  </si>
  <si>
    <t>rakhi@eventbeep.com
saurabh@eventbeep.com</t>
  </si>
  <si>
    <t>Rakhi - 8237849912
Saurabh - 8668596170</t>
  </si>
  <si>
    <t>Evify</t>
  </si>
  <si>
    <t>Fortytwo42</t>
  </si>
  <si>
    <t>GoWatr</t>
  </si>
  <si>
    <t>Deepak</t>
  </si>
  <si>
    <t>deepak@greenpodlabs.com</t>
  </si>
  <si>
    <t>+91 9840069712</t>
  </si>
  <si>
    <t>Grow your farms</t>
  </si>
  <si>
    <t>HoneyVeda</t>
  </si>
  <si>
    <t xml:space="preserve">Hreedan Lifestyle </t>
  </si>
  <si>
    <t>Indiesemic Private Limited</t>
  </si>
  <si>
    <t>Ashsih Gawade</t>
  </si>
  <si>
    <t>agawade@jeevtronics.com</t>
  </si>
  <si>
    <t>+91 98508 19688</t>
  </si>
  <si>
    <t>Kisan Gas</t>
  </si>
  <si>
    <t>Vasanth</t>
  </si>
  <si>
    <t>vasanth@leankloud.com</t>
  </si>
  <si>
    <t>Mealpe</t>
  </si>
  <si>
    <t>Millets Now</t>
  </si>
  <si>
    <t>Pradip Patel</t>
  </si>
  <si>
    <t>pradip@primeuav.com</t>
  </si>
  <si>
    <t>Purandar Highlands</t>
  </si>
  <si>
    <t>QpiAI</t>
  </si>
  <si>
    <t>Rare &amp; Pure Specialities Pvt. Ltd. (Brand: B&amp;B Organics)</t>
  </si>
  <si>
    <t>Rushil Barot</t>
  </si>
  <si>
    <t>Info@rawpharmabiz.com</t>
  </si>
  <si>
    <t>98795 22397</t>
  </si>
  <si>
    <t>Kush Prajapati</t>
  </si>
  <si>
    <t>Kush@redicinemedsol.com</t>
  </si>
  <si>
    <t>Ajit Deshpande</t>
  </si>
  <si>
    <t>ajit.deshpande@rises.io</t>
  </si>
  <si>
    <t>Sprint6 Smart Restroom Solutions</t>
  </si>
  <si>
    <t>Suresh Susurla</t>
  </si>
  <si>
    <t>suresh@startoonlabs.com
mythreyi@startoonlabs.com</t>
  </si>
  <si>
    <t>Subrai</t>
  </si>
  <si>
    <t>subrai@stemtech.in</t>
  </si>
  <si>
    <t>Stroom</t>
  </si>
  <si>
    <t>Swipe Loans</t>
  </si>
  <si>
    <t>Pritam Onsker</t>
  </si>
  <si>
    <t>pritam@tailorsmart.in</t>
  </si>
  <si>
    <t>Tamilpreneur</t>
  </si>
  <si>
    <t>Tight The Nut</t>
  </si>
  <si>
    <t>Urban Naps</t>
  </si>
  <si>
    <t xml:space="preserve">Volar Alta </t>
  </si>
  <si>
    <t xml:space="preserve">Airwill Home Collections Pvt Ltd </t>
  </si>
  <si>
    <t xml:space="preserve">Amsol industries private limited </t>
  </si>
  <si>
    <t>ARGE(ABSOLUTE RG EQUIPMENT PVT LTD)</t>
  </si>
  <si>
    <t>BONUS PLASTICS PVT LTD</t>
  </si>
  <si>
    <t>CleanX Agro Solutions</t>
  </si>
  <si>
    <t>Crowntech Surface Finishings Pvt Ltd</t>
  </si>
  <si>
    <t>Dezire Fabtech LLP</t>
  </si>
  <si>
    <t xml:space="preserve">Elysium Group of Companies </t>
  </si>
  <si>
    <t xml:space="preserve">Galaxy Chains Pvt Ltd </t>
  </si>
  <si>
    <t>GD Waldner India</t>
  </si>
  <si>
    <t xml:space="preserve">IMPEL ENGINEERS PVT LTD </t>
  </si>
  <si>
    <t>Kadillac Chemicals Pvt Ltd</t>
  </si>
  <si>
    <t>Klintek Engineers</t>
  </si>
  <si>
    <t>Magnetic and Controls</t>
  </si>
  <si>
    <t>MECHAIR INDUSTRIES</t>
  </si>
  <si>
    <t>Metalic technoforge pvt ltd</t>
  </si>
  <si>
    <t>MIPA Industries</t>
  </si>
  <si>
    <t>Navy Blue Energy</t>
  </si>
  <si>
    <t>Organics Sattva</t>
  </si>
  <si>
    <t>PADMAVAHINI TRANSFORMERS PRIVATE LIMITED</t>
  </si>
  <si>
    <t>POWERPACE ENERGY PVT. LTD.</t>
  </si>
  <si>
    <t>Preci-Max Rollers</t>
  </si>
  <si>
    <t>Dropped</t>
  </si>
  <si>
    <t xml:space="preserve">Precision Equipments Chennai PVT Ltd </t>
  </si>
  <si>
    <t>Precision Sintered Products</t>
  </si>
  <si>
    <t>Ramprasad Tubes and Bars Pvt Ltd</t>
  </si>
  <si>
    <t>Rawmart</t>
  </si>
  <si>
    <t>Reckon Diagnostic</t>
  </si>
  <si>
    <t>Recla Internationals Pvt ltd</t>
  </si>
  <si>
    <t>Rio Innovbev</t>
  </si>
  <si>
    <t>Sai-Lee Elektrotekniks</t>
  </si>
  <si>
    <t>SAJ TEST PLANT PVT LTD</t>
  </si>
  <si>
    <t>Shreenathji Steel</t>
  </si>
  <si>
    <t>Shubham Aquavitro Pvt. Ltd.</t>
  </si>
  <si>
    <t>Siddhi Group</t>
  </si>
  <si>
    <t>Southern Alloy Foundries Private Limited</t>
  </si>
  <si>
    <t xml:space="preserve">Terra equipment </t>
  </si>
  <si>
    <t>Topline Switchgear Pvt Ltd</t>
  </si>
  <si>
    <t>Twin Engineers</t>
  </si>
  <si>
    <t>Vrundavan Dairy LLP</t>
  </si>
  <si>
    <t>Windplus Pvt Ltd</t>
  </si>
  <si>
    <t>WORLD GOODS MARKETPLAECE PRIVATE LIMITED</t>
  </si>
  <si>
    <t>Delzad Khambata</t>
  </si>
  <si>
    <t>delzad@zeusengitech.com</t>
  </si>
  <si>
    <t>Dutt AdTech Pvt Ltd.</t>
  </si>
  <si>
    <t>Vignesh</t>
  </si>
  <si>
    <t>Durga Das</t>
  </si>
  <si>
    <t>dd@aeronero.com</t>
  </si>
  <si>
    <t>Autocracy</t>
  </si>
  <si>
    <t>Chirag Gupta</t>
  </si>
  <si>
    <t>chirag@bebeburp.com, founders@bebeburp.com</t>
  </si>
  <si>
    <t>Biofics</t>
  </si>
  <si>
    <t>Blueisland Clothing</t>
  </si>
  <si>
    <t>Divyajeetsinh Chauhan</t>
  </si>
  <si>
    <t>divyajit@bullagritech.in</t>
  </si>
  <si>
    <t>Car Dhobi</t>
  </si>
  <si>
    <t>Care Mother</t>
  </si>
  <si>
    <t xml:space="preserve">Clean Electric </t>
  </si>
  <si>
    <t>Cookr</t>
  </si>
  <si>
    <t xml:space="preserve">Cultyvate- Farms2Fork Technologies Pvt Ltd </t>
  </si>
  <si>
    <t>Mallesh</t>
  </si>
  <si>
    <t>mallesh@cultyvate.com</t>
  </si>
  <si>
    <t>Mallesh : 97386 34253</t>
  </si>
  <si>
    <t>Dingg</t>
  </si>
  <si>
    <t>Divine Foods</t>
  </si>
  <si>
    <t>Enercomp</t>
  </si>
  <si>
    <t>E-Sandhai</t>
  </si>
  <si>
    <t>eSwasthya</t>
  </si>
  <si>
    <t>Manoj Koshia</t>
  </si>
  <si>
    <t>eximburg@gmail.com</t>
  </si>
  <si>
    <t>Extra Edge</t>
  </si>
  <si>
    <t>EZLease</t>
  </si>
  <si>
    <t>Flexyfi Me</t>
  </si>
  <si>
    <t>Sameer Dhombe Patil</t>
  </si>
  <si>
    <t>dombe.samir@gmail.com</t>
  </si>
  <si>
    <t>Futr.Ag</t>
  </si>
  <si>
    <t>FynMobility</t>
  </si>
  <si>
    <t>Green Era Recyclers</t>
  </si>
  <si>
    <t>Krishna Badwane</t>
  </si>
  <si>
    <t>krishna@indian-drivers.com</t>
  </si>
  <si>
    <t>Innovotek</t>
  </si>
  <si>
    <t>Inspacco</t>
  </si>
  <si>
    <t>Jeevitham</t>
  </si>
  <si>
    <t>Vinodh</t>
  </si>
  <si>
    <t>vinodh@jidoka-tech.com</t>
  </si>
  <si>
    <t xml:space="preserve">Jivika Healthcare </t>
  </si>
  <si>
    <t>Shankar R</t>
  </si>
  <si>
    <t>rshankar@linkmiles.com; 
sebastian@linkmiles.com</t>
  </si>
  <si>
    <t>Prasanna</t>
  </si>
  <si>
    <t>manjula.g@shriven.in &lt;manjula.g@shriven.in&gt;; prasanna.v@shriven.in &lt;prasanna.v@shriven.in&gt;</t>
  </si>
  <si>
    <t>Prasanna - 7358712151</t>
  </si>
  <si>
    <t>Sanjeeviraja</t>
  </si>
  <si>
    <t>sanjeeviraja@manufyx.co.in</t>
  </si>
  <si>
    <t>+91 95007 88980</t>
  </si>
  <si>
    <t>Mr. Meds</t>
  </si>
  <si>
    <t>Muse Wearables</t>
  </si>
  <si>
    <t>Meet Shah</t>
  </si>
  <si>
    <t xml:space="preserve">	meetshah@ngearsafe.com</t>
  </si>
  <si>
    <t>Ananya Maloo</t>
  </si>
  <si>
    <t>ananya@nuutjob.com, anushree@nuutjob.com</t>
  </si>
  <si>
    <t>Shani Pandya</t>
  </si>
  <si>
    <t>shani.pandya@powertree.co.in</t>
  </si>
  <si>
    <t>QNU Labs</t>
  </si>
  <si>
    <t>Dinesh Arjun</t>
  </si>
  <si>
    <t>dinesh@rapteemotors.com</t>
  </si>
  <si>
    <t>School Dairy</t>
  </si>
  <si>
    <t>Scybers</t>
  </si>
  <si>
    <t>Serigen Mediproducts</t>
  </si>
  <si>
    <t>Smart Node</t>
  </si>
  <si>
    <t>Source One</t>
  </si>
  <si>
    <t>Strides Software Solutions</t>
  </si>
  <si>
    <t>Truscholar</t>
  </si>
  <si>
    <t>Tvasta</t>
  </si>
  <si>
    <t>Swapnil</t>
  </si>
  <si>
    <t>swapnil@uravulabs.com</t>
  </si>
  <si>
    <t>rahul@urdhvam.com</t>
  </si>
  <si>
    <t>Tarun</t>
  </si>
  <si>
    <t>tarun@mithi.com</t>
  </si>
  <si>
    <t xml:space="preserve">Ved Sanjeevni </t>
  </si>
  <si>
    <t>Arjun</t>
  </si>
  <si>
    <t>arjun@videosdk.live; vikram@videosdk.live</t>
  </si>
  <si>
    <t>Vikram- 9873545857</t>
  </si>
  <si>
    <t>Vold Energy</t>
  </si>
  <si>
    <t>WACTO</t>
  </si>
  <si>
    <t>WEGoT</t>
  </si>
  <si>
    <t xml:space="preserve">Mentor Name </t>
  </si>
  <si>
    <t>Venture satisfied either partly or replied No for next actionable steps</t>
  </si>
  <si>
    <t>How useful was this mentor session according to venture</t>
  </si>
  <si>
    <t>RN Remarks</t>
  </si>
  <si>
    <t>Category</t>
  </si>
  <si>
    <t>Connected By Us?</t>
  </si>
  <si>
    <t>Response Status</t>
  </si>
  <si>
    <t>Categpry-2</t>
  </si>
  <si>
    <t>High-quality B2B introductions (500+ target accounts) to accelerate enterprise client acquisition and services revenue.</t>
  </si>
  <si>
    <t>No</t>
  </si>
  <si>
    <t>Not useful</t>
  </si>
  <si>
    <t>17-mar-2026: Venture rejected the call
16-mar-2026: Venture rejected the call
13-Mar-2026: Wasn't reachbale
11-mar-2026: Venture asked to call tommorow</t>
  </si>
  <si>
    <t>No Response: Call Disconnected</t>
  </si>
  <si>
    <t xml:space="preserve"> Access to branding and communication experts to shift from founder-led sales to a strong pull-based consumer brand.</t>
  </si>
  <si>
    <t>Partly</t>
  </si>
  <si>
    <t>Moderately useful</t>
  </si>
  <si>
    <t>Slightly useful</t>
  </si>
  <si>
    <t>B. Gopalkrishnan</t>
  </si>
  <si>
    <t>New ask
1. Fund raising - Financial duediligence - sriram expert conenct required
----------------------------------------
OTC Market Access &amp; Retail Expansion Expert
To enable placement in large pharmacy and wellness chains (Wellness Forever, Apollo, 1mg, PharmEasy, MedPlus), with experience in Ayurveda/FMCG retail onboarding.
Supply Chain &amp; Demand Fulfilment Specialist
Expert to audit current supply chain and operations, and design faster inventory placement and replenishment across key geographies (T+1 / T+2 readiness).
Ayurveda Product &amp; Regulatory Expert
Consultant with experience in FDA (Ayush) approvals, Ayurvedic compliance, labeling, and audit readiness.
Digital &amp; Performance Marketing Expert (Wellness/D2C)
To audit and optimise in-app marketing, retargeting, CAC efficiency, and performance-led growth.
Quick Commerce (Q-Commerce) Strategy Expert
Specialist to guide city-wise and micro-market expansion via Blinkit/Zepto/Instamart-style platforms.
FMCG / Wellness Brand Strategist
Senior brand leader to build OTC credibility, shelf visibility, and long-term brand positioning.
Influencer &amp; OTC Marketing Agencies
Agencies with proven experience in wellness and Ayurveda (including influencer-led demand creation and OTC-focused campaigns).
Operations &amp; Process Optimization Consultant
To streamline backend operations, inventory planning, and readiness for retail + Q-commerce scale.
VC &amp; Fundraising Advisor (Ayurveda Thesis)
Access to and guidance from investors with a strong Ayurveda/wellness thesis (e.g., Series A-focused funds like Fireside Ventures).
Founder Mentor / Leadership Coach
Experienced consumer brand founder (e.g., Sanjiv Juneja, Dr. Ortho’s founder) to guide scale, brand building, and leadership decisions.
Talent &amp; Hiring Support (Growth &amp; Marketing)
Recruitment agency support to hire strong digital marketing and growth talent.</t>
  </si>
  <si>
    <t>Very useful</t>
  </si>
  <si>
    <t>13-Mar-2026: Venture found that mentor is suitable for early age startups but not entures like them. The knowledge was at very basic and useful for early age startups</t>
  </si>
  <si>
    <t>Misalignment</t>
  </si>
  <si>
    <t>Yes</t>
  </si>
  <si>
    <t>Received</t>
  </si>
  <si>
    <t>US Market penetration, Funding, Product Packaging etc -g</t>
  </si>
  <si>
    <t>17-Mar-2026: Mentor was not aligned with venture's technology 
16-Mar-2026: Venture didn't received my call</t>
  </si>
  <si>
    <t>Seeking mentorship on scaling the D2C business and expanding into international markets, building a strong community-driven platform to enhance brand engagement, and preparing for an effective fundraising strategy to support growth and global expansion.</t>
  </si>
  <si>
    <t>17-mar-2026: The session was good and the mentor shared useful insights. However, most of the points discussed are things the team is already working on, so there wasn’t anything significantly new. They said, they are implementing the suggestions shared and found the mentor helpful. If needed, they would like to reconnect with the mentor in the future.
13-Mar-2026: Called twice but mentor not answering</t>
  </si>
  <si>
    <t>Founder already was well aware of the topic</t>
  </si>
  <si>
    <t>Market Access &amp; API Partnerships: Build integrations with leading adtech, martech, and social platforms to expand reach and stickiness.
Commercial Pilots &amp; Enterprise Deal Closures: Secure pilots with large agencies and convert them into long-term enterprise contracts.
Product Strategy &amp; Agentic AI Development: Enhance platform intelligence with AI-driven campaign optimization and automation features.
Customer Success &amp; Scaling: Strengthen onboarding, analytics-driven insights, and retention playbooks to scale accounts globally.</t>
  </si>
  <si>
    <t>11-Mar-2026: It was an intro call i.e. why, they were not able to identify clear steps. Also HM shared mentor's number with venture and they connected over for further discussion.
Connected on 5th Dec
g</t>
  </si>
  <si>
    <t>1st Intro Call</t>
  </si>
  <si>
    <t>B Gopalkrishnan</t>
  </si>
  <si>
    <t xml:space="preserve">GTM Industry connects - Cross industries. </t>
  </si>
  <si>
    <t>16-mar-2026: Wanted another round of discussion with him. And also Need Business Developement Head.</t>
  </si>
  <si>
    <t xml:space="preserve">Accelerate B2B Sales Growth 
</t>
  </si>
  <si>
    <t>17-mar-2026: Marketing guy called and mentioned the session was great and mentor only asked questions and collected the data. Didn't want to connect again as the marketing understood the insights again and is working on them. Will confirm if another session required with him.
17-Mar-2026: Founder told his marketing team head will call us and give proper feedback. He also mentioned that as it was first session, wanted to get connected with him again
13-mar-2026: Not answering the calls
11-mar-2026: Not answering the calls</t>
  </si>
  <si>
    <t>2.a</t>
  </si>
  <si>
    <t>Finance &amp; Systems – Experts for ERP/financial system implementation and working capital structuring.</t>
  </si>
  <si>
    <t>Extremely useful</t>
  </si>
  <si>
    <t>17- Mar-2026: The session was good and the mentor shared valuable insights. However, due to limited time and it being more of an introductory session, the discussion remained at a basic level. The mentor should be reconnected with the venture for a more in-depth session. The key points have already been conveyed to the HM as well.
17-Mar-2026: Asked to call again shortly
16-Mar-2026: Asked to call tomorrow</t>
  </si>
  <si>
    <t>Arun Sharma</t>
  </si>
  <si>
    <t>Accelerate regulatory readiness for export markets with expert partners.</t>
  </si>
  <si>
    <t>11-Mar-2026: The suggestion were not reletable and also venture want to connect with new set of metors and convyed this to HM a month ago</t>
  </si>
  <si>
    <t>Not able to Contribute</t>
  </si>
  <si>
    <t>2.b</t>
  </si>
  <si>
    <t>Not found</t>
  </si>
  <si>
    <t>Not suggested or connected by us. Was directly connected by HM
11-Mar-2026: Mentor is aliginging with their problem and they want person from B2B</t>
  </si>
  <si>
    <t>Vendor &amp; Quality Process Strengthening – Support in standardizing vendor audits, quality check frameworks, and long-term vendor development partnerships to ensure timely, reliable project execution.</t>
  </si>
  <si>
    <t xml:space="preserve">11-mar-2026: The mentor was not able to give new ideas for the session. More mentor connects to be done in marketing. Call was good. Mentor was also good.  
He himself has good experience in Vendor Quality side hence whatever was shared by Mentor, he was already aware
As per him, it was not the Wrong matching either
He realized, he need to focus on other area of business. </t>
  </si>
  <si>
    <t>17-Mar-2026: Venture will call on saturday
17-mar-2026: Venture not answering the call
13-mar-2026: Venture rejected the call
11-mar-2026: Not answering the calls</t>
  </si>
  <si>
    <t>Mr. Mohanakrishnan</t>
  </si>
  <si>
    <t>"GTM &amp; Pricing Strategy Expert (Urban Services)
To refine housing-society GTM channels, optimize pricing models (₹1,000 per pickup + ₹/kg), and drive vertical scaling within RWAs and gated communities."</t>
  </si>
  <si>
    <t>17-mar-2026: Venture filled by mistake and was impressed by mentor and is coordinating with the mentor directly for help over email.
16-Mar-2026: Venture rejected the call
11-Mar-2026: Asked to call tomorrow</t>
  </si>
  <si>
    <t>Filled by Mistake</t>
  </si>
  <si>
    <t>Mr.Shriram Chidambaram</t>
  </si>
  <si>
    <t>Investor Readiness &amp; Financial Planning – Assistance in building a compelling investment narrative, refining cost structures, and securing early-stage funding or grants.</t>
  </si>
  <si>
    <t>16-Mar-2026: The sessiion was an introductory one that's why it is Partly. Want to connect with some other mentor and conveyed it to HM.</t>
  </si>
  <si>
    <t>16-Mar-2026: The session was an introductory one that's why it is Partly. Want to connect with some other mentor for some other ask and conveyed it to HM.</t>
  </si>
  <si>
    <t xml:space="preserve">11-mar-2026: Mentor was not spekaing much about the problem. Venture also mentioned that he has conveyed this to HM
Meeting was short. Mentor didn’t really talk much. Mentor was in Hurry. Then he was not reachable. Conversation was Awkward. </t>
  </si>
  <si>
    <t>Raptee Energy Pvt LTd</t>
  </si>
  <si>
    <t>Raptee founder require connect with Head of marketing of Global D2C brand like Oneplus</t>
  </si>
  <si>
    <t>16-mar-2026: Meeting went well. Only Gap there was the type of vehicles he was selling was not what founder is trying to build. He was probably was not fit. 
He shared that there were some challenges with Arnab, but did not share what challenges. 
Mentor was kind and nothing wrong. It was just about the Miss alignment. .</t>
  </si>
  <si>
    <t>LeanKloud</t>
  </si>
  <si>
    <t xml:space="preserve">Market Access &amp; Channel Partnership Enablement	</t>
  </si>
  <si>
    <t xml:space="preserve">
17-Mar-2026: venture not replying, but as per the remarks mentioned in the feedback, the session was good.
16-mar-2026: Venture not replying</t>
  </si>
  <si>
    <t>Not connected by us</t>
  </si>
  <si>
    <t>11-Mar-2026: Mentor was good but we wern't able to identify next steps as he was from agritech and were are from F&amp;B category</t>
  </si>
  <si>
    <t>16-Mar-2026: Mentor discussed quality aspects and was a genius guy, and want to connect with mentor again
He was also very very helpful . Suggested changes founder is implying also.</t>
  </si>
  <si>
    <t>Ramkumar Subramanian</t>
  </si>
  <si>
    <t>Market access (international), other verticals / sector expansion-g</t>
  </si>
  <si>
    <t>17-Mar-2026: venture not answering
16-mar-2026: Venture Rejected my call</t>
  </si>
  <si>
    <t>DR Jagadeesh Gandla</t>
  </si>
  <si>
    <t>Operational Efficiency – Assistance in process mapping, SOP documentation, and ERP (Odoo) optimization to improve team productivity and inventory visibility.</t>
  </si>
  <si>
    <t>16-mar-2026: He is into R&amp;D and biotechnology which is not relatable for us.</t>
  </si>
  <si>
    <t>Shrinivas Yanamandra</t>
  </si>
  <si>
    <t>Farmer Credit Enablement – Connections to NBFCs, livelihood-focused funds, and Agri-fintech partners to co-create a farmer credit model and explore guaranteed loan structures.</t>
  </si>
  <si>
    <t>11-Mar-2026: Mentor was only collecting. But if second follow call is there, it could be helpful</t>
  </si>
  <si>
    <t>6-Feb-2026: New ASk
Sales, Domestic Market Expansion related Mentor
------------------------
1) Being pioneers in the world to come up with gadgets for physios., concept selling is not easy. 
2) Not many MedTech professionals for sales &amp; marketing. Founders are only doing sales. 
3) Although the direct clients are from Physiotherapy department, the upstream for this are Ortho. &amp; Neuro. are the core departments to be focused.</t>
  </si>
  <si>
    <t>17-Mar-2026: The venture prefers a mentor connection focused more on enabling relevant business connections rather than just general guidance. They are looking for introductions through the Wadhwani network (e.g., hospitals or healthcare chains) that can directly support business opportunities. As highlighted in feedback and calls, the current HM support has been limited, and the venture is seeking stronger, more relevant connects where we can add value.
16-mar-2026: Venture rejected the call</t>
  </si>
  <si>
    <t>Dheeraj</t>
  </si>
  <si>
    <t>17-Mar-2026: Filled mistakenly and It was Mr Dheeresh only</t>
  </si>
  <si>
    <t>- Evaluate the addressable market within leading hospital chains to identify the growth potential.
-Refine the sales process journey to improve the customer engagement model.
-Plan and prioritise a one-year intervention roadmap, aligning key initiatives, timelines, and support areas to drive venture growth.</t>
  </si>
  <si>
    <t>16-Mar-2026: He has delt with infra related prodcuts and venture has products with someting different and they want someone more relatable to our feild i.e in consumables devices</t>
  </si>
  <si>
    <t>Kavya</t>
  </si>
  <si>
    <t>Branding &amp; Product Experience – Guidance from a branding/packaging agency to strengthen visual identity, differentiate SKUs, and refine UI/UX for the B2C self-learning model.</t>
  </si>
  <si>
    <t>11-mar-2026: The mentor was confuesed and was a intro call. Don't need to connect with her. Also she didn't seemed to understand the venture as well.</t>
  </si>
  <si>
    <t>B2G &amp; Enterprise Market Access – Support in connecting with CSR heads of large conglomerates and introductions to top school chains (DPS, Jaipuria, etc.) to accelerate domestic sales.</t>
  </si>
  <si>
    <t>11-mar-2026: The mentor was confuesed and was a intro call. Don't need to connect with him</t>
  </si>
  <si>
    <t>Corporate GTM Strategy &amp; Engine Building</t>
  </si>
  <si>
    <t>16-mar-2026: Venture are looking someone more specific in B2B and venture like them who making revenue like us not who are at initial. Also venture raised a request to get connect with Kedar for more asks.</t>
  </si>
  <si>
    <t>Founder Independence &amp; Sales Process Design</t>
  </si>
  <si>
    <t xml:space="preserve">16-Mar-2026: The session was good and had vast experience and another session will same mentor will be required. </t>
  </si>
  <si>
    <t>Invoice Status</t>
  </si>
  <si>
    <t>Invoice Number</t>
  </si>
  <si>
    <t>Invoice related Remarks</t>
  </si>
  <si>
    <t>Not Found</t>
  </si>
  <si>
    <t>17-Apr-2026: Informed mentor that his MSA is been executed</t>
  </si>
  <si>
    <t>In Pipeline: Pending/On-Going Discussion</t>
  </si>
  <si>
    <t>Chitra Singh</t>
  </si>
  <si>
    <t>Dropped / On Hold</t>
  </si>
  <si>
    <t>Raised</t>
  </si>
  <si>
    <t>17-Apr-2026: Asked for changes in Invoice</t>
  </si>
  <si>
    <t xml:space="preserve">Mentor(s) Selected: Schedule Meeting </t>
  </si>
  <si>
    <t>Suggested Mentors: Awaiting Reply</t>
  </si>
  <si>
    <t>Shared with Finance Team - Pending Payment</t>
  </si>
  <si>
    <t>002/2026</t>
  </si>
  <si>
    <t>17-Apr-2026: Shared with Finance Team to Process</t>
  </si>
  <si>
    <t>Mentor(s) Selected: Pause Request</t>
  </si>
  <si>
    <t>Mukul Agarwal2</t>
  </si>
  <si>
    <t>Mentor(s) Selected: Meeting Cancelled</t>
  </si>
  <si>
    <t>Tarun Goel</t>
  </si>
  <si>
    <t>Inv#001</t>
  </si>
  <si>
    <t>Discussion Done: Suggest Mentors</t>
  </si>
  <si>
    <t>98220 20629</t>
  </si>
  <si>
    <t>Tarun Kumar</t>
  </si>
  <si>
    <t>Sudhindra Paraki</t>
  </si>
  <si>
    <t>Ravi</t>
  </si>
  <si>
    <t>Akash</t>
  </si>
  <si>
    <t>akash@gyroindia.com</t>
  </si>
  <si>
    <t>Anil</t>
  </si>
  <si>
    <t>anil.alex@fontierz.com</t>
  </si>
  <si>
    <t>Inv#264</t>
  </si>
  <si>
    <t>17-Apr-2026: Asked for changes in Invoice. Shared with Porgram Team</t>
  </si>
  <si>
    <t>Avinash Kumar</t>
  </si>
  <si>
    <t>Antoni Devaraj</t>
  </si>
  <si>
    <t>antoni.devaraj@hogist.com</t>
  </si>
  <si>
    <t>velaanmart@gmail.com</t>
  </si>
  <si>
    <t>Astha Dixit</t>
  </si>
  <si>
    <t>Pradeep Gidwani</t>
  </si>
  <si>
    <t>Reena Ahuja</t>
  </si>
  <si>
    <t>Mentor(s) Selected: Meeting Scheduled</t>
  </si>
  <si>
    <t>Nayan Godhaviya</t>
  </si>
  <si>
    <t>nayan@nanobee.in</t>
  </si>
  <si>
    <t>Sanskriti Kapoor</t>
  </si>
  <si>
    <t>Dhaval Shah</t>
  </si>
  <si>
    <t>Sagar</t>
  </si>
  <si>
    <t>sagar@stembotix.in</t>
  </si>
  <si>
    <t>Uttam Tiwari</t>
  </si>
  <si>
    <t>Sent Feedback Form: Founder not responding</t>
  </si>
  <si>
    <t>Nitesh Sharma</t>
  </si>
  <si>
    <t>Archana Stalin</t>
  </si>
  <si>
    <t>archana@myharvestfarms.com</t>
  </si>
  <si>
    <t>Gokul</t>
  </si>
  <si>
    <t>chetan@alpinohealthfoods.com</t>
  </si>
  <si>
    <t>Ravi Ranjan</t>
  </si>
  <si>
    <t>ravi@dhobig.com</t>
  </si>
  <si>
    <t>Abhilash Puljal</t>
  </si>
  <si>
    <t>Inv#002</t>
  </si>
  <si>
    <t>Amit Sabale</t>
  </si>
  <si>
    <t>J Jayakumar</t>
  </si>
  <si>
    <t>jk@sarumam.com</t>
  </si>
  <si>
    <t>Mihir Shah</t>
  </si>
  <si>
    <t>mihir.shah@agriown.com</t>
  </si>
  <si>
    <t>Pradeep Motwani</t>
  </si>
  <si>
    <t>pradeep@terrablu.life</t>
  </si>
  <si>
    <t>Sagar Mahat</t>
  </si>
  <si>
    <t>Mahesh Natarajan</t>
  </si>
  <si>
    <t>Arun Dikshit</t>
  </si>
  <si>
    <t>Roshan Rawal</t>
  </si>
  <si>
    <t>roshan@expositarvr.com</t>
  </si>
  <si>
    <t>Krunal Shah</t>
  </si>
  <si>
    <t>krunal.shah@qarmatek.com</t>
  </si>
  <si>
    <t>Adhnan Rasheed</t>
  </si>
  <si>
    <t>Abhishekh Gulia</t>
  </si>
  <si>
    <t>Manjunath Gowda</t>
  </si>
  <si>
    <t>Dhiraj Khot</t>
  </si>
  <si>
    <t>Himanshu Joshi</t>
  </si>
  <si>
    <t>Sudhir</t>
  </si>
  <si>
    <t>Sudhir@leapinfosys.com</t>
  </si>
  <si>
    <t>Prasanna Vasanadu</t>
  </si>
  <si>
    <t>prasanna@vrderma.com</t>
  </si>
  <si>
    <t>He can help refine a 5–10 year vision, build a profitable GTM engine, and use AI, analytics, and brand strength to grow without discount dependency. His experience with large consumer brands and scalable strategy fits a 100 Cr ARR goal well.</t>
  </si>
  <si>
    <t>Respondent ID</t>
  </si>
  <si>
    <t>Collector ID</t>
  </si>
  <si>
    <t>Start Date</t>
  </si>
  <si>
    <t>End Date</t>
  </si>
  <si>
    <t>IP Address</t>
  </si>
  <si>
    <t>Email Address</t>
  </si>
  <si>
    <t>First Name</t>
  </si>
  <si>
    <t>Last Name</t>
  </si>
  <si>
    <t>Custom Data 1</t>
  </si>
  <si>
    <t>language</t>
  </si>
  <si>
    <t>Name</t>
  </si>
  <si>
    <t>Registered Email ID</t>
  </si>
  <si>
    <t>Contact Number</t>
  </si>
  <si>
    <t>1. Who was your mentor for this session?</t>
  </si>
  <si>
    <t>2. How useful was this mentor session for your current business priorities?</t>
  </si>
  <si>
    <t>3. Did this session help you identify clear actionable next steps?</t>
  </si>
  <si>
    <t>4. Do you need to meet this mentor again to discuss your current business priorities?</t>
  </si>
  <si>
    <t xml:space="preserve">5. Anything you’d like to share about your experience in this session? </t>
  </si>
  <si>
    <t>Connected by Us</t>
  </si>
  <si>
    <t xml:space="preserve">Start of Week </t>
  </si>
  <si>
    <t>Round</t>
  </si>
  <si>
    <t>182.77.75.233</t>
  </si>
  <si>
    <t>I selected “Moderately” because I would like to first implement the insights and suggestions shared, and then evaluate how effective they are. Overall, the session was very good.</t>
  </si>
  <si>
    <t>13-Apr-2026: The mentor was good, but they wanted to see if the suggestions are truely useful at time of implementation.</t>
  </si>
  <si>
    <t>152.59.34.214</t>
  </si>
  <si>
    <t>en</t>
  </si>
  <si>
    <t>Support on brand repositioning, surrogate marketing strategy, and reducing CAC while improving Amazon/quick commerce ROAS.</t>
  </si>
  <si>
    <t xml:space="preserve">Insight of Digital marketing </t>
  </si>
  <si>
    <t>13-Apr-2026: The mentor was good, but they needed more support in digital marketing. Please suggest another mentor for this. Also, he’d like to connect with Kushagra Gupta for reviewing and auditing my Amazon account.</t>
  </si>
  <si>
    <t>Not able to contribute</t>
  </si>
  <si>
    <t>172.225.220.134</t>
  </si>
  <si>
    <t>Business Strategy: Refine 5-10 year vision, GTM/sales/marketing optimization for 100 Cr ARR (profitable), leveraging Shark Tank momentum without deep discounts.</t>
  </si>
  <si>
    <t xml:space="preserve">Mr. Krishna Dorai was excellent and gave some great insights and executable action points in the session. It was great connecting with him. </t>
  </si>
  <si>
    <t>182.77.75.193</t>
  </si>
  <si>
    <t>Funding &amp; Positioning – Strategic mentorship on framing Stembotix as a deep-tech edtech enterprise to strengthen its fundraising narrative for VCs and PE funds.</t>
  </si>
  <si>
    <t>Want to meet the mentor again in Mid April</t>
  </si>
  <si>
    <t>Operational Structure: Design scalable ops framework to match growth pace, including team scaling from fractional leaders (e.g., CGO/CBO/R&amp;D) to full-time hires and process standardization.</t>
  </si>
  <si>
    <t>The mentor was good and want to meet him even but will fix the agenda and if he agrees that he will be fit for that then only I need a call with him.</t>
  </si>
  <si>
    <t>20-Mar-2026: Will check if the mentor is able give them desired outcome as in if he will agree on the agenda then want another call</t>
  </si>
  <si>
    <t>Leadership Scaling: Fill second-level leadership gaps to avoid founder bottleneck, build loyalty/community programs, and granular data dashboards for decisions.</t>
  </si>
  <si>
    <t>We discussed on clearity and looking forward to meet with mentor again.</t>
  </si>
  <si>
    <t>Expertise in warehouse SOPs, automation, and people/process optimization for rapid multi-location expansion.</t>
  </si>
  <si>
    <t>Wanted to connected with mentor again, as he is a very good fit for our requirement.</t>
  </si>
  <si>
    <t>18-mar-2026: The venture expected immediate advice, but as it was an introductory call, the mentor focused on understanding the venture first.</t>
  </si>
  <si>
    <t>49.43.33.204</t>
  </si>
  <si>
    <t>Chirag</t>
  </si>
  <si>
    <t>founders@bebeburp.com</t>
  </si>
  <si>
    <t>Support on Amazon and Quick Commerce scaling, including ROAS optimization, category insights, and inventory planning.</t>
  </si>
  <si>
    <t>The session gave us a good insight for D2C but moreover he is about to get back to us with a proposal for the service he can offer in 4 days</t>
  </si>
  <si>
    <t>31-mar-2026: It was an intro call that's why mentor didn't gave his feedbacks and venture wants to get connected with mentor again
26-Mar-2026: Not reachable</t>
  </si>
  <si>
    <t>49.205.83.204</t>
  </si>
  <si>
    <t>I want a deep dive in some specific areas</t>
  </si>
  <si>
    <t>Mentor was good but the Founder already was well aware of the topic</t>
  </si>
  <si>
    <t>182.77.73.16</t>
  </si>
  <si>
    <t>The session was okay and we are looking more detailed for BFSI.</t>
  </si>
  <si>
    <t>26-Mar-2026: Mr. Srinivasan is an early age startup mentor, we want some mature mentors who can replicate Banking model. Informed Rishabh about this and want mentor for fundraising thing and was conveyed to Rishabh about this.</t>
  </si>
  <si>
    <t>chirag@bebeburp.com</t>
  </si>
  <si>
    <t>97123 77798</t>
  </si>
  <si>
    <t>Bharat really has great knowledge and want to connect with  him again he has knowledge for scaleup thing</t>
  </si>
  <si>
    <t>11-Mar-2026: The venture expected immediate advice, but as it was an introductory call, the mentor focused on understanding the venture first.</t>
  </si>
  <si>
    <t>Expertise in brand building, influencer-led growth, and content/SEO for long-term marketing efficiency.</t>
  </si>
  <si>
    <t>Sivesh Kumar</t>
  </si>
  <si>
    <t xml:space="preserve">The session was bit confusing. </t>
  </si>
  <si>
    <t>30-Mar-2026: For this only Mr. Sivesh was only suggested by Jigar. Mentor do not know much influencer led content.
26-Mar-2026: Not reachable</t>
  </si>
  <si>
    <t>gg@botminds.ai</t>
  </si>
  <si>
    <t>GTM, enterprise sales and account expansion expertise.</t>
  </si>
  <si>
    <t>Mahesh Natrajan</t>
  </si>
  <si>
    <t>The feedback was very helpful and would like to meet the mentor in few months</t>
  </si>
  <si>
    <t>The session was good. The clearity with which Mr. sood was taking session was beyond imagination.</t>
  </si>
  <si>
    <t>49.36.90.125</t>
  </si>
  <si>
    <t>KRUNAL S SHAH</t>
  </si>
  <si>
    <t>krunal.shah@Qarmatek.com</t>
  </si>
  <si>
    <t xml:space="preserve">Not at all useful </t>
  </si>
  <si>
    <t>31-Mar-2026: Founder asked to call after next week as he is busy in march  closing thing
17-mar-2026: Venture rejected the call
16-mar-2026: Venture rejected the call
13-Mar-2026: Wasn't reachbale
11-mar-2026: Venture asked to call tommorow</t>
  </si>
  <si>
    <t>Access to branding and communication experts to shift from founder-led sales to a strong pull-based consumer brand.</t>
  </si>
  <si>
    <t>He was going to get back with a questionairre but he hasn't - so if you could speak with him and check out his interest ? i would be glad to speak with him again</t>
  </si>
  <si>
    <t>he was supposed to get back but he never did so won't be going forward with him</t>
  </si>
  <si>
    <t>Strategic technology leadership (CTO-level advisory) to drive AI-led procurement, pricing, and digital transformation at scale.</t>
  </si>
  <si>
    <t>Ashesh D Shah</t>
  </si>
  <si>
    <t xml:space="preserve">I have already signed up with Ashesh bhai for the next steps </t>
  </si>
  <si>
    <t>182.77.79.169</t>
  </si>
  <si>
    <t>Really good session and we were able to raise funds</t>
  </si>
  <si>
    <t xml:space="preserve">The experience was very good and very helpful to us </t>
  </si>
  <si>
    <t>Marketing Strategy Transition</t>
  </si>
  <si>
    <t>It was just an intro call and was good.</t>
  </si>
  <si>
    <t>23.119.202.218</t>
  </si>
  <si>
    <t>Pankaj Dhingra</t>
  </si>
  <si>
    <t>pankaj@botminds.ai</t>
  </si>
  <si>
    <t>+1 425 495 9680</t>
  </si>
  <si>
    <t>Mahesh Nataranjan</t>
  </si>
  <si>
    <t>Duplicate</t>
  </si>
  <si>
    <t>Was just Ok.</t>
  </si>
  <si>
    <t>Not suggested or connected by us. Was directly connected by HM
11-Mar-2026: Mentor was not aliginging with their problem and they want person from B2B</t>
  </si>
  <si>
    <t>202.149.204.125</t>
  </si>
  <si>
    <t>Sriram Chadambaram</t>
  </si>
  <si>
    <t>Not impressed with him</t>
  </si>
  <si>
    <t>Fund raising: WIP Legal Advise - Legal expert to review fund raise related documents.</t>
  </si>
  <si>
    <t>We had a discussion and signed the term sheet and asked to share the term sheet.</t>
  </si>
  <si>
    <t>Mentorship from someone senior who has dealt with gem tenders, channel partners who would have dealt with hospital, clinics, surgeon</t>
  </si>
  <si>
    <t xml:space="preserve">Overall it was good session and was a guy good. </t>
  </si>
  <si>
    <t>219.91.175.158</t>
  </si>
  <si>
    <t>Sudhir Patil</t>
  </si>
  <si>
    <t xml:space="preserve">Highly practical and insightful </t>
  </si>
  <si>
    <t>106.192.66.74</t>
  </si>
  <si>
    <t>Sanjeeviraja S</t>
  </si>
  <si>
    <t>Manu kumar</t>
  </si>
  <si>
    <t>103.149.127.68</t>
  </si>
  <si>
    <t>Preeti Deshmukh</t>
  </si>
  <si>
    <t>preeti.a.deshmukh@gmail.com</t>
  </si>
  <si>
    <t>Gave us lot of clarity and roadmap Looking forward for more sessions</t>
  </si>
  <si>
    <t>122.168.65.87</t>
  </si>
  <si>
    <t>Karthikeyan MV</t>
  </si>
  <si>
    <t>karthikeyan.mv@padcarelabs.com</t>
  </si>
  <si>
    <t>77580 36651</t>
  </si>
  <si>
    <t xml:space="preserve">It was a nice discussion with him and got a good insights. </t>
  </si>
  <si>
    <t>122.168.71.136</t>
  </si>
  <si>
    <t>"""GTM &amp; Pricing Strategy Expert (Urban Services)
 To refine housing-society GTM channels, optimize pricing models (₹1,000 per pickup + ₹/kg), and drive vertical scaling within RWAs and gated communities."""</t>
  </si>
  <si>
    <t>122.182.28.98</t>
  </si>
  <si>
    <t>Tarun Malaviya</t>
  </si>
  <si>
    <t xml:space="preserve">Anant has been through the journey of taking his product to the North American Market. His experience can be very valuable in planning out our GTM for this market. </t>
  </si>
  <si>
    <t>61.2.229.200</t>
  </si>
  <si>
    <t>sudhir@leapinfosys.com</t>
  </si>
  <si>
    <t>Relatable, To the point and precise.</t>
  </si>
  <si>
    <t>122.171.22.202</t>
  </si>
  <si>
    <t>vikram sardana</t>
  </si>
  <si>
    <t>vikram@videosdk.live</t>
  </si>
  <si>
    <t>He is very relatable to the ICP and was forthcoming in offering connects.</t>
  </si>
  <si>
    <t>182.77.76.202</t>
  </si>
  <si>
    <t>Was a good session</t>
  </si>
  <si>
    <t xml:space="preserve">Ashish helped in connecting with corporates </t>
  </si>
  <si>
    <t>Exeperience was good.</t>
  </si>
  <si>
    <t>219.91.171.42</t>
  </si>
  <si>
    <t>Aniruddha Joshi</t>
  </si>
  <si>
    <t>I have mentioned yes above. We are working on the steps given by him, and may want to get validated from someone else from the same field. Will be in touch to decide the next steps.  Thank you.</t>
  </si>
  <si>
    <t>The session was insightful and we appreciate the prespective</t>
  </si>
  <si>
    <t>Anushree Maloo</t>
  </si>
  <si>
    <t>Need mentor to navigate Digital Marketing</t>
  </si>
  <si>
    <t>Accelerate B2B Sales Growth</t>
  </si>
  <si>
    <t>It was a great session.</t>
  </si>
  <si>
    <t>The session was very useful and mentor and HM were helful for us.</t>
  </si>
  <si>
    <t>182.77.76.14</t>
  </si>
  <si>
    <t>The mentor was not up to the mark</t>
  </si>
  <si>
    <t>It was good session and was an experienced mentor.</t>
  </si>
  <si>
    <t>Follow up session with same mentor is required again.</t>
  </si>
  <si>
    <t>49.36.68.67</t>
  </si>
  <si>
    <t>Sagar Pravinbhai Sojitra</t>
  </si>
  <si>
    <t>11-Mar-2026: The mentor was confuesed and was a intro call. Don't need to connect with her. Also she didn't seemed to understand the venture as well.</t>
  </si>
  <si>
    <t>He didn't spoke anything relevant and mentors is calling multiple times after the call which is not good</t>
  </si>
  <si>
    <t>Rupal is not fit mentor and was discussing about the topic and was very informal.</t>
  </si>
  <si>
    <t>27.59.85.8</t>
  </si>
  <si>
    <t>Dhaval@rupiya.app</t>
  </si>
  <si>
    <t>He was able to identify what I needed and provided the solutions to me immediately.</t>
  </si>
  <si>
    <t>31-mar-2026: Required more session with mentor but after april</t>
  </si>
  <si>
    <t>49.36.187.157</t>
  </si>
  <si>
    <t>Yogesh Sharma</t>
  </si>
  <si>
    <t>yogesh@nanobee.in</t>
  </si>
  <si>
    <t>223.178.86.161</t>
  </si>
  <si>
    <t>dinesh@raptee.com</t>
  </si>
  <si>
    <t xml:space="preserve">He was perfect. Seemed to understand exactly what I needed. Thanks. </t>
  </si>
  <si>
    <t>157.32.117.50</t>
  </si>
  <si>
    <t>Ashish Gawade</t>
  </si>
  <si>
    <t xml:space="preserve">Practical, clear , implementation ready suggestions. Great words of wisdom! </t>
  </si>
  <si>
    <t>182.77.79.222</t>
  </si>
  <si>
    <t>Hitesh</t>
  </si>
  <si>
    <t>It was meaningful but I want to more about the valuation</t>
  </si>
  <si>
    <t>31-Mar-206: Time was concern. Limitited time was there for the session</t>
  </si>
  <si>
    <t>49.36.70.89</t>
  </si>
  <si>
    <t>Sagar Sojitra</t>
  </si>
  <si>
    <t>No.</t>
  </si>
  <si>
    <t>11-mar-2026: The mentor was confused and was a intro call. Don't need to connect with him</t>
  </si>
  <si>
    <t>1st Intro call</t>
  </si>
  <si>
    <t>45.120.58.9</t>
  </si>
  <si>
    <t>Deepak Rajmohan</t>
  </si>
  <si>
    <t>Deepak@greenpodlabs.com</t>
  </si>
  <si>
    <t>As the mentor has deeper understanding of the problem please get us connected again.</t>
  </si>
  <si>
    <t>31-Mar-2026: Venture not answering the call. Called thrice.</t>
  </si>
  <si>
    <t>103.250.149.126</t>
  </si>
  <si>
    <t>Chetan Kanani</t>
  </si>
  <si>
    <t>31-Mar-2026: Called twice but venture isn't answering the calls
21-Mar-2026: Didn't answered the call
17-Mar-2026: Venture will call on saturday
17-mar-2026: Venture not answering the call
13-mar-2026: Venture rejected the call
11-mar-2026: Not answering the calls</t>
  </si>
  <si>
    <t>103.249.234.233</t>
  </si>
  <si>
    <t>"Market Access &amp; API Partnerships: Build integrations with leading adtech, martech, and social platforms to expand reach and stickiness.
 Commercial Pilots &amp; Enterprise Deal Closures: Secure pilots with large agencies and convert them into long-term enterprise contracts.
 Product Strategy &amp; Agentic AI Development: Enhance platform intelligence with AI-driven campaign optimization and automation features.
 Customer Success &amp; Scaling: Strengthen onboarding, analytics-driven insights, and retention playbooks to scale accounts globally."</t>
  </si>
  <si>
    <t>182.77.76.124</t>
  </si>
  <si>
    <t xml:space="preserve">Overall good session </t>
  </si>
  <si>
    <t>Given really good insight about the things.</t>
  </si>
  <si>
    <t>16-Mar-2026: Mentor discussed quality aspects and was a genius guy, and want to connect with mentor again. He was also very very helpful . Suggested changes founder is implying also.</t>
  </si>
  <si>
    <t>Overall it was good and helpful session and mentor was really helpful.</t>
  </si>
  <si>
    <t>49.36.91.4</t>
  </si>
  <si>
    <t>Ketan Modi</t>
  </si>
  <si>
    <t>ketan@univia.in</t>
  </si>
  <si>
    <t>It was a wonderful experience discussing our challenges with him.</t>
  </si>
  <si>
    <t>ravi@univia.in</t>
  </si>
  <si>
    <t>The session was very helpful for our execution part.</t>
  </si>
  <si>
    <t>122.171.19.107</t>
  </si>
  <si>
    <t>Vikram Sardana</t>
  </si>
  <si>
    <t xml:space="preserve">Very relevant persona </t>
  </si>
  <si>
    <t>The session was very nice and Wadhwani is giving us what we need.</t>
  </si>
  <si>
    <t>11-MAR-2026: The venture mentioned moderately useful was mentioned by mistake</t>
  </si>
  <si>
    <t>49.36.81.168</t>
  </si>
  <si>
    <t>The session was good and had vast experience. But was not aligned with our goals.</t>
  </si>
  <si>
    <t>The session was good and had vast experience and another session will same mentor will be required.</t>
  </si>
  <si>
    <t>183.82.31.189</t>
  </si>
  <si>
    <t>Prasanna Venkatarathnam</t>
  </si>
  <si>
    <t>prasanna.v@shriven.in</t>
  </si>
  <si>
    <t>Supply Chain &amp; Demand Fulfilment Specialist
Expert to audit current supply chain and operations, and design faster inventory placement and replenishment across key geographies (T+1 / T+2 readiness).</t>
  </si>
  <si>
    <t xml:space="preserve">Very knowledegable </t>
  </si>
  <si>
    <t>13-Mar-2026: IT WAS FIRST INTRO ROUND AND THAT IS WHY MENTIONED PARTLY AND WANT TO CONNECT WITH MENTOR AGAIN</t>
  </si>
  <si>
    <t>106.219.179.175</t>
  </si>
  <si>
    <t>Vasanth Balakrishnan</t>
  </si>
  <si>
    <t>Market Access &amp; Channel Partnership Enablement</t>
  </si>
  <si>
    <t>We could not complete the call as we ran out of time.  Ashish understands this space well and we have agreed to speak again shortly</t>
  </si>
  <si>
    <t>31-Mar-2026: Called twice but venture is not answering the calls again
17-Mar-2026: venture not replying, but as per the remarks mentioned in the feedback, the session was good.
16-mar-2026: Venture not replying</t>
  </si>
  <si>
    <t>49.36.56.83</t>
  </si>
  <si>
    <t>rakhi@eventbeep.com</t>
  </si>
  <si>
    <t xml:space="preserve">Sessions were very helpful and informative plus the mentor has been really helpful in referring us to more clients </t>
  </si>
  <si>
    <t>182.77.79.146</t>
  </si>
  <si>
    <t>meetshah@ngearsafe.com</t>
  </si>
  <si>
    <t>The session was good and decent.</t>
  </si>
  <si>
    <t>152.58.61.6</t>
  </si>
  <si>
    <t>PRADIP PATEL</t>
  </si>
  <si>
    <t>He was given good vision and steps for develope a new team of our organisation. Thanks for support and guidance.</t>
  </si>
  <si>
    <t xml:space="preserve">They given some good vision for business development steps and that is helpful for our </t>
  </si>
  <si>
    <t>45.116.3.34</t>
  </si>
  <si>
    <t>Vinodh Venkatesan</t>
  </si>
  <si>
    <t>We have sent a set of follow up for connections in USA as the ask/action item. Awaiting feedback.</t>
  </si>
  <si>
    <t>31-Mar-2026: Mentor wasn't upto their expectation. Venture conveyed this to HM and still not a reply from HM. 
17-Mar-2026: venture not answering
16-mar-2026: Venture Rejected my call</t>
  </si>
  <si>
    <t xml:space="preserve">Gained very useful feedback in helping us simplify and sharpen our pitch deck and positioning of our company for investors. </t>
  </si>
  <si>
    <t xml:space="preserve">Gained very useful perspectives in validating our GTM plans. </t>
  </si>
  <si>
    <t>49.43.234.237</t>
  </si>
  <si>
    <t>rahul@ampicq.in</t>
  </si>
  <si>
    <t xml:space="preserve">It was unclear as to what the mentor wanted in the end. He mentioned he would want to formalize the discussion the next time we had it. He was maybe suggesting that he would want to become a consultant of the company via a formal contract to interact again. </t>
  </si>
  <si>
    <t>17-Mar-2026: Mentor was not aligned with venture's technology 
 16-Mar-2026: Venture didn't received my call</t>
  </si>
  <si>
    <t>Rahul Pulipati</t>
  </si>
  <si>
    <t>1-April-2026: Asked to call after sometime</t>
  </si>
  <si>
    <t>Pending Reply</t>
  </si>
  <si>
    <t>110.226.179.197</t>
  </si>
  <si>
    <t>Raghuvee Surupa</t>
  </si>
  <si>
    <t>raghuveer@stemtech.in</t>
  </si>
  <si>
    <t>"-Refine the sales process journey to improve the customer engagement model.
 -Plan and prioritise a one-year intervention roadmap, aligning key initiatives, timelines, and support areas to drive venture growth."</t>
  </si>
  <si>
    <t>He seemed knowledgable and had domain expertise in sales. I enjoyed the interaction and learning about his background and journey in medical device space.   However, I did not get actionable insights for -  1. south asia market expansion and launching innovative medical device in these countries.</t>
  </si>
  <si>
    <t>106.221.183.139</t>
  </si>
  <si>
    <t>Suresh Suresh</t>
  </si>
  <si>
    <t>suresh.susurla@startoonlabs.com</t>
  </si>
  <si>
    <t xml:space="preserve">Not many MedTech professionals for sales &amp; marketing. Founders are only doing sales. </t>
  </si>
  <si>
    <t xml:space="preserve">I have out my asks out to Washwani, but have not yet received much help, though I am in touch with the wadhwani team and awaiting for the support. </t>
  </si>
  <si>
    <t>suresh@startoonlabs.com</t>
  </si>
  <si>
    <t>Not many MedTech professionals for sales &amp; marketing. Founders are only doing sales.</t>
  </si>
  <si>
    <t xml:space="preserve">Not upto the mark. I have out my asks out to Washwani, but have not yet received much help, though I am in touch with the wadhwani team and awaiting for the support. </t>
  </si>
  <si>
    <t>Vikram</t>
  </si>
  <si>
    <t>He was factual and accurate for us.</t>
  </si>
  <si>
    <t>The session was good and clear</t>
  </si>
  <si>
    <t xml:space="preserve">Mentor was perfect. </t>
  </si>
  <si>
    <t>Anshuree Maloo</t>
  </si>
  <si>
    <t>Mentor told there is a workshop for Finannce and want to know more</t>
  </si>
  <si>
    <t>163.53.203.183</t>
  </si>
  <si>
    <t>Akshay</t>
  </si>
  <si>
    <t>103.215.104.32</t>
  </si>
  <si>
    <t>Agawade@jeevtronics.com</t>
  </si>
  <si>
    <t xml:space="preserve">Good start at least. </t>
  </si>
  <si>
    <t>42.107.66.65</t>
  </si>
  <si>
    <t xml:space="preserve">Overall good suggestions shared </t>
  </si>
  <si>
    <t>49.207.250.113</t>
  </si>
  <si>
    <t>Mallesh@cultYvate.com</t>
  </si>
  <si>
    <t>Good discussion and gave some good direction to optimise our infrastructure cost</t>
  </si>
  <si>
    <t>219.91.170.128</t>
  </si>
  <si>
    <t>Gouri  Deshpande</t>
  </si>
  <si>
    <t>gd@rises.io</t>
  </si>
  <si>
    <t xml:space="preserve">The session with Mr Dheeresh Manrai of alliancehealthcare.net.in, we very useful. With their background in healthcare and sales aspect. We would like to see how we can implement his suggestions, especially the sales &amp; marketing aspect, the B2B and Govt related procurement.  We will be more than happy to talk again, in case of any further guidance or business opportunity.  </t>
  </si>
  <si>
    <t>182.77.74.156</t>
  </si>
  <si>
    <t>Time limit to be increased to connect with mentor</t>
  </si>
  <si>
    <t>49.36.69.246</t>
  </si>
  <si>
    <t>Rushil barot</t>
  </si>
  <si>
    <t xml:space="preserve">NOTHING SPECIFIC </t>
  </si>
  <si>
    <t>152.58.43.55</t>
  </si>
  <si>
    <t>rshankar@linkmiles.com</t>
  </si>
  <si>
    <t xml:space="preserve">Meeting was good. Mentor had clarity of mind and understanding of what we are doing. He gave good inputs and give new insights what we are trying to build in tech side. </t>
  </si>
  <si>
    <t>GTM Industry connects - Cross industries.</t>
  </si>
  <si>
    <t xml:space="preserve">Whatever inputs were shared were not new for him.  If mentors come prepared before the meeting so that not much time is spent in explaining about the startup much.  </t>
  </si>
  <si>
    <t>He helped with financial planning strategies, and it was a very useful session</t>
  </si>
  <si>
    <t>223.178.87.243</t>
  </si>
  <si>
    <t>His area of expertise was more low cost scooters and he couldn't understand what we were trying to do. I understand that his experience was in different areas and it wasn't a fit. Communicated in detail to the Wadhwani Team.</t>
  </si>
  <si>
    <t>11-mar-2026: Mentor was not spekaing much about the problem. Venture also mentioned that he has conveyed this to HM
Meeting was short. Mentor didn’t really talk much. Mentor was in Hurry. Then he was not reachable. Conversation was Awkward.</t>
  </si>
  <si>
    <t>123.201.245.36</t>
  </si>
  <si>
    <t xml:space="preserve">Mr Sriram Chidambaram  of srfcapital.studio has great understanding of how startup works. Would like to get further guidance on possible investments and business growth </t>
  </si>
  <si>
    <t>103.215.104.109</t>
  </si>
  <si>
    <t>Practical insights. Helped understand the bottlenecks.</t>
  </si>
  <si>
    <t>Your Name</t>
  </si>
  <si>
    <t>Mentee Name</t>
  </si>
  <si>
    <t>1. Was the session agenda relevant to the startup’s current stage and specific needs?</t>
  </si>
  <si>
    <t>2. Did the session agenda help you prepare effectively for the discussion?</t>
  </si>
  <si>
    <t>3. Was the startup’s problem statement or request clearly articulated in the agenda?</t>
  </si>
  <si>
    <t>4. Do you have any suggestions to improve the quality or format of the agenda or recommendations?</t>
  </si>
  <si>
    <t>5. How prepared and organized was your mentee for the session?</t>
  </si>
  <si>
    <t>6. How engaged is your mentee during mentoring sessions, in terms of active participation and willingness to discuss challenges?</t>
  </si>
  <si>
    <t>7. Is there anything the venture (or platform) could have done better to make this session more effective?</t>
  </si>
  <si>
    <t>8. How would you like to rate the session?</t>
  </si>
  <si>
    <t>9. How relevant were the recommended action items to the discussion during your session?</t>
  </si>
  <si>
    <t>10. Were the suggested resources and tools aligned with the session topic and helpful for your next steps?</t>
  </si>
  <si>
    <t>11. Is there any additional critical information you believe should be included in the post-session recommendations?</t>
  </si>
  <si>
    <t>Trunc</t>
  </si>
  <si>
    <t>114.143.38.219</t>
  </si>
  <si>
    <t>Keepsake Automation</t>
  </si>
  <si>
    <t>Moderately Relevant</t>
  </si>
  <si>
    <t>Slightly helpful</t>
  </si>
  <si>
    <t>Not at all articulated</t>
  </si>
  <si>
    <t>Agenda has to be articulated.</t>
  </si>
  <si>
    <t>Highly prepared</t>
  </si>
  <si>
    <t>Highly Engaged</t>
  </si>
  <si>
    <t>Set the Agenda.</t>
  </si>
  <si>
    <t>Neutral</t>
  </si>
  <si>
    <t>Moderately aligned</t>
  </si>
  <si>
    <t>42.105.172.191</t>
  </si>
  <si>
    <t>Ankit Majmudar</t>
  </si>
  <si>
    <t>Extremely Relevant</t>
  </si>
  <si>
    <t>Extremely helpful</t>
  </si>
  <si>
    <t>Clearly articulated</t>
  </si>
  <si>
    <t>All was good</t>
  </si>
  <si>
    <t>183.83.219.29</t>
  </si>
  <si>
    <t xml:space="preserve">Hitesh </t>
  </si>
  <si>
    <t>Moderately helpful</t>
  </si>
  <si>
    <t>Moderately articulated</t>
  </si>
  <si>
    <t>Moderately prepared</t>
  </si>
  <si>
    <t>Somewhat Engaged</t>
  </si>
  <si>
    <t>122.172.82.128</t>
  </si>
  <si>
    <t>Tikitaro</t>
  </si>
  <si>
    <t>Exceptionally well-defined</t>
  </si>
  <si>
    <t>NIL</t>
  </si>
  <si>
    <t>Extremely prepared</t>
  </si>
  <si>
    <t>Extremely Engaged</t>
  </si>
  <si>
    <t>Very satisfied</t>
  </si>
  <si>
    <t>Extremely aligned</t>
  </si>
  <si>
    <t>106.219.225.66</t>
  </si>
  <si>
    <t>Nagaprasanna</t>
  </si>
  <si>
    <t>Very Relevant</t>
  </si>
  <si>
    <t>49.36.221.62</t>
  </si>
  <si>
    <t>Nagaprasanna Vasanadu</t>
  </si>
  <si>
    <t>None as of now, good initiative, keep rocking !!!</t>
  </si>
  <si>
    <t>none as of now, stick to the current format, its working fine !!</t>
  </si>
  <si>
    <t>None as of now</t>
  </si>
  <si>
    <t>223.231.165.162</t>
  </si>
  <si>
    <t>Nothing as of now</t>
  </si>
  <si>
    <t>Nothing specific</t>
  </si>
  <si>
    <t>106.202.63.28</t>
  </si>
  <si>
    <t>Divyajit</t>
  </si>
  <si>
    <t>Highly Relevant</t>
  </si>
  <si>
    <t xml:space="preserve">After introductory session i believe it should now in execution type and action oriented. </t>
  </si>
  <si>
    <t xml:space="preserve">Share more detail problems which understand not possible in one session </t>
  </si>
  <si>
    <t>we should be clear what next action we be taking to improve the need of venture and how to go about with team work</t>
  </si>
  <si>
    <t>171.76.80.255</t>
  </si>
  <si>
    <t>Forgot</t>
  </si>
  <si>
    <t>Very helpful</t>
  </si>
  <si>
    <t xml:space="preserve">I guess it was ok, and not much is required. </t>
  </si>
  <si>
    <t>It is not a one-time thing; mentorship requires more time than just a session. You should work more on it. Assigning mentees for longer periods with a mentor</t>
  </si>
  <si>
    <t>Satisfied</t>
  </si>
  <si>
    <t>Very aligned</t>
  </si>
  <si>
    <t>The mentee was looking more on the side of fundrasing than strategic support. He was a bit confused with GTM but mainly fundraising. It should be clear what the acceptance of mentee is, before entering the call.</t>
  </si>
  <si>
    <t>122.166.190.164</t>
  </si>
  <si>
    <t>Chirag Gupta &amp; Bharat Tiberwel</t>
  </si>
  <si>
    <t>All good</t>
  </si>
  <si>
    <t>N/A</t>
  </si>
  <si>
    <t>1.7.46.162</t>
  </si>
  <si>
    <t>Chirag Gupta &amp; Bharat Tiberwal</t>
  </si>
  <si>
    <t>So far good!</t>
  </si>
  <si>
    <t>All good!</t>
  </si>
  <si>
    <t>Ask EVA</t>
  </si>
  <si>
    <t>Mohammad eshan</t>
  </si>
  <si>
    <t>Reagri</t>
  </si>
  <si>
    <t>Amith Kumar Kalimuthu</t>
  </si>
  <si>
    <t>Dhaval shah</t>
  </si>
  <si>
    <t>Rekharani bhanudas mane</t>
  </si>
  <si>
    <t>Not Relevant</t>
  </si>
  <si>
    <t>Not at all helpful</t>
  </si>
  <si>
    <t>Pankaj</t>
  </si>
  <si>
    <t>Sanjeev Iyer</t>
  </si>
  <si>
    <t>.</t>
  </si>
  <si>
    <t>Daksh Sabharwal</t>
  </si>
  <si>
    <t>NA</t>
  </si>
  <si>
    <t>Mentor will Share Invoice</t>
  </si>
  <si>
    <t>SKC/WF/001</t>
  </si>
  <si>
    <t xml:space="preserve">16-mar-2026: Meeting went well. Only Gap there was the type of vehicles he was selling was not what founder is trying to build. He was probably was not fit.  He shared that there were some challenges with Arnab, but did not share what challenges.  Mentor was kind and nothing wrong. It was just about the Miss alignment. </t>
  </si>
  <si>
    <t>21-Apr-2026: As were not able to reach out to Founder. We used NoteLM to get the meeting output. Added in Notes
31-Mar-2026: Founder asked to call after next week as he is busy in march  closing thing
17-mar-2026: Venture rejected the call
16-mar-2026: Venture rejected the call
13-Mar-2026: Wasn't reachbale
11-mar-2026: Venture asked to call tommorow</t>
  </si>
  <si>
    <t>Requested for Mentors On</t>
  </si>
  <si>
    <t>Shortlisted Mentors On</t>
  </si>
  <si>
    <t>Suggested Mentors On</t>
  </si>
  <si>
    <t>Preferred Mentor Selected On</t>
  </si>
  <si>
    <t>Before Preferred Mentor Stage</t>
  </si>
  <si>
    <t>New Preferred Mentor Selected On</t>
  </si>
  <si>
    <t>Reason of selecting</t>
  </si>
  <si>
    <t>Reach out for Mentor Session Feedback</t>
  </si>
  <si>
    <t>Feedback ID</t>
  </si>
  <si>
    <t>Feedback Status</t>
  </si>
  <si>
    <t>Founder</t>
  </si>
  <si>
    <t>PhoneNo.</t>
  </si>
  <si>
    <t>Feedback Remarks</t>
  </si>
  <si>
    <t>NoteLM Remarks</t>
  </si>
  <si>
    <t>Meeting Recordings</t>
  </si>
  <si>
    <t>Responsibility</t>
  </si>
  <si>
    <t>Invoice Shared by Mentor On</t>
  </si>
  <si>
    <t>Invoice Shared with Program Team On</t>
  </si>
  <si>
    <t>Approved by Program Team</t>
  </si>
  <si>
    <t>Invoice Shared with Finance Team On</t>
  </si>
  <si>
    <t>Paid On</t>
  </si>
  <si>
    <t>Paid or Probono</t>
  </si>
  <si>
    <t>Start of Week (Meeting)</t>
  </si>
  <si>
    <t>Start of Week (Preferred Mentor Selected On</t>
  </si>
  <si>
    <t>Filled Feedback Form</t>
  </si>
  <si>
    <t>arjun@videosdk.live
vikram@videosdk.live</t>
  </si>
  <si>
    <t>17-Dec-2025: Follow-up with mentor on WhatsApp
16-Dec-2025: Reached out to Founder. Couldn’t connect. Shared Form</t>
  </si>
  <si>
    <t>Probono</t>
  </si>
  <si>
    <t xml:space="preserve">15-Dec-2025: Shared Availability of Mentor with HM. 
12-Dec-2025: Reached out to mentor for availability
11-Dec-2025: Asked for mentor contact details from Gagan </t>
  </si>
  <si>
    <t>23-Dec-2025: Will fill the feedback form shortly</t>
  </si>
  <si>
    <t>https://wadhwanifoundation-my.sharepoint.com/:v:/g/personal/accelerate_wadhwanifoundation_org/IQAgRScEtU5CSqp5_xl-86CZATYk-aLQuQK2DT4BV6_-R-k?e=ffE8Bd&amp;nav=eyJyZWZlcnJhbEluZm8iOnsicmVmZXJyYWxBcHAiOiJTdHJlYW1XZWJBcHAiLCJyZWZlcnJhbFZpZXciOiJTaGFyZURpYWxvZy1MaW5rIiwicmVmZXJyYWxBcHBQbGF0Zm9ybSI6IldlYiIsInJlZmVycmFsTW9kZSI6InZpZXcifX0%3D</t>
  </si>
  <si>
    <t>https://wadhwanifoundation-my.sharepoint.com/:w:/g/personal/vaibhav_mattas_wadhwanifoundation_org/IQCWIk9nRFWTRZsdfAkC6Xm0ARhvPxIHhVXK_52OmpMAgLI?e=uWYb8u</t>
  </si>
  <si>
    <t>28-Jan-2026: FIlled the form
28-Jan-2026: Will call me back shortly
21-Jan-2025: Will fill by EOD</t>
  </si>
  <si>
    <t>28-Jan-2026: Will call shortly
22-Jan-2026: Rejected the call
21-Jan-2025: Will fill by EOD</t>
  </si>
  <si>
    <t>For restructuring guidance</t>
  </si>
  <si>
    <t>With deep connects in the higher education space from his leadership role driving Google for Education partnerships, Ashish brings strong ecosystem access and insights, making him well-positioned to advise on building and scaling college partnerships.</t>
  </si>
  <si>
    <t>6-Mar-2026: handed over to Shudhanshu and team</t>
  </si>
  <si>
    <t>18-Dec-2025: Called twice but Rakhi didn't answered the call
17-Dec-2025: Follow-up with mentor on WhatsApp
16-Dec-2025: Reached out to Founder. Spoke to Sourabh and he said Rakhi will be the right person. Called Rakhi also but call couldn’t be connected hence Shared Form. Mentor confirmed she will fill today</t>
  </si>
  <si>
    <t>https://wadhwanifoundation-my.sharepoint.com/personal/accelerate_wadhwanifoundation_org/_layouts/15/viewer.aspx?sourcedoc={0f545bad-82a8-4323-a27c-b9813c23ce30}</t>
  </si>
  <si>
    <t>https://wadhwanifoundation-my.sharepoint.com/:w:/g/personal/vaibhav_mattas_wadhwanifoundation_org/IQDDFveok_7IQrg7QsPNM6yFAWYXmXrP51GcnjBhZbaO-RM?e=8hSxvt</t>
  </si>
  <si>
    <t xml:space="preserve">Founder of SalesWomentoring, Chitra brings over 27 years of experience in sales leadership across BFSI, tech, and pharma sectors, focusing on mentoring women in sales and business development. </t>
  </si>
  <si>
    <t>6-Mar-2026: handed over to Shudhanshu and team
7-Jan-2026: Message from Founder -
We already have a sales mentor coaching us for b2b and b2c both. Thanks for sharing, but this profile might not be very relevant to us
5-Jan-2026: Shared Mentor's availability with HM. Awaiting Reply. Follow-up with mentor on Program Details . Received reply from mentor. Shared venture details. awating reply
2-Jan-2026: Reached out to mentor with Program Details
Need Checkin calls with venture by Rishabh. If need more support then will reopen the request</t>
  </si>
  <si>
    <t>Over 20 years of experience in the high-end Consumer Electronics industry. Founder of Zeos Global</t>
  </si>
  <si>
    <t>29-Dec-2025: Follow-up with Aadarsh for mentor connect. He was reaching out to mentor for his availability/. Mentor will be available after 5th Jan</t>
  </si>
  <si>
    <t>94447 96926</t>
  </si>
  <si>
    <t>08-jan-2025: Will fill  by EOD</t>
  </si>
  <si>
    <t>https://wadhwanifoundation-my.sharepoint.com/:v:/g/personal/accelerate_wadhwanifoundation_org/IQBnJ02Wdk34QZTYmeFz71MeAdG50NNO17QLD4OI7OrOBZY?e=cLvKYo&amp;nav=eyJyZWZlcnJhbEluZm8iOnsicmVmZXJyYWxBcHAiOiJTdHJlYW1XZWJBcHAiLCJyZWZlcnJhbFZpZXciOiJTaGFyZURpYWxvZy1MaW5rIiwicmVmZXJyYWxBcHBQbGF0Zm9ybSI6IldlYiIsInJlZmVycmFsTW9kZSI6InZpZXcifX0%3D</t>
  </si>
  <si>
    <t>https://wadhwanifoundation-my.sharepoint.com/:w:/g/personal/vaibhav_mattas_wadhwanifoundation_org/IQA8q0a2umRXSYtHH65dCslMAZFmW7F0ieIBcZsgNZsoZ8w?e=Wyxati</t>
  </si>
  <si>
    <t>Paid</t>
  </si>
  <si>
    <t>Ex-Head of Marketing, Hero Electric</t>
  </si>
  <si>
    <t xml:space="preserve">Dheeresh has deep experience in scaling diagnostic and MedTech services across India through hospital, diagnostic, and pharmacy partnerships. He can guide the startup on expanding its MedPlus pilot into a national retail network and unlocking new B2B revenue channels.
</t>
  </si>
  <si>
    <t>17-Dec-2025: Follow-up with mentor on WhatsApp
16-Dec-2025: Reached out to Founder. Spoke to founder and Shared Form</t>
  </si>
  <si>
    <t xml:space="preserve">17-Apr-2026: informed Dheeresh that his MSA is processed. Hence if he wants to raise invoice then we can </t>
  </si>
  <si>
    <t>6-Mar-2026: handed over to Shudhanshu and team
19-Feb-2026: Asked HM about the availibilty again
12-Feb-2026: Follow-up with HM. Founder yet to confirm
10-Feb-2026: Follow-up with HM. Founder yet to confirm
9-Feb-2026: Follow-up with HM
4-Feb-2026: Follow-up with VIgnesh
2-Feb-2026: Follow-up with mentor on his availability
29-Jan-2026: Mentor confirmed for venture. We Asked for mentor's availability
28-Jan-2026: Shared Venture details.
27-Jan-2026: Reached out to mentor with Prg details 
23-Jan-2026: Need to connect with Samdeep Gupta
16-Jan-2026: HM will connect with founder on interest in connecting with Mentor
6-Jan-2026: Founder not responding to HM. Follow-up with HM
23-Dec-2025: Follow-up with HM
17-Dec-2025: Checking with HM if founder wants to try the second suggested mentor as founder was not happy with previous interaction</t>
  </si>
  <si>
    <t>Meenakshi</t>
  </si>
  <si>
    <t>Sandeep saxena</t>
  </si>
  <si>
    <t>6-Mar-2026: handed over to Shudhanshu and team
9-Feb-2026: Suggested Mentors
6-Feb-2026: New Ask Added, Shortlisted Mentors</t>
  </si>
  <si>
    <t>6-Feb-2026: References to get from Mentors for Founder</t>
  </si>
  <si>
    <t>https://wadhwanifoundation-my.sharepoint.com/personal/accelerate_wadhwanifoundation_org/_layouts/15/viewer.aspx?sourcedoc={8d54e21b-3fd6-471c-992a-fa8590cad50f}</t>
  </si>
  <si>
    <t>https://wadhwanifoundation-my.sharepoint.com/:w:/g/personal/vaibhav_mattas_wadhwanifoundation_org/IQCNSHuVQxqXQ4ib9CjJDUiVAdzp8ovnzI2B3Hlui60IlDw?e=xJJ3gH</t>
  </si>
  <si>
    <t>6-Feb-2026: HM Suggested US Market related Mentors to Founder</t>
  </si>
  <si>
    <t>—</t>
  </si>
  <si>
    <t>16-Dec-2025: Agritrenuer Market. They need to setup a system where their team can use to input their interactions in the field. So that they don’t have to follow with team. Team should come back and say that System is not working. They need mentor with that kind of experience.</t>
  </si>
  <si>
    <t>Mallesh T &lt;mallesh@cultyvate.com&gt;</t>
  </si>
  <si>
    <t>97386 34253</t>
  </si>
  <si>
    <t>16-Dec-2025: Reached out to Founder. Couldn’t connect. Shared Form</t>
  </si>
  <si>
    <t>https://wadhwanifoundation-my.sharepoint.com/:v:/g/personal/accelerate_wadhwanifoundation_org/IQChvsnKDxNgQKbZXPPUhmxuATp3mI22rNkUKVwkvvJ42ro?e=g7vYRC</t>
  </si>
  <si>
    <t>https://wadhwanifoundation-my.sharepoint.com/:w:/g/personal/vaibhav_mattas_wadhwanifoundation_org/IQDA2xaLk3HbSJ9qMZ-RMyIHAeWuXmXe2B6NkjV21kYyAbc?e=4I4wL2</t>
  </si>
  <si>
    <t>Satish Nair</t>
  </si>
  <si>
    <t>6-Mar-2026: handed over to Shudhanshu and team
FOUNDER IS NOT REPLYING
7-Jan-2026: Follow-up with HM on their availability
2-Jan-2026: HM will confirm when Venture is available and then we need to check availability of Mentor 
29-Dec-2025: Sent reminder to HM to reply to Mentor. I sent email to Satish Nair
22-Dec-2025: Follow-up with HM on Status of Meeting</t>
  </si>
  <si>
    <t>17-Dec-2025: Follow-up with mentor on WhatsApp</t>
  </si>
  <si>
    <t>https://wadhwanifoundation-my.sharepoint.com/personal/accelerate_wadhwanifoundation_org/_layouts/15/viewer.aspx?sourcedoc={26feda53-e923-4202-bf0b-9fcf29c0f05f}</t>
  </si>
  <si>
    <t>https://wadhwanifoundation-my.sharepoint.com/:w:/g/personal/vaibhav_mattas_wadhwanifoundation_org/IQA21axCT4BuT53ZRJBq7fIQAULqLeSuayjGupRVbkTq2gU?e=dH00dN</t>
  </si>
  <si>
    <t>CONS-INV-2026-01</t>
  </si>
  <si>
    <t>6-Mar-2026: handed over to Shudhanshu and team
8-Jan-2026: Follow-up meeting was scheduled based on ventures urgent request</t>
  </si>
  <si>
    <t>Expertise: align on co-sell, reference architectures, and ISV listings</t>
  </si>
  <si>
    <t>6-Mar-2026: handed over to Shudhanshu and team
12-Feb-2026: Shared slots with Hm, waiting for approval
11-Feb-2026: Will share slots shortly
11-Feb-2026: Will call in sometime
6-Feb-2026: Someone CIO, Cybersecurity Team etc. is needed
19-Jan-2026: Suggested 3rd set of mentors
14-Jan-2026: Called Mentor 
12-Jan-2026: Called Mentor 
9-Jan-2026: Need to connect with Nilesh. Reached out to Nilesh on Whatsapp
5-Jan-2026: Alternate of Mentor Mr. Sanjay was suggested. Waiting for cinfirmation from HM.
2-Jan-2026: Mentors suggested for BFSI req. 
29-Dec-2025: Mentors were suggested. HM is yet to come back with preferred mentors
10-Dec-2025: Rishabh need to check with Anubhuti and Vishal whether meeting is scheduled. Other mentors suggested for meeting</t>
  </si>
  <si>
    <t>Vaibhav</t>
  </si>
  <si>
    <t>6-Mar-2026: handed over to Shudhanshu and team
26-Jan-2026: Time slots sent to HM, waiting for confirmation on the same.
19-Jan-2026: Will get an answere by Mr. Deepak on  26th Jan 2026
19-Jan-2026: Suggested 3rd set of mentors
14-Jan-2026: Called Mentor 
12-Jan-2026: Called Mentor 
9-Jan-2026: Need to connect with Nilesh. Reached out to Nilesh on Whatsapp
5-Jan-2026: Alternate of Mentor Mr. Sanjay was suggested. Waiting for cinfirmation from HM.
2-Jan-2026: Mentors suggested for BFSI req. 
29-Dec-2025: Mentors were suggested. HM is yet to come back with preferred mentors
10-Dec-2025: Rishabh need to check with Anubhuti and Vishal whether meeting is scheduled. Other mentors suggested for meeting</t>
  </si>
  <si>
    <t>6-Mar-2026: handed over to Shudhanshu and team
23-Feb-2026: Meeting rescheduled for 4:30 PM</t>
  </si>
  <si>
    <t>https://wadhwanifoundation-my.sharepoint.com/:v:/g/personal/accelerate_wadhwanifoundation_org/IQDLw4OGyNXHRZMvK0PFQ0u-AciHevDngg3mnYEcMlCzzwc?e=wnqqHN&amp;nav=eyJyZWZlcnJhbEluZm8iOnsicmVmZXJyYWxBcHAiOiJTdHJlYW1XZWJBcHAiLCJyZWZlcnJhbFZpZXciOiJTaGFyZURpYWxvZy1MaW5rIiwicmVmZXJyYWxBcHBQbGF0Zm9ybSI6IldlYiIsInJlZmVycmFsTW9kZSI6InZpZXcifX0%3D</t>
  </si>
  <si>
    <t>https://wadhwanifoundation-my.sharepoint.com/:w:/g/personal/vaibhav_mattas_wadhwanifoundation_org/IQCnxR8g4IfHTqFSx0yVnPn7AVQQCm1eqqNKhxR4y9DS2x0?e=ZAhRgE</t>
  </si>
  <si>
    <t>B2B Sales, Experienced CEO coach and Startup mentor with relevant first-hand retail experience.</t>
  </si>
  <si>
    <t xml:space="preserve">6-Mar-2026: handed over to Shudhanshu and team
11-Dec-2025: Follow-up with mentor for Availability. Mentor shared availability. Venture requested for other dates. Mentor will confirm availbaility by tomorrow 
10-Dec-2025: Have Asked Tarun </t>
  </si>
  <si>
    <t>Pricing: Sriram</t>
  </si>
  <si>
    <t>16-Dec-2025: Reached out to Founder. Form Filled</t>
  </si>
  <si>
    <t xml:space="preserve">Through Venture Partner. </t>
  </si>
  <si>
    <t>2-Mar-2026: Mentor wants the venture to change the deck only then he will proceed
11-Feb-2026: Need to Process MSA and Invoice of Mentor 
6-Feb-2026: HM coordinating for scheduling meeting</t>
  </si>
  <si>
    <t>Akesh K</t>
  </si>
  <si>
    <t>19-Feb-2026: Akesh denied. Have asked HM to check the other suggested mentors
20-Jan-2026: Sent prog details to mentor on Linkedin</t>
  </si>
  <si>
    <t>6-Feb-2026: Mentoring on Hold
6-Jan-2026: Suggested Mentors
5-Jan-2026: Shortlisted Mentors</t>
  </si>
  <si>
    <t>12-Dec-2025: Finalized time. Need to schedule meeting
11-Dec-2025: Follow-up with HM for availability of Venture
10-Dec-2025: Followed up with HB again for availability of Venture</t>
  </si>
  <si>
    <t>22-Dec-2025: Called again but he told will do it today
18-Dec-2025: Will do it by EOD
17-Dec-2025: Follow-up with mentor on WhatsApp
16-Dec-2025: Reached out to Founder. Couldn’t connect. Shared Form</t>
  </si>
  <si>
    <t>https://wadhwanifoundation-my.sharepoint.com/personal/accelerate_wadhwanifoundation_org/_layouts/15/viewer.aspx?sourcedoc={c7e3883f-b4ed-42c1-b2f5-2e800b7954de}</t>
  </si>
  <si>
    <t>https://wadhwanifoundation-my.sharepoint.com/:w:/g/personal/vaibhav_mattas_wadhwanifoundation_org/IQAFiuBZ0s2CQ4NRvWc3J6ouAezgtNbSdGSCU7JC69cyidk?e=We71lS</t>
  </si>
  <si>
    <t>Inv#009</t>
  </si>
  <si>
    <t>5-Jan-2026: Mentors were suggested. HM is yet to come back with preferred mentors
30-Dec-2025: Follow-up with HM
29-Dec-2025:  Suggestions yet to be seen by HM</t>
  </si>
  <si>
    <t>22-Dec-2025: Called twice still no reply
19-Dec-2025: Called again still no reply
18-Dec-2025: Called twice but Akshat didn't answered the call
17-Dec-2025: Follow-up with mentor on WhatsApp
16-Dec-2025: Reached out to Founder. Spoke to founder's office and Shared Form</t>
  </si>
  <si>
    <t xml:space="preserve">17-Apr-2026: informed Mentor that his MSA is processed. Hence if he wants to raise invoice then we can. Mentor said he took 2 sessions </t>
  </si>
  <si>
    <t>30-Dec-2025: Follow-up with HM
05-Dec-2025:  New Suggestions yet to be seen by HM</t>
  </si>
  <si>
    <t>Sent Feedback Form: Founder not Responding</t>
  </si>
  <si>
    <t>rahul@justact.co.in</t>
  </si>
  <si>
    <t>18-Mar-2026: Founder not replying, conveyed this HM. ALso asked HM to get this done.
16-Mar-2026: Venture not answering the calls
10-Mar-2026: Will ask his Product manager to fill by today
18-Feb-2026: Will ask the Co-Founder to fill by tommorow
17-Feb-2026: Sent the feedback</t>
  </si>
  <si>
    <t>https://wadhwanifoundation-my.sharepoint.com/:v:/g/personal/accelerate_wadhwanifoundation_org/IQALx_9vnBb0S6kcl58comOcAYw22_VXekVfCiG5k7UcXKE?e=D7LE3b&amp;nav=eyJyZWZlcnJhbEluZm8iOnsicmVmZXJyYWxBcHAiOiJTdHJlYW1XZWJBcHAiLCJyZWZlcnJhbFZpZXciOiJTaGFyZURpYWxvZy1MaW5rIiwicmVmZXJyYWxBcHBQbGF0Zm9ybSI6IldlYiIsInJlZmVycmFsTW9kZSI6InZpZXcifX0%3D</t>
  </si>
  <si>
    <t>https://wadhwanifoundation-my.sharepoint.com/:w:/g/personal/vaibhav_mattas_wadhwanifoundation_org/IQBYnPLfDgFwSLBLCK_gBiVVAct0v6UqaHEZ_PyNrE-vdvc?e=3z6EXq</t>
  </si>
  <si>
    <t xml:space="preserve">Tech &amp; ERP </t>
  </si>
  <si>
    <t>17-Dec-2025: reached out to mentor for availability. Shared Availability of mentor with HM. Awiating Reply
15-Dec-2025: Reached out to Mentor. Mentor shared availability but venture not available. Need to reach out to mentor on Wed for availability for Friday</t>
  </si>
  <si>
    <t>https://wadhwanifoundation-my.sharepoint.com/personal/accelerate_wadhwanifoundation_org/_layouts/15/viewer.aspx?sourcedoc={a87c489b-bb27-43f9-aec7-45eabe5a8804}</t>
  </si>
  <si>
    <t>https://wadhwanifoundation-my.sharepoint.com/:w:/g/personal/vaibhav_mattas_wadhwanifoundation_org/IQCSNidf6nk-RrCyNURYxD5gAWu9_f86W-HjRKuHLTqEkJU?e=R72fNJ</t>
  </si>
  <si>
    <t>Vendor &amp; Quality</t>
  </si>
  <si>
    <t>16-Jan-2026: Shared Availability of Mentor with HM
14-Jan-2026: Shared availability of mentor with HM. Have to check again for availbility as founder is not available. Checked with Mentor Again
12-Jan-2026: Called mentor for his availability
9-Jan-2026: Called mentor for his availability
7-Jan-2026: Meeting to be rescheduled 
2-Jan-2026: Date and Time finalized. Meeting to be scheduled 
30-Dec-2025: Shared Availability of mentor with HM. Awaiting reply
29-Dec-2025: Followed up for mentor's availability
18-Dec-2025: Followed up for mentor's availability
17-Dec-2025: Followed up for mentor's availability
16-Dec-2025: Followed up for mentor's availability
15-Dec-2025: Reached out to Mentor</t>
  </si>
  <si>
    <t>21-Jan-2025: Called twice but not replied</t>
  </si>
  <si>
    <t>https://wadhwanifoundation-my.sharepoint.com/:v:/g/personal/accelerate_wadhwanifoundation_org/IQCdolpaxkDIRK6oGj4qgsaVAcgCuXKy2BIf5Mf-J9ZIMKU?e=v2sRrH&amp;nav=eyJyZWZlcnJhbEluZm8iOnsicmVmZXJyYWxBcHAiOiJTdHJlYW1XZWJBcHAiLCJyZWZlcnJhbFZpZXciOiJTaGFyZURpYWxvZy1MaW5rIiwicmVmZXJyYWxBcHBQbGF0Zm9ybSI6IldlYiIsInJlZmVycmFsTW9kZSI6InZpZXcifX0%3D</t>
  </si>
  <si>
    <t>https://wadhwanifoundation-my.sharepoint.com/personal/vaibhav_mattas_wadhwanifoundation_org/_layouts/15/Doc.aspx?sourcedoc=%7BE7991494-6037-4784-9CB0-1BAD523742E5%7D&amp;file=Expert%20Connect%202%20_%20Manufyx%20x%20Wadhwani%20Accelerate.docx&amp;action=default&amp;mobileredirect=true&amp;DefaultItemOpen=1</t>
  </si>
  <si>
    <t>Market &amp; Brand Visibility</t>
  </si>
  <si>
    <t>4-Feb-2026: Follow-up with VIgnesh
3-Feb-2026: Reached out to mentor with venture details. Shared availability with HM. Date and time finalized
2-Jan-2026: Will connect with this mentor after we connect to Jayen Kotecha.
29-Dec-2025: This meeting was not scheduled. Hence reached out to HM again for Venture's availability for this week and reached out to mentor also 
22-Dec-2025: Follow-up with HM for availability
15-Dec-2025: Shared Availability of Mentor with HM. Awaiting Reply</t>
  </si>
  <si>
    <t>05-Feb-2026: Shared the feedback</t>
  </si>
  <si>
    <t xml:space="preserve"> https://wadhwanifoundation-my.sharepoint.com/personal/vaibhav_mattas_wadhwanifoundation_org/_layouts/15/Doc.aspx?sourcedoc=%7BE7991494-6037-4784-9CB0-1BAD523742E5%7D&amp;file=Expert%20Connect%202%20_%20Manufyx%20x%20Wadhwani%20Accelerate.docx&amp;action=default&amp;mobileredirect=true&amp;DefaultItemOpen=1</t>
  </si>
  <si>
    <t>https://wadhwanifoundation-my.sharepoint.com/personal/vaibhav_mattas_wadhwanifoundation_org/_layouts/15/Doc.aspx?sourcedoc=%7BAAE36574-79A5-4554-8AE7-FDDAC4D4B0F8%7D&amp;file=Expert%20Connect%203%20_%20Manufyx%20x%20Wadhwani%20Accelerate.docx&amp;action=default&amp;mobileredirect=true&amp;DefaultItemOpen=1</t>
  </si>
  <si>
    <t>5-Jan-2026: Mentors were suggested. HM is yet to come back with preferred mentors
29-Dec-2025: Follow-up with Gagan
16-Dec-2025: Shared requirement with Gagan to get mentor from Solution Buggy.</t>
  </si>
  <si>
    <t>Filled the form</t>
  </si>
  <si>
    <t xml:space="preserve">22-Dec-2025: Followed-up with HM for Venture Availability
12-Dec-2025: Asked HM for availability of Venture as per the availability of Mentor. </t>
  </si>
  <si>
    <t>23-Dec-2025: Called thrice but not answered the calls</t>
  </si>
  <si>
    <t>https://wadhwanifoundation-my.sharepoint.com/personal/accelerate_wadhwanifoundation_org/_layouts/15/viewer.aspx?sourcedoc={3de73eda-d209-4375-bd3a-897dae98edda}</t>
  </si>
  <si>
    <t>https://wadhwanifoundation-my.sharepoint.com/:w:/g/personal/vaibhav_mattas_wadhwanifoundation_org/IQDZZrCN9AEYR4t_Dm_aR6x-ASh2HhdYaKwRUWoTGR9aVUo?e=SNN3Kp</t>
  </si>
  <si>
    <t>17-Dec-2025: Follow-up with mentor on WhatsApp
16-Dec-2025: Reached out to Founder. He asked to share feedback form as meeting was handled by someone else from his team and he will get the form filled.</t>
  </si>
  <si>
    <t>10-Mar-2026: Ask yet to be updated from HM.
23-Jan-2026: Ask will be added today</t>
  </si>
  <si>
    <t>6-Mar-2026: handed over to Shudhanshu and team
13-Jan-2026: Suggested Mentors
12-Jan-2026: Shortlisted Mentors
9-Jan-2026: Need to connect with mentor having experience with South East Asia Market</t>
  </si>
  <si>
    <t xml:space="preserve">20-Jan-2026: Reached out to mentor with venture details. Shared Slots with HM. </t>
  </si>
  <si>
    <t>https://wadhwanifoundation-my.sharepoint.com/personal/accelerate_wadhwanifoundation_org/_layouts/15/viewer.aspx?sourcedoc={b8b26d70-2807-4a8b-911d-509d696602e9}</t>
  </si>
  <si>
    <t>https://wadhwanifoundation-my.sharepoint.com/personal/vaibhav_mattas_wadhwanifoundation_org/_layouts/15/Doc.aspx?sourcedoc=%7B227132A5-D4B9-497B-8730-C28423B9A0FC%7D&amp;file=Expert%20Connect%201%20_%20Vaultastic%20x%20Wadhwani%20Accelerate.docx&amp;action=default&amp;mobileredirect=true&amp;DefaultItemOpen=1</t>
  </si>
  <si>
    <t>21-Jan-2026: Shared availability of the mentor with HM.
20-Jan-2026: Asked mentor for Program and Venture. Mentor shared availability</t>
  </si>
  <si>
    <t>22-Jan-2026: Will fill the feedback by today</t>
  </si>
  <si>
    <t>https://wadhwanifoundation-my.sharepoint.com/personal/accelerate_wadhwanifoundation_org/_layouts/15/viewer.aspx?sourcedoc={99091af8-9c8d-4eba-9a59-653183f95dbe}</t>
  </si>
  <si>
    <t>https://wadhwanifoundation-my.sharepoint.com/personal/vaibhav_mattas_wadhwanifoundation_org/_layouts/15/Doc.aspx?sourcedoc=%7B275C080B-6C9B-4711-8130-6C4FD072F70C%7D&amp;file=Expert%20Connect%202%20_%20Vaultastic%20x%20Wadhwani%20Accelerate.docx&amp;action=default&amp;mobileredirect=true&amp;DefaultItemOpen=1</t>
  </si>
  <si>
    <t>26-Jan-2026: Time slots sent to HM, waiting for confirmation on the same.
20-Jan-2026: Will get an answere by Mr. Deepak on  26th Jan 2026</t>
  </si>
  <si>
    <t>17-Feb-2026: Will fill by today
05-Feb-2026: Called twice but didn't answered
04-Feb-2026: Sent the feedback</t>
  </si>
  <si>
    <t>https://wadhwanifoundation-my.sharepoint.com/personal/accelerate_wadhwanifoundation_org/_layouts/15/viewer.aspx?sourcedoc={f38add6e-992a-4c7e-bbbb-66688a9c1788}</t>
  </si>
  <si>
    <t>https://wadhwanifoundation-my.sharepoint.com/personal/vaibhav_mattas_wadhwanifoundation_org/_layouts/15/Doc.aspx?sourcedoc=%7B7767E729-A0AA-4ED9-80F0-F956E2752B2E%7D&amp;file=Expert%20Connect%203%20_%20Vaultastic%20x%20Wadhwani%20Accelerate.docx&amp;action=default&amp;mobileredirect=true&amp;DefaultItemOpen=1</t>
  </si>
  <si>
    <t>Will fill the form by tommorow</t>
  </si>
  <si>
    <t xml:space="preserve">6-Mar-2026: handed over to Shudhanshu and team
12-Jan-2026: Followed up with Shruthi for Vikram Alva
2-Jan-2026: Need to check with Atul Sood for suitability
30-Dec-2025: Follow-up with HM. No reply from Venture
29-Dec-2025: Follow-up with HM. No reply from Venture
15-Dec-2025: Reached out to Mentor on Linkedin. Asked HM to check the other suggested mentor too
11-Dec-2025: Asked for mentor contact details from Gagan </t>
  </si>
  <si>
    <t>6-Mar-2026: handed over to Shudhanshu and team
23-Dec-2025: Suggested 2 mentors</t>
  </si>
  <si>
    <t>6-Mar-2026: handed over to Shudhanshu and team
29-Dec-2025: There was no reply from venture  hence need to ask mentor again. Checking with HM if venture is available this week or not. Meeting date decided. Team will send the invite
15-Dec-2025: Shared availability of mentor with HM. Awaiting reply
15-Dec-2025: Reached out to Mentor</t>
  </si>
  <si>
    <t>06-Jan-2026: Will fill by today 
23-Dec-2025: The meeting was rescheduled and will be happening this week
22-Dec-2025: Sent the feedback form</t>
  </si>
  <si>
    <t>https://wadhwanifoundation-my.sharepoint.com/personal/accelerate_wadhwanifoundation_org/_layouts/15/viewer.aspx?sourcedoc={80f9482b-8f8d-417d-95f2-8e526dc1f892}</t>
  </si>
  <si>
    <t>https://wadhwanifoundation-my.sharepoint.com/personal/vaibhav_mattas_wadhwanifoundation_org/_layouts/15/Doc.aspx?sourcedoc=%7B3CB09A81-5B66-46A0-A872-3B69827CCC78%7D&amp;file=Expert%20Connect%20_%20Green%20Pods%20x%20Wadhwani%20Accelerate.docx&amp;action=default&amp;mobileredirect=true&amp;DefaultItemOpen=1</t>
  </si>
  <si>
    <t>10-Mar-2026: Ask yet to be updated from HM.</t>
  </si>
  <si>
    <t>6-Mar-2026: handed over to Shudhanshu and team
22-Jan-2026: Suggested Mentors
21-Jan-2026: ShortListed Mentors
20-Jan-2026: Need to suggest mentors for other asks too</t>
  </si>
  <si>
    <t>Swarup Sagi</t>
  </si>
  <si>
    <r>
      <rPr>
        <sz val="11"/>
        <color rgb="FF000000"/>
        <rFont val="Aptos Narrow"/>
        <family val="2"/>
        <scheme val="minor"/>
      </rPr>
      <t xml:space="preserve">6-Mar-2026: handed over to Shudhanshu and team
09-Feb-2026: Meeting rescheduled for 17th Feb 2026
4-Feb-2026: Meeting was cancelled last Minute
14-Jan-2026: Swarup is avaibale for 19th Jan (monday) for first half
14-Jan-2025: Called Mentor
12-Jan-2025: Called Mentor
9-Jan-2026: Reached out to Mentor on WhatsApp and Call
29-Dec-2025: Follow-up with Mentor for his avaiability. He will be available </t>
    </r>
    <r>
      <rPr>
        <b/>
        <sz val="11"/>
        <color rgb="FF000000"/>
        <rFont val="Aptos Narrow"/>
        <family val="2"/>
        <scheme val="minor"/>
      </rPr>
      <t xml:space="preserve">8th first Half 
</t>
    </r>
    <r>
      <rPr>
        <sz val="11"/>
        <color rgb="FF000000"/>
        <rFont val="Aptos Narrow"/>
        <family val="2"/>
        <scheme val="minor"/>
      </rPr>
      <t xml:space="preserve">22-Dec-2025: Follow-up with Mentor for his avaiability
18-Dec-2025: Called Mentor. He was stuck with some personal emergency. Will reply by tomorrow 
17-Dec-2025: Follow-up with mentor for availability
16-Dec-2025: Follow-up with mentor for availability
15-Dec-2025: Reached out to Mentor again for meeting
11-Dec-2025: Asked for mentor contact details from Gagan </t>
    </r>
  </si>
  <si>
    <t>18/12/2025: Will form by 11 AM
Ms. Palak picked the call on his behalf and told that they will fill form by tommorow 10:30 AM</t>
  </si>
  <si>
    <t>https://wadhwanifoundation-my.sharepoint.com/personal/accelerate_wadhwanifoundation_org/_layouts/15/viewer.aspx?sourcedoc={80d0916e-8b4f-400a-bd71-fc431c37cfef}</t>
  </si>
  <si>
    <t>https://wadhwanifoundation-my.sharepoint.com/:w:/g/personal/vaibhav_mattas_wadhwanifoundation_org/IQDfQD_C5Jc8Q608-tGyN5T-AXjNRK4_-4kkml9LmKSN8Uc?e=MB96sJ</t>
  </si>
  <si>
    <t>Will fill the details by 7PM Today</t>
  </si>
  <si>
    <t>27-Jan-2026: Sent the feedback form</t>
  </si>
  <si>
    <t xml:space="preserve">  </t>
  </si>
  <si>
    <t>27-Mar-2026: Mentor not replying
25-Mar-2026: Called mentor twice but he is not answering, dropped a whatsapp message too.
20-mar-2026: Suggested mentors for new ask</t>
  </si>
  <si>
    <t>9879467360
9409669724 (Hitesh)</t>
  </si>
  <si>
    <r>
      <rPr>
        <sz val="11"/>
        <color rgb="FF000000"/>
        <rFont val="Aptos Narrow"/>
        <family val="2"/>
        <scheme val="minor"/>
      </rPr>
      <t xml:space="preserve">6-Mar-2026: handed over to Shudhanshu and team
29-Dec-2025: This meeting was not scheduled hence checking with HM again if the venture is available this week as its holiday time. Founder is on Holiday. </t>
    </r>
    <r>
      <rPr>
        <b/>
        <sz val="11"/>
        <color rgb="FF000000"/>
        <rFont val="Aptos Narrow"/>
        <family val="2"/>
        <scheme val="minor"/>
      </rPr>
      <t xml:space="preserve">From HM : Purandar Highlands is on holidays outside India. Tailor Smart  - Please hold the connect. Founder is expecting market connects only for now
</t>
    </r>
    <r>
      <rPr>
        <sz val="11"/>
        <color rgb="FF000000"/>
        <rFont val="Aptos Narrow"/>
        <family val="2"/>
        <scheme val="minor"/>
      </rPr>
      <t>22-Dec-2025: Followed-up with HM for Venture Availability
12-Dec-2025: Follow-up with HM for Venture Availability
11-Dec-2025: Follow-up with HM for venture Availability
10-Dec-2025: Asked Mentor for availability. Mentor shared availability. Asked HM for venture availability</t>
    </r>
  </si>
  <si>
    <t>Tech Roadmap &amp; Product Scalability</t>
  </si>
  <si>
    <r>
      <rPr>
        <sz val="11"/>
        <color rgb="FF000000"/>
        <rFont val="Aptos Narrow"/>
        <family val="2"/>
        <scheme val="minor"/>
      </rPr>
      <t xml:space="preserve">6-Mar-2026: handed over to Shudhanshu and team
29-Dec-2025: This meeting was not scheduled. Hence reached out to HM again for Venture's availability for this week and reached out to mentor also  - </t>
    </r>
    <r>
      <rPr>
        <b/>
        <sz val="11"/>
        <color rgb="FF000000"/>
        <rFont val="Aptos Narrow"/>
        <family val="2"/>
        <scheme val="minor"/>
      </rPr>
      <t xml:space="preserve">Need to keep the connect on hold because  Founder is expecting market connects only for now
</t>
    </r>
    <r>
      <rPr>
        <sz val="11"/>
        <color rgb="FF000000"/>
        <rFont val="Aptos Narrow"/>
        <family val="2"/>
        <scheme val="minor"/>
      </rPr>
      <t>11-Dec-2025: Reached out to Mentor for Availability. Mentor shared his availability. Asked HM for confirmation. Mentor is availabile. weekday between 1-2 pm or Sat between 2-4–</t>
    </r>
  </si>
  <si>
    <t>28-Jan-2026: Filled the feedback
21-Jan-2025: Will fill by EOD</t>
  </si>
  <si>
    <t>6-Apr-2026: Ask yet to be updated from HM.
10-Mar-2026: Ask yet to be updated from HM.</t>
  </si>
  <si>
    <t>Brand positioning &amp; B2C Marketing</t>
  </si>
  <si>
    <t>6-Mar-2026: handed over to Shudhanshu and team
5-Jan-2026: Mentors were suggested. HM is yet to come back with preferred mentors
29-Dec-2025:  Suggestions yet to be seen by HM
12-Dec-2025: Need alternate of HImanshu
11-Dec-2025: Reached out to Mentor for Availability</t>
  </si>
  <si>
    <t>Enterprise sales motions, GTM</t>
  </si>
  <si>
    <t>6-Mar-2026: handed over to Shudhanshu and team
11-Dec-2025: Reached out to Mentor for Availability. Mentor shared Availability. Asked HM for availability of Venture
10-Dec-2025: Asked HM for comments for scheduling meeting</t>
  </si>
  <si>
    <t>22-Dec-2025: Sent the feedback form</t>
  </si>
  <si>
    <t>https://wadhwanifoundation-my.sharepoint.com/personal/accelerate_wadhwanifoundation_org/_layouts/15/viewer.aspx?sourcedoc={cf71edc4-5f7c-4a28-a359-f123d8386d80}</t>
  </si>
  <si>
    <t>https://wadhwanifoundation-my.sharepoint.com/:w:/g/personal/vaibhav_mattas_wadhwanifoundation_org/IQCfztZ49gOcTLuWke47QP2GAZFsjJ11KQYHrQGHusEdyQk?e=CBcDp8</t>
  </si>
  <si>
    <t>Sales Process Design</t>
  </si>
  <si>
    <t>6-Mar-2026: handed over to Shudhanshu and team
16-Dec-2025: Shared availability of Mentor with HM. Waiting Reply
11-Dec-2025: Reached out to Mentor for Availability</t>
  </si>
  <si>
    <t>https://wadhwanifoundation-my.sharepoint.com/:v:/g/personal/accelerate_wadhwanifoundation_org/IQDLSPa2N6iORIrkKxJeTWzeAUmqml6fP-q7EFfB7HKnl8E?e=kf981A&amp;nav=eyJyZWZlcnJhbEluZm8iOnsicmVmZXJyYWxBcHAiOiJTdHJlYW1XZWJBcHAiLCJyZWZlcnJhbFZpZXciOiJTaGFyZURpYWxvZy1MaW5rIiwicmVmZXJyYWxBcHBQbGF0Zm9ybSI6IldlYiIsInJlZmVycmFsTW9kZSI6InZpZXcifX0%3D</t>
  </si>
  <si>
    <t>https://wadhwanifoundation-my.sharepoint.com/:w:/g/personal/vaibhav_mattas_wadhwanifoundation_org/IQDuZN6Lev1ETpJdUloSwWmlATTMWjKqpJQhOU3gO59-vBs?e=Th7YTf</t>
  </si>
  <si>
    <t xml:space="preserve">Amiya Srivastava - Partner at Xuvian Ventures
Expertise: Fundraising expert in AI/ML, Advanced Manufacturing, Quantum tech, etc. </t>
  </si>
  <si>
    <t>A) B2B &amp; Global Sales Enablement – Support in enterprise deal closures with pharma and insurance firms, and guidance for US market expansion.
B) Product Validation &amp; Partnerships – Access to senior living facilities and CROs for validating the conversational AI robot and SaaS adherence platform.
D) Market Access &amp; Pricing Strategy – Advisory on pricing and positioning of the AI robot in premium and elder-care segments across India and international markets.</t>
  </si>
  <si>
    <t>6-Mar-2026: handed over to Shudhanshu and team
15-Dec-2025: Shared Availability of Mentor with HM. Awaiting Reply</t>
  </si>
  <si>
    <t>23-Dec-2025: Will fill the feedback by 12PM today
22-Dec-2025: Called twice but no response
19-Dec-2025: Called twice but no response</t>
  </si>
  <si>
    <t>https://wadhwanifoundation-my.sharepoint.com/personal/accelerate_wadhwanifoundation_org/_layouts/15/viewer.aspx?sourcedoc={1737de07-7472-441b-ab4f-1d995411e5b0}</t>
  </si>
  <si>
    <t>https://wadhwanifoundation-my.sharepoint.com/:w:/g/personal/vaibhav_mattas_wadhwanifoundation_org/IQDAu6De93-lRIC3_UgSXl2rAb_L2Kx7uoXthF-JPoZBBEo?e=6IFuji</t>
  </si>
  <si>
    <t>Devang raja</t>
  </si>
  <si>
    <t>C) Fundraising &amp; Financial Planning – Assistance in closing the current ₹2 Cr bridge round and structuring future fundraising from healthcare-focused investors.</t>
  </si>
  <si>
    <r>
      <rPr>
        <sz val="11"/>
        <color rgb="FF000000"/>
        <rFont val="Aptos Narrow"/>
        <family val="2"/>
        <scheme val="minor"/>
      </rPr>
      <t xml:space="preserve">6-Mar-2026: handed over to Shudhanshu and team
5-Jan-2026: Follow-up with HM on venture availability. Shared mentors availability with HM
Reply from HM </t>
    </r>
    <r>
      <rPr>
        <b/>
        <sz val="11"/>
        <color rgb="FF000000"/>
        <rFont val="Aptos Narrow"/>
        <family val="2"/>
        <scheme val="minor"/>
      </rPr>
      <t xml:space="preserve">"Founder is restructuring and has requested to hold for 2-3 weeks"
</t>
    </r>
    <r>
      <rPr>
        <sz val="11"/>
        <color rgb="FF000000"/>
        <rFont val="Aptos Narrow"/>
        <family val="2"/>
        <scheme val="minor"/>
      </rPr>
      <t>30-Dec-2025: Follow-up with HM on venture availability considering its Holiday season
29-Dec-2025: Follow-up with HM on venture availability considering its Holiday season
15-Dec-2025: Shared Availability of Mentor with HM. Awaiting Reply</t>
    </r>
  </si>
  <si>
    <t>6-Mar-2026: handed over to Shudhanshu and team
8-Jan-2026: Suggested Mentors
7-Jan-2026: Shortlisted Mentors</t>
  </si>
  <si>
    <t>22-Dec-2025: Asked mentor for his avalability this week
12-Dec-2025: Shared mentor's availability with HM. Waiting Reply
11-Dec-2025: Asked Mentor for another availability</t>
  </si>
  <si>
    <t xml:space="preserve">"ravi@univia.in" &lt;ravi@univia.in&gt;; "ketan@univia.in" &lt;ketan@univia.in&gt;; </t>
  </si>
  <si>
    <t>https://wadhwanifoundation-my.sharepoint.com/personal/accelerate_wadhwanifoundation_org/_layouts/15/viewer.aspx?sourcedoc={0e4830a2-8d88-4714-864f-8c658057f817}</t>
  </si>
  <si>
    <t>https://wadhwanifoundation-my.sharepoint.com/:w:/g/personal/vaibhav_mattas_wadhwanifoundation_org/IQCsCsO8Rp6MQ5_uwgTrNMeIAcpLmzBputvJhh6AxeXlkI4?e=jOY8H7</t>
  </si>
  <si>
    <t>98814 72945</t>
  </si>
  <si>
    <t>28-Jan-2026: FIlled the feedback
28-Jan-2026: Rejected the call
27-Jan-2026: Sent the feedback form</t>
  </si>
  <si>
    <t>https://wadhwanifoundation-my.sharepoint.com/personal/accelerate_wadhwanifoundation_org/_layouts/15/viewer.aspx?sourcedoc={d5511bb4-ac41-4a5d-a5fd-78bbde4f23dc}</t>
  </si>
  <si>
    <t>https://wadhwanifoundation-my.sharepoint.com/personal/vaibhav_mattas_wadhwanifoundation_org/_layouts/15/Doc.aspx?sourcedoc=%7B3EB033BE-FD2A-487A-A40C-1688B7F3885B%7D&amp;file=Expert%20Connect%201%20_%20Atreya%20Innovations%20x%20Wadhwani%20Accelerate.docx&amp;action=default&amp;mobileredirect=true&amp;DefaultItemOpen=1</t>
  </si>
  <si>
    <t>17-Feb-2026: Will fill the form shortly
12-Feb-2026: Sent the feedback</t>
  </si>
  <si>
    <t>https://wadhwanifoundation-my.sharepoint.com/:v:/g/personal/accelerate_wadhwanifoundation_org/IQAQHZcayc-8S6IFcLhbtLq2AbwrKYU2RJwAGubr93GFXgM?e=kvoRY3&amp;nav=eyJyZWZlcnJhbEluZm8iOnsicmVmZXJyYWxBcHAiOiJTdHJlYW1XZWJBcHAiLCJyZWZlcnJhbFZpZXciOiJTaGFyZURpYWxvZy1MaW5rIiwicmVmZXJyYWxBcHBQbGF0Zm9ybSI6IldlYiIsInJlZmVycmFsTW9kZSI6InZpZXcifX0%3D</t>
  </si>
  <si>
    <t>https://wadhwanifoundation-my.sharepoint.com/personal/vaibhav_mattas_wadhwanifoundation_org/_layouts/15/Doc.aspx?sourcedoc=%7BD6161283-CA3E-4A20-B503-CBE867467E02%7D&amp;file=Expert%20Connect%203%20_%20Atreya%20Innovations%20x%20Wadhwani%20Accelerate.docx&amp;action=default&amp;mobileredirect=true&amp;DefaultItemOpen=1</t>
  </si>
  <si>
    <t>Akshay from his team has taken meeting with Crispino and he asked to shared to details over whatsapp and will form by today</t>
  </si>
  <si>
    <t>28-Jan-2026: Filled the feedback form
28-Jan-2026: Rejected the call
27-Jan-2026: Sent the feedback form</t>
  </si>
  <si>
    <t>Need to check with Rishabh on findings. Findings are not there but mentors are suggested</t>
  </si>
  <si>
    <t>6-Mar-2026: handed over to Shudhanshu and team
7-Feb-2026: Founder was in Transit and requested to reschedule after the mentor joined. Mentor Deined to connect with this founder again
3-Feb-2026: Follow-up with mentor on his availability
2-Feb-2026: Asked mentor if he is available this week
29-Jan-2026: Shared mentor's availability with HM. This week was not suitable for Founder. Mentor might be travelling next week
28-Jan-2026: Mentor agreed to connect. Requested his availability
14-Nov-2025: Suggested Mentors</t>
  </si>
  <si>
    <t>Preeti</t>
  </si>
  <si>
    <t>preeti@foodnest.co.in</t>
  </si>
  <si>
    <t>03-Feb-2026: Will do by today
28-Jan-2026: Preeti will call in evening
27-Jan-2026: Sent the feedback form</t>
  </si>
  <si>
    <t>Filled the feedback form</t>
  </si>
  <si>
    <t>6-Mar-2026: handed over to Shudhanshu and team
Need to check with Rishabh on findings. Findings are not there but mentors are suggested</t>
  </si>
  <si>
    <t>6-Mar-2026: handed over to Shudhanshu and team
11-Feb-2026: Follow-up with Mentor. Date and Time Decided
10-Feb-2026: Follow-up with Mentor
9-Feb-2026: Reached out to Bhanu Bhargav mentor also 
02-Feb-2026: Called twice but mentor rejected the call
14-Nov-2025: Suggested Mentors for legal Side</t>
  </si>
  <si>
    <t>https://wadhwanifoundation-my.sharepoint.com/personal/accelerate_wadhwanifoundation_org/_layouts/15/viewer.aspx?sourcedoc={23bd464c-7aa1-4af4-a0a7-7b39c8e5dffd}</t>
  </si>
  <si>
    <t>https://wadhwanifoundation-my.sharepoint.com/personal/vaibhav_mattas_wadhwanifoundation_org/_layouts/15/Doc.aspx?sourcedoc=%7BDFC35B22-1044-40A6-BD39-55146A571F01%7D&amp;file=Expert%20Connect%201%20_%20Gyrodrive%20x%20Wadhwani%20Accelerate.docx&amp;action=default&amp;mobileredirect=true&amp;DefaultItemOpen=1</t>
  </si>
  <si>
    <t>28-Jan-2026: FIlled the form
27-Jan-2026: Sent the feedback form</t>
  </si>
  <si>
    <t>03-Feb-2026: Called Twice but not answering the calls. Asked the HM to coordinate with him
28-Jan-2026: Not Responding
27-Jan-2026: Sent the feedback form</t>
  </si>
  <si>
    <t>6-Mar-2026: handed over to Shudhanshu and team
3-Feb-2026: Shared mentor's availability with HM
2-Feb-2026: Follow-up with mentor on his availability
29-Jan-2026: Mentor confirmed for venture. We Asked for mentor's availability</t>
  </si>
  <si>
    <t>https://wadhwanifoundation-my.sharepoint.com/personal/accelerate_wadhwanifoundation_org/_layouts/15/viewer.aspx?sourcedoc={4503c524-7946-40a7-ba02-39d6efeb43ce}</t>
  </si>
  <si>
    <t>https://wadhwanifoundation-my.sharepoint.com/personal/vaibhav_mattas_wadhwanifoundation_org/_layouts/15/Doc.aspx?sourcedoc=%7BEA411141-DED8-46C4-9FF4-65AEBBF4FB33%7D&amp;file=Expert%20Connect%201%20_%20Frontierz%20x%20Wadhwani%20Accelerate.docx&amp;action=default&amp;mobileredirect=true&amp;DefaultItemOpen=1</t>
  </si>
  <si>
    <t>6-Mar-2026: handed over to Shudhanshu and team
30-Dec-2025: Sent final message related to honorarium. Awaiting Reply. 
&gt; Mentor expecting higher honororiaum. Need to confirm with Gagan
29-Dec-2025: Follow-up with mentor for availability
18-Dec-2025: Shared deck also with Mentor for his review and asked for availability
15-Dec-2025: Reached out to Mentor</t>
  </si>
  <si>
    <t>6-Mar-2026: handed over to Shudhanshu and team
6-Feb-2026: Pausing request for other mentors for now. Currently connected with Sriram
27-Jan-2026: Suggested alternate of Avinash Kumar. 
27-Jan-2026: Suggest Alternate of Avinash Kumar. Shortlisted and Suggested</t>
  </si>
  <si>
    <t>6-Mar-2026: handed over to Shudhanshu and team
4-Feb-2026: Follow-up with VIgnesh
3-Feb-2026: Date and time decided 
2-Feb-2026: Shared mentor's availability with HM
27-Jan-2026: HM will confirm then only will schedule</t>
  </si>
  <si>
    <t>12-Feb-2026: Sent the feedback</t>
  </si>
  <si>
    <t>https://wadhwanifoundation-my.sharepoint.com/personal/accelerate_wadhwanifoundation_org/_layouts/15/viewer.aspx?sourcedoc={217660bd-31db-4b36-8ac9-fa3b13cb3365}</t>
  </si>
  <si>
    <t>https://wadhwanifoundation-my.sharepoint.com/:w:/g/personal/vaibhav_mattas_wadhwanifoundation_org/IQCK7Dv-ySflS5bOQP6Fu0YBAYMpENl5x6ApB7uEPR37XZM?e=tLUAkS</t>
  </si>
  <si>
    <t>23-Mar-2026: Suggested mentors for all asks</t>
  </si>
  <si>
    <t>6-Mar-2026: handed over to Shudhanshu and team
6-Feb-2026: VP is taking care of the ask
27-Jan-2026: Suggested New mentors for priority ask
27-Jan-2026: Suggest Mentors for priority ask shared by Vignesh on Teams</t>
  </si>
  <si>
    <t>6-Mar-2026: handed over to Shudhanshu and team
11-Dec-2025: Asked Mentor for another availability. Mentor Shared Availability. Asked HM for availability of Venture</t>
  </si>
  <si>
    <t>18-Dec-2025: Called twice but no response
I called, but they cut the call.</t>
  </si>
  <si>
    <t>https://wadhwanifoundation-my.sharepoint.com/personal/accelerate_wadhwanifoundation_org/_layouts/15/viewer.aspx?sourcedoc={c9a8eefb-1967-4e0c-aad3-88816c608a42}</t>
  </si>
  <si>
    <t>https://wadhwanifoundation-my.sharepoint.com/:w:/g/personal/vaibhav_mattas_wadhwanifoundation_org/IQCxv7Y8A4YQRphCPbvGhnQ3AUqkZ1exp5jFzbB0uxk_890?e=pIzd0I</t>
  </si>
  <si>
    <t>14-Jan-2026: Shared mentors availability with HM. Date and time decided
9-Jan-2026: Asked mentor for his availability</t>
  </si>
  <si>
    <t>Sent Feedback Form</t>
  </si>
  <si>
    <t xml:space="preserve">20-Jan-2026: founder is saying Session is half done.  Once the session is fully complete, we will provide the feedback. </t>
  </si>
  <si>
    <t>https://wadhwanifoundation-my.sharepoint.com/personal/accelerate_wadhwanifoundation_org/_layouts/15/viewer.aspx?sourcedoc={81bc8bc2-bf2b-4abb-b015-f5206e2a568b}</t>
  </si>
  <si>
    <t>https://wadhwanifoundation-my.sharepoint.com/personal/vaibhav_mattas_wadhwanifoundation_org/_layouts/15/Doc.aspx?sourcedoc=%7B69BCFBE6-E8A1-4CF3-8134-7D899FB1E56E%7D&amp;file=Expert%20Connect%202%20_%20LeanKloud%20x%20Wadhwani%20Accelerate.docx&amp;action=default&amp;mobileredirect=true&amp;DefaultItemOpen=1</t>
  </si>
  <si>
    <t>6-Mar-2026: handed over to Shudhanshu and team
19-Feb-2026: Asked HM about the Mentor suitability
12-Feb-2026: Follow-up with HM
10-Feb-02026. HM will check with founder to connect with Ashish or not</t>
  </si>
  <si>
    <t>18-Feb-2026: Didn't answered the calls
12-Feb-2026: Sent the feedback</t>
  </si>
  <si>
    <t>https://wadhwanifoundation-my.sharepoint.com/personal/accelerate_wadhwanifoundation_org/_layouts/15/viewer.aspx?sourcedoc={0a049fe0-b962-4e61-91f2-51e853bfb1e8}</t>
  </si>
  <si>
    <t>https://wadhwanifoundation-my.sharepoint.com/personal/vaibhav_mattas_wadhwanifoundation_org/_layouts/15/Doc.aspx?sourcedoc=%7B855DF62C-5226-4C3E-94D7-858B557126ED%7D&amp;file=Expert%20Connect%201%20_%20Velaan%20Mart%20x%20Wadhwani%20Accelerate.docx&amp;action=default&amp;mobileredirect=true&amp;DefaultItemOpen=1</t>
  </si>
  <si>
    <t>29-Dec-2025: Mentor is not replying hence asked HM to check with venture again for other suggested mentors
22-Dec-2025: Reached out to mentor on Linkedin</t>
  </si>
  <si>
    <r>
      <rPr>
        <sz val="11"/>
        <color rgb="FF000000"/>
        <rFont val="Aptos Narrow"/>
        <family val="2"/>
        <scheme val="minor"/>
      </rPr>
      <t xml:space="preserve">6-Mar-2026: handed over to Shudhanshu and team
10-Feb-2026: Follow-up with HM for Pradeep. Asked to pause and continue with Ashish as of now
9-Feb-2026: They are now connected to Ashish Mittal
30-Jan-2026: Availability of founder after Feb 6th
29-Jan-2026: Shared venture details with mentor
28-Jan-2026: Follow-up with mentor on Prg Details 
23-Jan-2026: Request to Schedule meeting. Reached out to mentor with Prg Detail
19-Jan-2026: Updated new mentor for Leadership and management training to handle team growth and operational challenges. Please check 
16-Jan-2026: Suggest more mentors for this venture as Vaibhav is not responding
14-Jan-2026: Called twice but Vaibhav didn't received the calls
2-Jan-2026: Check with mentor on </t>
    </r>
    <r>
      <rPr>
        <b/>
        <sz val="11"/>
        <color rgb="FF000000"/>
        <rFont val="Aptos Narrow"/>
        <family val="2"/>
        <scheme val="minor"/>
      </rPr>
      <t xml:space="preserve">Monday 2pm
</t>
    </r>
    <r>
      <rPr>
        <sz val="11"/>
        <color rgb="FF000000"/>
        <rFont val="Aptos Narrow"/>
        <family val="2"/>
        <scheme val="minor"/>
      </rPr>
      <t>30-Dec-2025: Follow-up with mentor for availability on Call. Did not pick
29-Dec-2025: Follow-up with mentor for availability
18-Dec-2025: Follow-up with mentor for availability
17-Dec-2025: Mentor asked for program details and shared the same with him
15-Dec-2025: Reached out to Mentor</t>
    </r>
  </si>
  <si>
    <t>12-Dec-2025: Need to find alternate on BIS</t>
  </si>
  <si>
    <t>Asked to share the details over WhatsApp and will form by today</t>
  </si>
  <si>
    <t>https://wadhwanifoundation-my.sharepoint.com/:v:/g/personal/accelerate_wadhwanifoundation_org/IQDI5OTQIMrQSbc_XuTb3rxWAUePOrLneuEftZQ7tZUrTEs?e=TR3JK7&amp;nav=eyJyZWZlcnJhbEluZm8iOnsicmVmZXJyYWxBcHAiOiJTdHJlYW1XZWJBcHAiLCJyZWZlcnJhbFZpZXciOiJTaGFyZURpYWxvZy1MaW5rIiwicmVmZXJyYWxBcHBQbGF0Zm9ybSI6IldlYiIsInJlZmVycmFsTW9kZSI6InZpZXcifX0%3D</t>
  </si>
  <si>
    <t>https://wadhwanifoundation-my.sharepoint.com/:w:/g/personal/vaibhav_mattas_wadhwanifoundation_org/IQC-OQRDVWiPRoTL-BR7zbPBAShChc69B8qbd0o7xxTLfSU?e=ah7GpW</t>
  </si>
  <si>
    <t xml:space="preserve">17-Apr-2026: informed Mentor that his MSA is processed. Hence if he wants to raise invoice then we can </t>
  </si>
  <si>
    <t>28-Jan-2026: Filled the feedback
28-Jan-2026: Will call shortly
22-Jan-2026: Called twice but didn't responded
21-Jan-2026: Will submit by tommorow</t>
  </si>
  <si>
    <t>17-Mar-2026: Mentor removed. SUggesting other mentors
29-Dec-2025: Follow-up with mentor on his availability</t>
  </si>
  <si>
    <t>6-Mar-2026: handed over to Shudhanshu and team
12-Dec-2025: Follow-up with Mentor for availability
11-Dec-2025: Asked Mentor for another availability</t>
  </si>
  <si>
    <t>https://wadhwanifoundation-my.sharepoint.com/personal/accelerate_wadhwanifoundation_org/_layouts/15/viewer.aspx?sourcedoc={b2cea4e5-b4d8-4738-93d5-ce7a386a4391}</t>
  </si>
  <si>
    <t>https://wadhwanifoundation-my.sharepoint.com/:w:/g/personal/vaibhav_mattas_wadhwanifoundation_org/IQDyT9oN_e8HTqJi4421fccAAcb8tz7wde-JNlVjIZApkAc?e=I6QnFw</t>
  </si>
  <si>
    <t>https://wadhwanifoundation-my.sharepoint.com/personal/accelerate_wadhwanifoundation_org/_layouts/15/viewer.aspx?sourcedoc={cd7cabc0-321f-44e8-8bd0-a4d756707719}</t>
  </si>
  <si>
    <t>https://wadhwanifoundation-my.sharepoint.com/personal/vaibhav_mattas_wadhwanifoundation_org/_layouts/15/Doc.aspx?sourcedoc=%7B3A5A261A-8162-4DF1-86A5-61CBD6B297B0%7D&amp;file=Expert%20Connect%202%20_%20Raw%20Pharma%20x%20Wadhwani%20Accelerate.docx&amp;action=default&amp;mobileredirect=true&amp;DefaultItemOpen=1</t>
  </si>
  <si>
    <t>6-Apr-2026: Ask yet to be updated from HM.
10-Mar-2026: Ask yet to be updated from HM.
23-Jan-2026: Ask will be added today</t>
  </si>
  <si>
    <t xml:space="preserve">6-Mar-2026: handed over to Shudhanshu and team
Was scheduled by HM directly </t>
  </si>
  <si>
    <t>https://wadhwanifoundation-my.sharepoint.com/personal/accelerate_wadhwanifoundation_org/_layouts/15/viewer.aspx?sourcedoc={73479bd4-02d3-43b3-aec6-bbe25d9822b6}</t>
  </si>
  <si>
    <t>https://wadhwanifoundation-my.sharepoint.com/personal/vaibhav_mattas_wadhwanifoundation_org/_layouts/15/Doc.aspx?sourcedoc=%7BEAC985A3-3EB2-4DE1-9445-2F5FCB700CF4%7D&amp;file=Expert%20Connect%203%20_%20Raw%20Pharma%20x%20Wadhwani%20Accelerate.docx&amp;action=default&amp;mobileredirect=true&amp;DefaultItemOpen=1</t>
  </si>
  <si>
    <t>6-Mar-2026: handed over to Shudhanshu and team
17-Feb-2026: New Ask added by Meenakshi based on her discussion with Founder on Feedback foiunder gave on prev Sessions
We are currently seeking 1 million $
No specific type of investor.</t>
  </si>
  <si>
    <t>23-Mar-2026: Suggested Mentors</t>
  </si>
  <si>
    <t xml:space="preserve">Talent Hiring / Second line management , ERP selection </t>
  </si>
  <si>
    <t>17-Apr-2026: Sent venture details, waiting for timeslots now.
15-Apr-2026: Shared programme details with mentor.
14-Apr-2026: Waiting for HM to share deck so that we can share details mentor</t>
  </si>
  <si>
    <t>Secure Capital for Scale</t>
  </si>
  <si>
    <t>6-Apr-2026: HM suggested preferred mentor.
23-Mar-2026: Suggested mentors for all asks</t>
  </si>
  <si>
    <t>10-Apr-2026: Sent the feedback over whatsapp and email</t>
  </si>
  <si>
    <t>ANKIT RUNGTA</t>
  </si>
  <si>
    <t>ankit@storyathome.com</t>
  </si>
  <si>
    <t>10-Apr-2026: Sent the feedback form</t>
  </si>
  <si>
    <t>https://wadhwanifoundation-my.sharepoint.com/:v:/g/personal/accelerate_wadhwanifoundation_org/IQB-68jwMZVMRYSdQboo4QBGAb9kFita3CcTjTuA87lwn4w?e=Nh3YNw&amp;nav=eyJyZWZlcnJhbEluZm8iOnsicmVmZXJyYWxBcHAiOiJTdHJlYW1XZWJBcHAiLCJyZWZlcnJhbFZpZXciOiJTaGFyZURpYWxvZy1MaW5rIiwicmVmZXJyYWxBcHBQbGF0Zm9ybSI6IldlYiIsInJlZmVycmFsTW9kZSI6InZpZXcifX0%3D</t>
  </si>
  <si>
    <t>https://wadhwanifoundation-my.sharepoint.com/:w:/g/personal/vaibhav_mattas_wadhwanifoundation_org/IQBjZAUeRpm6QLC0ETkbPTzHAcvqd21Ztix4FAOR0ZH50ww?e=4qv4sB</t>
  </si>
  <si>
    <t>23-Mar-2026: Pending to suggest mentors for: Forward Integration &amp; New Product Line Introduction</t>
  </si>
  <si>
    <t>23-Mar-2026: Few asks pending. Check Mentor mapping sheet</t>
  </si>
  <si>
    <t>23-Mar-2026: Suggested mentor suggestion with HM</t>
  </si>
  <si>
    <t>Tarun Kohli</t>
  </si>
  <si>
    <t>2-Apr-2026: Called twice but metor not responding
30-Mar-2026: HM suggested preferred mentors
23-Mar-2026: Suggested mentors for all asks</t>
  </si>
  <si>
    <t>9-Jan-2026: Founder Dropped the Request
6-Jan-2026: Suggested Mentors
5-Jan-2026: Shortlisted Mentors</t>
  </si>
  <si>
    <t>Aman Lamba</t>
  </si>
  <si>
    <t xml:space="preserve">15-Apr-2026: Shared mentor suggestion with Rahul from AIIMA. </t>
  </si>
  <si>
    <t>Anirudh Chakrabarty</t>
  </si>
  <si>
    <t>24-Mar-2026: Suggested mentors for all asks</t>
  </si>
  <si>
    <t>7-Apr-2026: New mentor suggested for this ask. Earlier Abhinav Pratap was suggested 
31-Mar-2026: HM gave us the preferred mentors
24-Mar-2026: Suggested mentors for all asks</t>
  </si>
  <si>
    <t>Develop a Proactive Export Strategy Export Strategy Mentorship-</t>
  </si>
  <si>
    <t>8-Apr-2026: Meeting scheduled for tomorrow 2nd half
8-Apr-2026: AIIMA suggested slots, waiting for HM to confirm
31-Mar-2026: HM gave us the preferred mentors
24-Mar-2026: Suggested mentors for all asks</t>
  </si>
  <si>
    <t>10-April-2026: Filled the form
10-April-2026: Sent the feedback form</t>
  </si>
  <si>
    <t xml:space="preserve">Filled Feedback Form </t>
  </si>
  <si>
    <t xml:space="preserve">
10-Apr-2026: Sent feedback form</t>
  </si>
  <si>
    <t>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t>
  </si>
  <si>
    <t>Expert Connect 1 _ Zeus Engitech x Wadhwani Accelerate.docx</t>
  </si>
  <si>
    <t>2-Apr-2026: Called twice but metor not responding
31-Mar-2026: HM gave us the preferred mentors
24-Mar-2026: Suggested mentors for all asks</t>
  </si>
  <si>
    <t>23-Mar-2026: Pending to suggest mentors for: Backward Integration and Capacity Enhancement:</t>
  </si>
  <si>
    <t>23-Mar-2025: Pending to suggest for 2 requirement. Check Mapping Sheet</t>
  </si>
  <si>
    <t>23-Mar-2025: Pending to suggest for few requirement. Check Mapping Sheet</t>
  </si>
  <si>
    <t>Ankita Sinha</t>
  </si>
  <si>
    <t>ankita@micob.in,  shashank@micob.in
rishabh@micob.in</t>
  </si>
  <si>
    <t>Offline Meeting</t>
  </si>
  <si>
    <t>5-Jan-2026: Mentors were suggested. HM is yet to come back with preferred mentors
29-Dec-2025:  Suggestions yet to be seen by HM
12-Dec-2025: Need alternate of HImanshu
11-Dec-2025: Reached out to Mentor for Availability</t>
  </si>
  <si>
    <t>5-Jan-2026: Date and time decided. Pending to schedule
31-Dec-2025: Shared Availability of mentor with HM. Awaiting Reply
30-Dec-2025: Follow-up with Mentor for venture details
29-Dec-2025: Follow-up with Suhasini and Sanskriti. Pradeep is on Leave till today
23-Dec-2025: Asked Pradeep, Suhasini, and Sanskriti
22-Dec-2025: Selected mentors  Pradeep Malu, Suhasini Barman, Sanskriti Kapoor</t>
  </si>
  <si>
    <t>https://wadhwanifoundation-my.sharepoint.com/personal/accelerate_wadhwanifoundation_org/_layouts/15/viewer.aspx?sourcedoc={92a08512-5801-4537-b77d-bdb05be20a70}</t>
  </si>
  <si>
    <t>https://wadhwanifoundation-my.sharepoint.com/personal/vaibhav_mattas_wadhwanifoundation_org/_layouts/15/Doc.aspx?sourcedoc=%7B8F3985D4-D876-4198-BA41-DB54902C7BD8%7D&amp;file=Expert%20Connect%202%20_%20REAGRI%20x%20Wadhwani%20Accelerate.docx&amp;action=default&amp;mobileredirect=true&amp;DefaultItemOpen=1</t>
  </si>
  <si>
    <t>29-Dec-2025: Follow-up with Suhasini and Sanskriti. Pradeep is on Leave till today. Suhasini wants to connect for a discovery call. Shared availability of Mentor with HM for the same
23-Dec-2025: Asked Pradeep, Suhasini, and Sanskriti
22-Dec-2025: Selected mentors  Pradeep Malu, Suhasini Barman, Sanskriti Kapoor</t>
  </si>
  <si>
    <t>31-Dec-2025: Nayan told he will forward to Yogesh</t>
  </si>
  <si>
    <t>https://wadhwanifoundation-my.sharepoint.com/personal/accelerate_wadhwanifoundation_org/_layouts/15/viewer.aspx?sourcedoc={957c454c-67c4-48b3-9ff5-fa1bef3e2e58}</t>
  </si>
  <si>
    <t>https://wadhwanifoundation-my.sharepoint.com/personal/vaibhav_mattas_wadhwanifoundation_org/_layouts/15/Doc.aspx?sourcedoc=%7BB5AC8EEA-41C3-411F-8232-02A913E8289B%7D&amp;file=Expert%20Connect%201%20_%20REAGRI%20x%20Wadhwani%20Accelerate.docx&amp;action=default&amp;mobileredirect=true&amp;DefaultItemOpen=1</t>
  </si>
  <si>
    <t>7-Jan-2026: Currently connecting with Pradeep Malu. Now confirming with HM for connecting with this mentor 
5-Jan-2026: Follow-up with mentor for Program details
30-Dec-2025: Mentor was not replying hence asked shudhanshu to reach out as she is a liftoff mentor. Followed up with Shudhanshu
29-Dec-2025: Follow-up with Suhasini and Sanskriti. Pradeep is on Leave till today
23-Dec-2025: Asked Pradeep, Suhasini, and Sanskriti
22-Dec-2025: Selected mentors  Pradeep Malu, Suhasini Barman, Sanskriti Kapoor</t>
  </si>
  <si>
    <t>16-Feb-2026: Shared availability of mentor with HM. Awaiting Reply
Prev Meeting was cancelled because Meeting was scheduled late evening and mentor did not get chance to check the invite and even I did not get chance to check the invite and inform mentor
11-Feb-2026: Jigar wanted details in particular format hence share with him that format
9-Feb-2026: Follow-up with mentor for availability
6-Feb-2026: Reached out to Mentor for availability</t>
  </si>
  <si>
    <t>Received Invoice - Under Review</t>
  </si>
  <si>
    <t>21-Apr-2026: Mentor raised invoice. Invoice under review</t>
  </si>
  <si>
    <t>dhaval@rupiya.app</t>
  </si>
  <si>
    <t>16-Apr-2026: Called twice but venture not answering the calls</t>
  </si>
  <si>
    <t>14-Jan-2026: Is avaiable for  this week for the meeting.
12-Jan-2026: Called Mentor . WhatsApp also and SMS also 
10-Jan-2026: received Request a day before ard 6pm with selected mentors. Other mentors in Priority
2) Prashant Mandke
3)  Meeta Misra
4) Piyush and Prerna
5-Jan-2026: Mentors were suggested. HM is yet to come back with preferred mentors</t>
  </si>
  <si>
    <t>https://wadhwanifoundation-my.sharepoint.com/personal/accelerate_wadhwanifoundation_org/_layouts/15/viewer.aspx?sourcedoc={2e974617-998f-4bb0-9cab-470cc0a7ef82}</t>
  </si>
  <si>
    <t>https://wadhwanifoundation-my.sharepoint.com/personal/vaibhav_mattas_wadhwanifoundation_org/_layouts/15/Doc.aspx?sourcedoc=%7BB4ABD0DA-4096-4E54-B0F5-D29C4C6B11CB%7D&amp;file=Expert%20Connect%201%20_%20Rupiya%20Finnovations%20x%20Wadhwani%20Accelerate.docx&amp;action=default&amp;mobileredirect=true&amp;DefaultItemOpen=1</t>
  </si>
  <si>
    <t>2-Jan-2026: Date and Time finalized. Meeting to be scheduled 
30-Dec-2025: Follow-up with Mentor for venture details
29-Dec-2025: Mentor is happy with Program. Shared Venture Details 
&gt; Reached out to mentor with Program Details
22-Dec-2025: Selected Mentors</t>
  </si>
  <si>
    <t>+91 99989 69892</t>
  </si>
  <si>
    <t>06-Jan-2025: Asked to call to tommorow</t>
  </si>
  <si>
    <t>https://wadhwanifoundation-my.sharepoint.com/personal/accelerate_wadhwanifoundation_org/_layouts/15/viewer.aspx?sourcedoc={eebdd1f6-8f39-4cb7-9447-9db7c5302ae9}</t>
  </si>
  <si>
    <t>https://wadhwanifoundation-my.sharepoint.com/personal/vaibhav_mattas_wadhwanifoundation_org/_layouts/15/Doc.aspx?sourcedoc=%7B74A8B764-374D-44A6-85A1-6FE1F44C0AEE%7D&amp;file=Expert%20Connect%201%20_%20Stembotix%20x%20Wadhwani%20Accelerate.docx&amp;action=default&amp;mobileredirect=true&amp;DefaultItemOpen=1</t>
  </si>
  <si>
    <t>9-Jan-2026: Shared mentor's availability with HM
5-Jan-2026: On Pause because already connected with mentor Pradeep Rathi
2-Jan-2026: Mentor not well. Need to check with mentor next week
30-Dec-2025: Follow-up with mentor for Program Details
29-Dec-2025: Reached out to mentor with Program Details
22-Dec-2025: Selected Mentors</t>
  </si>
  <si>
    <t>https://wadhwanifoundation-my.sharepoint.com/personal/accelerate_wadhwanifoundation_org/_layouts/15/viewer.aspx?sourcedoc={ef07e6ed-6191-4c2f-8858-857d0907cbd3}</t>
  </si>
  <si>
    <t>https://wadhwanifoundation-my.sharepoint.com/personal/vaibhav_mattas_wadhwanifoundation_org/_layouts/15/Doc.aspx?sourcedoc=%7B12F654CD-BB18-466D-9989-8504E5CA3B89%7D&amp;file=Expert%20Connect%202%20_%20StemBotix%20x%20Wadhwani%20Accelerate.docx&amp;action=default&amp;mobileredirect=true&amp;DefaultItemOpen=1</t>
  </si>
  <si>
    <t>24-Mar-2026: HM asked to put this ask on hold as mentors is not available and we have been tring to reach him for a longer time</t>
  </si>
  <si>
    <t>16-Feb-2026: No confirmation from Founder. ost 13th and 16th Slot. Shared other slots also with HM
11-Feb-2026: Shared Mentor's Availability with HM. Jigar wanted details in particular format hence share with him that format
9-Feb-2026: Reached out to mentor with venture details . Asked for availability
5-Jan-2026: On Pause because already connected with mentor Pradeep Rathi
2-Jan-2025: Shared Mentor's availability with HM. Awaiting Reply
30-Dec-2025: Shared Venture details with Mentor
29-Dec-2025: Reached out to mentor with Program Details
22-Dec-2025: Selected Mentors</t>
  </si>
  <si>
    <t>https://wadhwanifoundation-my.sharepoint.com/personal/accelerate_wadhwanifoundation_org/_layouts/15/viewer.aspx?sourcedoc={99cb1cdf-eb70-435c-b61e-c45bec8f345c}</t>
  </si>
  <si>
    <t>https://wadhwanifoundation-my.sharepoint.com/personal/vaibhav_mattas_wadhwanifoundation_org/_layouts/15/Doc.aspx?sourcedoc=%7BD87A12DB-83E1-433D-9C42-CB35B5E10116%7D&amp;file=Expert%20Connect%203%20_%20Stembotix%20x%20Wadhwani%20Accelerate%20(1).docx&amp;action=default&amp;mobileredirect=true&amp;DefaultItemOpen=1</t>
  </si>
  <si>
    <t>6-Mar-2026: handed over to Shudhanshu and team
16-Jan-2026: Shared Mentor's availability with HM. Date and time decided
14-Jan-2026: Follow-up with mentor for availability
12-Jan-2026: Follow-up with mentor for Open Slots
9-Jan-2025: Shared venture details with Mentor
5-Jan-2026: Mentors were suggested. HM is yet to come back with preferred mentors
29-Dec-2025:  Suggestions yet to be seen by HM</t>
  </si>
  <si>
    <t>Mohammad Eshan</t>
  </si>
  <si>
    <t>Eshan@tunepath.com</t>
  </si>
  <si>
    <t>+91 75581 14322</t>
  </si>
  <si>
    <t>05-Feb-2026: Founder is not responding to the calls 
03-Feb-2026: WIll fill in  an hour
28-Jan-2026: Will fill the feedback by today
27-Jan-2026: Sent the feedback form</t>
  </si>
  <si>
    <t>https://wadhwanifoundation-my.sharepoint.com/personal/accelerate_wadhwanifoundation_org/_layouts/15/viewer.aspx?sourcedoc={a2ec0032-ae86-4f00-9b03-e6de9fc51ca1}</t>
  </si>
  <si>
    <t>https://wadhwanifoundation-my.sharepoint.com/personal/vaibhav_mattas_wadhwanifoundation_org/_layouts/15/Doc.aspx?sourcedoc=%7B1335BA6A-9B6B-4182-8E5A-3CAA73A707E8%7D&amp;file=Expert%20Connect%201%20_%20Ask%20Eva%20x%20Wadhwani%20Accelerate.docx&amp;action=default&amp;mobileredirect=true&amp;DefaultItemOpen=1</t>
  </si>
  <si>
    <t>11-Dec-2025: Asked Mentor for another availability. Mentor shared Availability. Asked HM for availability of Venture
10-Dec-2025: Asked Mentor for availability</t>
  </si>
  <si>
    <t>https://wadhwanifoundation-my.sharepoint.com/personal/accelerate_wadhwanifoundation_org/_layouts/15/viewer.aspx?sourcedoc={c573c64b-3b97-437d-9878-021e10da8b01}</t>
  </si>
  <si>
    <t>Expert Connect _ Aeronero x Wadhwani Accelerate.docx</t>
  </si>
  <si>
    <t>6-Mar-2026: handed over to Shudhanshu and team
20-Feb-2026: Needed replacement
28-Jan-2026: Follow-up with HM
16-Jan-2026: HM to Check for other preferred Mentors also 
30-Dec-2025: Sent final message related to honorarium. Awaiting Reply
29-Dec-2025: Reached out to mentor for his Availability. Check with Gagan. Mentor is expecting higher honororium
22-Dec-2025: Bharat Hudadalli's availibity to be checked</t>
  </si>
  <si>
    <t xml:space="preserve">6-Mar-2026: handed over to Shudhanshu and team
2-Jan-2026: Date and time finalized. Meeting to be scheduled
30-Dec-2025: Shared mentor's avaolability with HM. Awaiting reply
Reached out to mentor for his availability
29-Dec-2025: 
&gt; Mentor Happy with Program. Shared Venture details with Mentor for confirmation
&gt; Reached out to Mentor with Program Details. </t>
  </si>
  <si>
    <t>Nandhini</t>
  </si>
  <si>
    <t>"amith@servercake.in" &lt;amith@servercake.in&gt;</t>
  </si>
  <si>
    <t>+91 96002 31000</t>
  </si>
  <si>
    <t>28-Jan-2026: Forwarded to HM as venture isn't reply
28-Jan-2026:  Called twice but didn't responed 
22-Jan-2026: Called twice but didn't responed
21-Jan-2025: Will fill by EOD
20-Jan-2026: Will fill the feedback by today</t>
  </si>
  <si>
    <t>The founder explicitly asked for guidance on structuring and sizing a sales team to replicate their cloud server business model in new regions
. The expert suggested creating higher price bands, expanding geographically via a "rebirth 2.0" strategy, and initially hiring one person to secure 30-50 regional partnerships rather than doing direct sales
. While partially relevant, the advice was largely misaligned with the founder's expectation for concrete sales team mechanics. A visible gap emerged on the expert’s side, as she dominated the session with personal anecdotes about building her own WhatsApp networking group and loose analogies (like regional sweets) rather than providing actionable tactical advice
. The overall quality of the interaction was fair-to-poor due to this lack of focused guidance and the expert's repeated promotion of her own community group. The recommended next internal action is to coach the expert to ensure she addresses specific founder queries directly and refrains from using guidance sessions to promote external networking groups.</t>
  </si>
  <si>
    <t>https://wadhwanifoundation-my.sharepoint.com/personal/accelerate_wadhwanifoundation_org/_layouts/15/viewer.aspx?sourcedoc={d54ad81f-72fb-4507-8641-7b4e623a2b82}</t>
  </si>
  <si>
    <t>https://wadhwanifoundation-my.sharepoint.com/personal/vaibhav_mattas_wadhwanifoundation_org/_layouts/15/Doc.aspx?sourcedoc=%7B9B813AB0-A1D2-40F8-8753-49F285F365BC%7D&amp;file=Expert%20Connect%201%20_%20Servercake%20x%20Wadhwani%20Accelerate.docx&amp;action=default&amp;mobileredirect=true&amp;DefaultItemOpen=1</t>
  </si>
  <si>
    <t>6-Mar-2026: handed over to Shudhanshu and team
19-Feb-2026: Asked HM about the availibilty again
12-Feb-2026: Follow-up with HM. Founder yet to confirm
9-Feb-2026: Founder did not reply on Availability. Have to ask mentor again
4-Feb-2026: Follow-up with VIgnesh
2-Feb-2026: 8th 5-7 pm finalized
5-Jan-2026: Currently connected to Abhay Jajoo. After that if needed wil connect to Nitesh Sharma
2-Jan-2026: Shared Venture's availability 
30-Dec-2025: Mentor is interested to connect to venture. Requested mentor for his availability. 
&gt; Follow-up with mentor for Venture details
29-Dec-2025: Reached out to mentor with Program details + Venture Details
22-Dec-2025: Nitesh Sharma and Abhay Jajoo's availibilty to be checked</t>
  </si>
  <si>
    <t>6-Mar-2026: handed over to Shudhanshu and team
5-Jan-2026: Mentors were suggested. HM is yet to come back with preferred mentors
29-Dec-2025:  Suggestions yet to be seen by HM</t>
  </si>
  <si>
    <t>5-Jan-2026: Mentors were suggested. HM is yet to come back with preferred mentors
30-Dec-2025: Follow-up with HM
15-Dec-2025:  Suggestions yet to be seen by HM</t>
  </si>
  <si>
    <t>5-Jan-2026: Mentors were suggested. HM is yet to come back with preferred mentors
29-Dec-2025:  Suggestions yet to be seen by HM</t>
  </si>
  <si>
    <t>6-Mar-2026: handed over to Shudhanshu and team
2-Feb-2026: 5th Jan evening 7pm confirmed
29-Jan-2026:Follow-up with Mentor
28-Jan-2026:Shared Venture details
27-Jan-2026: Follow-up with Mentor
23-Jan-2026: Request to Schedule meeting. Reached out to mentor with Prg Detail
5-Jan-2026: Mentors were suggested. HM is yet to come back with preferred mentors
30-Dec-2025:  Follow-up with HM
15-Dec-2025: Suggested mentors to HM. Awaiting Reply</t>
  </si>
  <si>
    <t>https://wadhwanifoundation-my.sharepoint.com/personal/accelerate_wadhwanifoundation_org/_layouts/15/viewer.aspx?sourcedoc={51a71571-602f-4bc1-b811-8efb777f48f7}</t>
  </si>
  <si>
    <t>https://wadhwanifoundation-my.sharepoint.com/personal/vaibhav_mattas_wadhwanifoundation_org/_layouts/15/Doc.aspx?sourcedoc=%7B77A14642-69C9-4034-B7A9-5F11BE139CA2%7D&amp;file=Expert%20Connect%201%20_%20MyHarvest%C2%A0Farms%20x%20Wadhwani%20Accelerate.docx&amp;action=default&amp;mobileredirect=true&amp;DefaultItemOpen=1</t>
  </si>
  <si>
    <t>19-Jan-2026: Shared Mentor's availability with HM.
16-Jan-2026: Follow-up with mentor for meeting
14-Jan-2026: Follow-up with mentor on venture details
12-Jan-2026: Reached out to mentor for venture confirmation
9-Jan-2026: Shared Prg details with Mentor. Shared venture details. Mentor is busy for whole week
29-Dec-2025:  Suggestions yet to be seen by HM</t>
  </si>
  <si>
    <t>Gokul Ganapathi &lt;gg@botminds.ai&gt;</t>
  </si>
  <si>
    <t>10-Mar-2026: Venture not replying and told to HM for the same.
17-Feb-2026: Will do by tommorow
03-Feb-2026: WIll be doing it by Friday
28-Jan-2026: Sent the feedback form</t>
  </si>
  <si>
    <t>https://wadhwanifoundation-my.sharepoint.com/personal/accelerate_wadhwanifoundation_org/_layouts/15/viewer.aspx?sourcedoc={e1cd3993-0825-46dd-b3b9-c32728ba8fcc}</t>
  </si>
  <si>
    <t>https://wadhwanifoundation-my.sharepoint.com/personal/vaibhav_mattas_wadhwanifoundation_org/_layouts/15/Doc.aspx?sourcedoc=%7BD090E6D8-2847-453C-BA87-3C2D6296B42F%7D&amp;file=Expert%20Connect%201%20_%20Botminds.ai%20x%20Wadhwani%20Accelerate.docx&amp;action=default&amp;mobileredirect=true&amp;DefaultItemOpen=1</t>
  </si>
  <si>
    <t>Chetan</t>
  </si>
  <si>
    <t>06-Jan-2026: Called twice but he didn't picked the call
31-Dec-2025: Called twice but he didn't picked the call</t>
  </si>
  <si>
    <t>https://wadhwanifoundation-my.sharepoint.com/personal/accelerate_wadhwanifoundation_org/_layouts/15/viewer.aspx?sourcedoc={f8f1c320-83fd-48e3-a518-9f2fe0a6f2e7}</t>
  </si>
  <si>
    <t>https://wadhwanifoundation-my.sharepoint.com/personal/vaibhav_mattas_wadhwanifoundation_org/_layouts/15/Doc.aspx?sourcedoc=%7B3F2D156A-1EF4-435B-A249-B954083699EA%7D&amp;file=Expert%20Connect%201%20_%20Alpino%20x%20Wadhwani%20Accelerate.docx&amp;action=default&amp;mobileredirect=true&amp;DefaultItemOpen=1</t>
  </si>
  <si>
    <t>1. Accelerate B2B Sales Growth</t>
  </si>
  <si>
    <t>6-Mar-2026: handed over to Shudhanshu and team
12-Jan-2026: Shared Mentor's Availability with HM
9-Jan-2026: Check for other open slots of Mentor 
7-Jan-2026: Shared Mentor's availability with HM. Awaiting Reply. Checked with Mentor
5-Jan-2026: Asked for this week's availability
29-Dec-2025: Follow-up with HM on venture availability considering its Holiday season
17-Dec-2025: Shared Availability of mentor with HM. Awaiting Reply. This was not scheduled. Check mentor availability for 2nd time
15-Dec-2025: Reached out to Mentor</t>
  </si>
  <si>
    <t>28-Jan-2026: Filled the feedback form
27-Jan-2026: Sent the feedback form</t>
  </si>
  <si>
    <t>https://wadhwanifoundation-my.sharepoint.com/personal/accelerate_wadhwanifoundation_org/_layouts/15/viewer.aspx?sourcedoc={f8cd782c-746a-49a4-b875-54acea4c075e}</t>
  </si>
  <si>
    <t>https://wadhwanifoundation-my.sharepoint.com/personal/vaibhav_mattas_wadhwanifoundation_org/_layouts/15/Doc.aspx?sourcedoc=%7B464DE85B-03A0-4ABE-B4D7-8179EB5F48A6%7D&amp;file=Expert%20Connect%202%20_%20Dhobi%20G%20x%20Wadhwani%20Accelerate.docx&amp;action=default&amp;mobileredirect=true&amp;DefaultItemOpen=1</t>
  </si>
  <si>
    <t xml:space="preserve">6-Mar-2026: handed over to Shudhanshu and team
9-Feb-2026: Suggested Mentors
6-Feb-2026: New Ask is added
03-Feb-2026: Ask yet to be updated from HM
27-Jan-2026: Ask yet to be updated from HM
23-Jan-2026: New ask is been Updated. Ads in existing app </t>
  </si>
  <si>
    <t>16-Jan-2026: Mentoring connection is on hold because of other VP related meetings happening
14-Jan-2026: Asked mentor for his availability. 
12-Jan-2026: Asked mentor for his availability. Shared availability of Mentor with HM
9-Jan-2026: Asked mentor for his availability 
6-Jan-2026: Asked mentor for his availability
2-Jan-2026: Follow-up with mentor for his availability
30-Dec-2025: Reached out to mentor for his availability
29-Dec-2025: Reached out to Mentor with Venture Details
22-Dec-2025: Prashant Mandke's availibity to be checked (By Vignesh)</t>
  </si>
  <si>
    <r>
      <t xml:space="preserve">6-Jan-2026: Follow-up with Mentor on Program details
29-Dec-2025: Reached out to mentor with Program Details. He wanted to discuss </t>
    </r>
    <r>
      <rPr>
        <b/>
        <sz val="11"/>
        <color theme="1"/>
        <rFont val="Aptos Narrow"/>
        <family val="2"/>
        <scheme val="minor"/>
      </rPr>
      <t>after 5th Jan</t>
    </r>
    <r>
      <rPr>
        <sz val="11"/>
        <color theme="1"/>
        <rFont val="Aptos Narrow"/>
        <family val="2"/>
        <scheme val="minor"/>
      </rPr>
      <t xml:space="preserve">
19-Dec-2025: Preferred Mentors Selected </t>
    </r>
  </si>
  <si>
    <t>6-Apr-2026: Meeting scheduled for 10th April.
6-Apr-2026: Asked mentor again for slots, as first suggested were missed from Venture's end.
30-Mar-2026: Asked HM about the shared Timeslots. Yet to get a confirmation his end.
23-mar-2026: Mentor's POC again mentioned that he will confirm by today
20-Mar-2026: Mentor's POC mentioned that he will confirm by today
18-Mar-2026: Shared the details with Mentor's POC
5-Jan-2026: Mentors were suggested. HM is yet to come back with preferred mentors
29-Dec-2025:  Suggestions to be finalized from Venture's end</t>
  </si>
  <si>
    <t>13-Apr-2026: Will fill today
10-Apr-2026: Sent th form</t>
  </si>
  <si>
    <t>15-Apr-2026:  asked to filled it, dropped a whatsapp message.
13-Apr-2026: Called twice but venture not asking</t>
  </si>
  <si>
    <t>https://wadhwanifoundation-my.sharepoint.com/:v:/g/personal/accelerate_wadhwanifoundation_org/IQAwiuI28kCRT4HVgckZ995tAaHUhtVcqnUqekrwI3Wd08A?nav=eyJyZWZlcnJhbEluZm8iOnsicmVmZXJyYWxBcHAiOiJPbmVEcml2ZUZvckJ1c2luZXNzIiwicmVmZXJyYWxBcHBQbGF0Zm9ybSI6IldlYiIsInJlZmVycmFsTW9kZSI6InZpZXciLCJyZWZlcnJhbFZpZXciOiJNeUZpbGVzTGlua0NvcHkifX0&amp;e=w9HB1D</t>
  </si>
  <si>
    <t>https://wadhwanifoundation-my.sharepoint.com/:w:/g/personal/vaibhav_mattas_wadhwanifoundation_org/IQB4gc9ZVvqaS5Ye_6Er3i0jATCCn7T4dVPUbe-MzjC4Dog?e=LTCCVs</t>
  </si>
  <si>
    <t>2. Brand Position and Marketing
3. Expand market connects</t>
  </si>
  <si>
    <t>6-Mar-2026: handed over to Shudhanshu and team
22-Dec-2025: Follow-up with HM for availability
15-Dec-2025: Shared Availability of Mentor with HM. Awaiting Reply</t>
  </si>
  <si>
    <t>https://wadhwanifoundation-my.sharepoint.com/personal/accelerate_wadhwanifoundation_org/_layouts/15/viewer.aspx?sourcedoc={93784d37-bc18-44e8-9c51-df6e8edc4c23}</t>
  </si>
  <si>
    <t>https://wadhwanifoundation-my.sharepoint.com/:w:/g/personal/vaibhav_mattas_wadhwanifoundation_org/IQCbYVyFQPRNR7lAI24Frxv7AaQg2-Nzo9YU3Qc8KIdKI_A?e=O1W5ob</t>
  </si>
  <si>
    <t>29-Dec-2025: Follow-up with Mentor. Shared Availability of Mentor with HM. Awaiting Reply. Date and time confirmed
15-Dec-2025: Checked on Mentor
10-Dec-2025: Mentor was not well and requested to cancel the meeting. Will check next week for his availability</t>
  </si>
  <si>
    <t>28-Jan-2026: Forwarded to HM as venture isn't reply
12-Jan-2025: Called twice but he didn't picked the call
07-Jan-2025: Called twice but he didn't picked the call
06-Jan-2026: Called twice but he didn't picked the call</t>
  </si>
  <si>
    <t>https://wadhwanifoundation-my.sharepoint.com/personal/accelerate_wadhwanifoundation_org/_layouts/15/viewer.aspx?sourcedoc={cb45bf20-654d-408d-a54a-821f496f2967}</t>
  </si>
  <si>
    <t>https://wadhwanifoundation-my.sharepoint.com/personal/vaibhav_mattas_wadhwanifoundation_org/_layouts/15/Doc.aspx?sourcedoc=%7B55B6A256-6C5E-4380-8E56-3531CA56B8E5%7D&amp;file=Expert%20Connect%20_%20Uravu%20Labs%20x%20Wadhwani%20Accelerate.docx&amp;action=default&amp;mobileredirect=true&amp;DefaultItemOpen=1</t>
  </si>
  <si>
    <t>6-Mar-2026: Ask to be updated by HM in Mapping Sheet</t>
  </si>
  <si>
    <t xml:space="preserve">9-Feb-2026: Added one more mentor
22-Jan-2026: Suggested Mentors
21-Jan-2026: Shortlisted Mentors
20-Jan-2026: New ask has been added. </t>
  </si>
  <si>
    <t>14-Jan-2026: Suggested Mentors
13-Jan-2026: Shortlisted Mentors</t>
  </si>
  <si>
    <t>19-Jan-2026: Suggested mentors awaiting HM's reply</t>
  </si>
  <si>
    <t>Kommal Patel and Chandan Maloo</t>
  </si>
  <si>
    <t>nutrirasoi@outlook.com</t>
  </si>
  <si>
    <t>6-Mar-2026: handed over to Shudhanshu and team 
17-Feb-2026: Shared slots with HM, waiting for the confirmation.
13-Feb-2026: Will share the slots shortly
12-Feb-2026: Sent venture details, will revert by today.
11-Feb-2026: Will see the progra details and will revert accordingly
10-Feb-2026: Mentor Rejected the call
2-Feb-2026: Requested to connect to Mentor
5-Jan-2026: Mentors were suggested. HM is yet to come back with preferred mentors
29-Dec-2025:  Suggestions to be finalized from Venture's end</t>
  </si>
  <si>
    <t>6-Mar-2026: handed over to Shudhanshu and team
11-Feb-2026: Waiting for HM to give confirmation on the time slots
10-Feb-2026: Will go through the details and will get back soon</t>
  </si>
  <si>
    <t>18-Feb-2026: Sent the feedback</t>
  </si>
  <si>
    <t>https://wadhwanifoundation-my.sharepoint.com/personal/accelerate_wadhwanifoundation_org/_layouts/15/viewer.aspx?sourcedoc={0f59b411-5670-4402-93e0-2fe6fb36bab9}</t>
  </si>
  <si>
    <t>https://wadhwanifoundation-my.sharepoint.com/personal/vaibhav_mattas_wadhwanifoundation_org/_layouts/15/Doc.aspx?sourcedoc=%7BA2B4FFE4-B0CB-4616-BB01-36BF2FA18E33%7D&amp;file=Expert%20Connect%201%20_%20NutriRasoi%20x%20Wadhwani%20Accelerate%20(1).docx&amp;action=default&amp;mobileredirect=true&amp;DefaultItemOpen=1</t>
  </si>
  <si>
    <t>https://wadhwanifoundation-my.sharepoint.com/personal/accelerate_wadhwanifoundation_org/_layouts/15/viewer.aspx?sourcedoc={1fdde4b2-c67b-4efa-aeee-f3901bf2176e}</t>
  </si>
  <si>
    <t>https://wadhwanifoundation-my.sharepoint.com/:w:/g/personal/vaibhav_mattas_wadhwanifoundation_org/IQD7zjlUER1AQYhPbvL1vaANAWlVV1Wy-45CY9yOn8zZ0vA?e=RPJWvK</t>
  </si>
  <si>
    <t>30-Dec-2025: Date and time decided. Team need to send meeting invite
29-Dec-2025: 
&gt; Reached out to mentor with Program Details
&gt; Mentors selected</t>
  </si>
  <si>
    <t>07-Jan-2025: Will fill by today
06-Jan-2025: Asked to call to tommorow</t>
  </si>
  <si>
    <t>https://wadhwanifoundation-my.sharepoint.com/personal/accelerate_wadhwanifoundation_org/_layouts/15/viewer.aspx?sourcedoc={9434dffa-ee78-44e3-9ff3-1e4b3fbb2343}</t>
  </si>
  <si>
    <t>https://wadhwanifoundation-my.sharepoint.com/personal/vaibhav_mattas_wadhwanifoundation_org/_layouts/15/Doc.aspx?sourcedoc=%7BDC63F2CE-F96F-437E-9A35-18B61FAEFD13%7D&amp;file=Expert%20Connect%201%20_%20Sarumam%20Pharmacy%20x%20Wadhwani%20Accelerate.docx&amp;action=default&amp;mobileredirect=true&amp;DefaultItemOpen=1</t>
  </si>
  <si>
    <t>0012</t>
  </si>
  <si>
    <t>5-Mar-2026: Meeting was canceled today, as founder got some urgent work.</t>
  </si>
  <si>
    <t>19-Feb-2026: Mentor got busy with some urgent work
11-Feb-2026: 19th 4.30 pm confirmed
10-Feb-2026: Follow-up with HM for rescheduling the meeting.  Need to check with mentor for his availability this week
9-Feb-2026: Follow-up with HM for rescheduling the meeting.
6-Feb-2026: Cancelled today
4-Feb-2026: Follow-up with VIgnesh
2-Feb-2026: Reached out to mentor for his availability. Shared Availability of mentor with HM
2-Jan-2026: They are connected with one venture as of now hence after that we can connect the other
30-Dec-2025: Follow-up with Mentor on Venture Detail
29-Dec-2025: Reached out to mentor with Program + Venture Details.
29-Dec-2025: Mentors selected</t>
  </si>
  <si>
    <t>2-Jan-2026: They are connected with one venture as of now hence after that we can connect the other
30-Dec-2025: Shared availability of mentor with HM. Awaiting Reply 
&gt; Follow-up with Mentor on Prg Detail + Venture Details
29-Dec-2025: Reached out to mentor with Program Details.
29-Dec-2025: Mentors selected</t>
  </si>
  <si>
    <t>9-Jan-2026: Founder dropped the request</t>
  </si>
  <si>
    <t>26-Mar-2026: Suggested mentors for fundraising ask
24-Mar-2026: Asked HM about other suggested mentor
10-Feb-2026: Abhishek denied as he took break from mentoring
09-Feb-2026: Shared the venture details with mentor waiting for his confirmation on the same
2-Feb-2026: Requested to connect to Mentor
5-Jan-2026: Mentors were suggested. HM is yet to come back with preferred mentors
29-Dec-2025: Suggested Mentors. Awaiting reply from HM
24-Dec-2025: Request Raised. Identified Mentors
26-Dec-2025: Identified Mentors</t>
  </si>
  <si>
    <t>6-Mar-2026: Shared more suggestions to Jigar
3-Mar-2026: Previously preferred mentro denied for meeting. Suggesting new of mentors
3-Mar-2026: Mentor thinks he is not fit for the need.
13-Feb-2026: Will confirm by Monday
11-Feb-2026: Will share timeslots shortly
10-Feb-2026: Waiting for mentor's reply. Dropped a message and called twice
09-feb-2026: Will call by tommorow after going through the details</t>
  </si>
  <si>
    <t>12-Jan-2026: Follow-up with mentor for Open Slots. Shared availability of Mentor with HM
9-Jan-2025: Reached out to mentor for Open Slots
5-Jan-2026: Mentors were suggested. HM is yet to come back with preferred mentors
31-Dec-2025: Suggested mentors
30-Dec-2025: Shortlisted mentors
24-Dec-2025: Requested for Mentors</t>
  </si>
  <si>
    <t>Dr. Amit Gupta</t>
  </si>
  <si>
    <t>amit.gupta@airmedpathlabs.com</t>
  </si>
  <si>
    <t>21-Jan-2025: Venture is yet to have follow up meetings with the mentor to give you a feedback</t>
  </si>
  <si>
    <t>https://wadhwanifoundation-my.sharepoint.com/personal/accelerate_wadhwanifoundation_org/_layouts/15/viewer.aspx?sourcedoc={5fbfc510-e562-423b-855f-10a9817f96aa}</t>
  </si>
  <si>
    <t>https://wadhwanifoundation-my.sharepoint.com/personal/vaibhav_mattas_wadhwanifoundation_org/_layouts/15/Doc.aspx?sourcedoc=%7BF9ADAE59-ADF6-483B-B40B-65AFEF07CB4A%7D&amp;file=Expert%20Connect%201%20_%20Airmeds%20x%20Wadhwani%20Accelerate.docx&amp;action=default&amp;mobileredirect=true&amp;DefaultItemOpen=1</t>
  </si>
  <si>
    <t>22-Jan-2026: Founder yet to have follow up meetings with the mentor to give you a feedback</t>
  </si>
  <si>
    <t>https://wadhwanifoundation-my.sharepoint.com/personal/accelerate_wadhwanifoundation_org/_layouts/15/viewer.aspx?sourcedoc={b9471078-b3fe-49b1-8fb1-65412e28ba6d}</t>
  </si>
  <si>
    <t>https://wadhwanifoundation-my.sharepoint.com/personal/vaibhav_mattas_wadhwanifoundation_org/_layouts/15/Doc.aspx?sourcedoc=%7B965A8195-49E4-47EC-93D9-CCCEE29A9892%7D&amp;file=Expert%20Connect%202%20_%20Airmeds%20x%20Wadhwani%20Accelerate.docx&amp;action=default&amp;mobileredirect=true&amp;DefaultItemOpen=1</t>
  </si>
  <si>
    <t>12-Feb-2026: Was coordinated and scheduled by HM Directly</t>
  </si>
  <si>
    <t>https://wadhwanifoundation-my.sharepoint.com/personal/accelerate_wadhwanifoundation_org/_layouts/15/viewer.aspx?sourcedoc={b1307710-288a-43f4-9118-b023db899a90}</t>
  </si>
  <si>
    <t>https://wadhwanifoundation-my.sharepoint.com/personal/vaibhav_mattas_wadhwanifoundation_org/_layouts/15/Doc.aspx?sourcedoc=%7BDEC524CB-A9F1-4086-84CD-E65D483BE100%7D&amp;file=Expert%20Connect%201%20_%20Agriown%C2%A0Farmtech%20x%20Wadhwani%20Accelerate.docx&amp;action=default&amp;mobileredirect=true&amp;DefaultItemOpen=1</t>
  </si>
  <si>
    <t>19-Feb-2026: Asked the HM again 
16-Feb-2026: Follow-up with Mentor. Shared Mentor's Availability with HM
12-Feb-2026: Shared Venture details with Mentor. Mentor was not suggested by us
13-Jan-2026: Suggested Mentors
12-Jan-2026: Shortlisted Mentors
9-Jan-2026: Need to suggest mentor</t>
  </si>
  <si>
    <t>95940 66816</t>
  </si>
  <si>
    <t>10-Mar-2026: 
26-Feb-2026: Sent the feedback</t>
  </si>
  <si>
    <t>https://wadhwanifoundation-my.sharepoint.com/personal/accelerate_wadhwanifoundation_org/_layouts/15/viewer.aspx?sourcedoc={e849e158-4b29-4967-afde-8045c36c6e81}</t>
  </si>
  <si>
    <t>https://wadhwanifoundation-my.sharepoint.com/personal/vaibhav_mattas_wadhwanifoundation_org/_layouts/15/Doc.aspx?sourcedoc=%7B06DC80ED-ED44-4F08-9D50-427152A30A0A%7D&amp;file=Expert%20Connect%201%20_%20Terrablu%20x%20Wadhwani%20Accelerate.docx&amp;action=default&amp;mobileredirect=true&amp;DefaultItemOpen=1</t>
  </si>
  <si>
    <t>5-Jan-2026: Mentors were suggested. HM is yet to come back with preferred mentors
30-Dec-2025: Shortlisted and Suggested mentors</t>
  </si>
  <si>
    <t xml:space="preserve">   </t>
  </si>
  <si>
    <t>6-Mar-2026: handed over to Shudhanshu and team
5-Jan-2026: Mentors were suggested. HM is yet to come back with preferred mentors
30-Dec-2025: Suggested Mentors
29-Dec-2025: Shortlisted Mentors</t>
  </si>
  <si>
    <t>3-Feb-2026: Finalized Date and time: Thur 7 to 8pm
2-Feb-2026: Shared Mentor's Availability with HM
23-Jan-2026: Asked for mentor's availability again
19-Jan-2026: Have to rescheduled hence shared mentor's next availability with HM
14-Jan-2026: Follow-up with mentor on availability. Date and time finalized. Meeting to be scheduled
12-Jan-2026: Reached out to mentor for connection
9-Jan-2026: Shared venture details with the Mentor
8-Jan-2026: Reached out to mentor for Meeting
5-Jan-2026: Suggested Mentors
2-Jan-2026: Shortlisted Mentors
24-Dec-2025: Requested for Mentor</t>
  </si>
  <si>
    <t>Jatin Patel</t>
  </si>
  <si>
    <t>jatin@enercomp.in</t>
  </si>
  <si>
    <t>10-Mar-2026: Asked the HM again
17-Feb-2026: Founder denied to fill the feedback, as he gave a verbal one to HM
12-Feb-2026: Sent the feedback</t>
  </si>
  <si>
    <t>18-Feb-2026: Meeting was cancelled at the last moment as Founder got some urgent meeting
16-Feb-2026: Mentor given updated slot. Waiting for HM to confirm
11-Feb-2026: Waiting for Hm to confirm Timeslot
11-Feb-2026: Called twice but not replied
10-Feb-2026:  Called him and even drop a message but no response</t>
  </si>
  <si>
    <t>11-Feb-2026: Venture directly connected with the mentor
11-Feb-2026: Shared the venture details and waiting for his response
10-Feb-2026: Messaged the mentor on LinkedIn</t>
  </si>
  <si>
    <t>6-Mar-2026: handed over to Shudhanshu and team
9-Jan-2026: Asked for availability of Mentor. Date and time decided. Meeting to be scheduled
5-Jan-2026: Follow-up with mentor for Program Detail
2-Jan-2026: Reached out to mentor with Prg Detail
1-Jan-2026: Requested to connect Mentor. 
31-Dec-2025: Suggested mentors. There was one requirement for which we took time for screening
24-Dec-2025: Request Raised. Identified Mentors</t>
  </si>
  <si>
    <t>20-Jan-2026: Will fill the feedback by today</t>
  </si>
  <si>
    <t>https://wadhwanifoundation-my.sharepoint.com/personal/accelerate_wadhwanifoundation_org/_layouts/15/viewer.aspx?sourcedoc={6a4762b5-0a2d-4358-84f1-e09884e7b46e}</t>
  </si>
  <si>
    <t>https://wadhwanifoundation-my.sharepoint.com/personal/vaibhav_mattas_wadhwanifoundation_org/_layouts/15/Doc.aspx?sourcedoc=%7B506C227A-E66F-4F21-8276-BC3E778CA860%7D&amp;file=Expert%20Connect%201%20_%20Exposit%20Immersive%20Solution%20x%20Wadhwani%20Accelerate.docx&amp;action=default&amp;mobileredirect=true&amp;DefaultItemOpen=1</t>
  </si>
  <si>
    <t>11-Feb-2026: Meeting canceled by HM and Venture after initial round of disscussion
09-Feb-2026: Already had a call with venture
09-Feb-2026: Mentor will call shortly</t>
  </si>
  <si>
    <t>29-Jan-2026: Coordinating to reschedule meeting
28-Jan-2026: Meeting did not happen yesterday
20-Jan-2026: Requested for venture's pitch deck to share with mentor . Shared availability of mentor with HM
19-Jan-2026: Requested to connect  with mentor
5-Jan-2026: Mentors were suggested. HM is yet to come back with preferred mentors
29-Dec-2025: Suggested Mentors to HM
26-Dec-2025: Identified Mentors</t>
  </si>
  <si>
    <t>17-Feb-2026: Not answering the calls and messages
05-Feb-2026: Will fill by today
03-Feb-2026: Sent the feedback form</t>
  </si>
  <si>
    <t>https://wadhwanifoundation-my.sharepoint.com/personal/accelerate_wadhwanifoundation_org/_layouts/15/viewer.aspx?sourcedoc={9c632e48-fba9-4f93-b280-44637fd7ba24}</t>
  </si>
  <si>
    <t>https://wadhwanifoundation-my.sharepoint.com/personal/vaibhav_mattas_wadhwanifoundation_org/_layouts/15/Doc.aspx?sourcedoc=%7BBF764CCC-E601-4FCA-B1E6-A45FFE6CA586%7D&amp;file=Expert%20Connect%201%20_%20Qarmatek%20x%20Wadhwani%20Accelerate.docx&amp;action=default&amp;mobileredirect=true&amp;DefaultItemOpen=1</t>
  </si>
  <si>
    <t>17-Feb-2026: Offline meeting for 11 AM - 01 PM. 4 Hours Meeting</t>
  </si>
  <si>
    <t xml:space="preserve">10-Mar-2026: Will fill by today
18-Feb-2026: Will do it by 20th Feb </t>
  </si>
  <si>
    <t>11-Feb-2206: Shared the slots now waiting for HM to revert
11-Feb-2026: Will reply shortly on the updated ask
10-Feb-2026: Will update in a day or two
09-Feb-2026: Shared the venture details with mentor waiting for his confirmation on the same</t>
  </si>
  <si>
    <t>https://wadhwanifoundation-my.sharepoint.com/personal/accelerate_wadhwanifoundation_org/_layouts/15/viewer.aspx?sourcedoc={6a54f50c-0c6b-4c35-a8ff-265a40ca3c47}</t>
  </si>
  <si>
    <t>https://wadhwanifoundation-my.sharepoint.com/personal/vaibhav_mattas_wadhwanifoundation_org/_layouts/15/Doc.aspx?sourcedoc=%7BF6C57712-8E13-40CF-82FA-AF421142A75E%7D&amp;file=Expert%20Connect%202%20_%20Qarmatek%20x%20Wadhwani%20Accelerate.docx&amp;action=default&amp;mobileredirect=true&amp;DefaultItemOpen=1</t>
  </si>
  <si>
    <t>11-Feb-2026: Waiting for HM to confirm the time slots
11-Feb-2026: Will call at 11:30 AM
10-Feb-2026: Will revert today
09-Feb-2026: Will go through the details and will get back soon</t>
  </si>
  <si>
    <t>https://wadhwanifoundation-my.sharepoint.com/personal/accelerate_wadhwanifoundation_org/_layouts/15/viewer.aspx?sourcedoc={727c5b07-aa99-4261-af1c-095ef5a57680}</t>
  </si>
  <si>
    <t>https://wadhwanifoundation-my.sharepoint.com/personal/vaibhav_mattas_wadhwanifoundation_org/_layouts/15/Doc.aspx?sourcedoc=%7BE48FCC17-0BE3-4191-9D14-952F3CC18861%7D&amp;file=Expert%20Connect%204%20_%20Qarmatek%20x%20Wadhwani%20Accelerate%20(1).docx&amp;action=default&amp;mobileredirect=true&amp;DefaultItemOpen=1</t>
  </si>
  <si>
    <t>11-Feb-2026: Will Share time slots shortly
10-Feb-2026: Will go through the details and will get back soon</t>
  </si>
  <si>
    <t>https://wadhwanifoundation-my.sharepoint.com/personal/accelerate_wadhwanifoundation_org/_layouts/15/viewer.aspx?sourcedoc={0a71b5ba-b543-4642-a011-a32510070f9e}</t>
  </si>
  <si>
    <t>https://wadhwanifoundation-my.sharepoint.com/personal/vaibhav_mattas_wadhwanifoundation_org/_layouts/15/Doc.aspx?sourcedoc=%7BA1C74437-E250-4932-8F0C-07DF7799C82F%7D&amp;file=Expert%20Connect%203%20_%20Qarmatek%20x%20Wadhwani%20Accelerate.docx&amp;action=default&amp;mobileredirect=true&amp;DefaultItemOpen=1</t>
  </si>
  <si>
    <t>Hunny Bhagchandani</t>
  </si>
  <si>
    <t>hunny@mytorchit.com</t>
  </si>
  <si>
    <t>5-Jan-2025: Suggested Mentors.
24-Dec-2025: Requested for mentors</t>
  </si>
  <si>
    <t>6-Mar-2026: handed over to Shudhanshu and team
11-Feb-2026: rejected the call and deopped a message from my end and waiting for the approval
10-Feb-2026: Waiting for mentor to confirm by today
09-Feb-26: not replying
06-Feb-2026: Mentor will call back 
2-Feb-2026: Requested to connect to Mentor
5-Jan-2026: Suggested Mentors
2-Jan-2026: Shortlisted Mentors
24-Dec-2025: Requested for Mentors</t>
  </si>
  <si>
    <t>17-Apr-2026: Sent Feedback form
16-Apr-2026: Asked Shruti Modi about founder details
6-Mar-2026: Handed over to Shudhanshu
17-Feb-2026: Asked the program team about the founder's details</t>
  </si>
  <si>
    <t>https://wadhwanifoundation-my.sharepoint.com/:v:/g/personal/accelerate_wadhwanifoundation_org/IQCap8nC28gUSYIugmV5soKLAaC9PZZ24wFZU8Cs_W9NqNA?e=L3dM3W&amp;nav=eyJyZWZlcnJhbEluZm8iOnsicmVmZXJyYWxBcHAiOiJTdHJlYW1XZWJBcHAiLCJyZWZlcnJhbFZpZXciOiJTaGFyZURpYWxvZy1MaW5rIiwicmVmZXJyYWxBcHBQbGF0Zm9ybSI6IldlYiIsInJlZmVycmFsTW9kZSI6InZpZXcifX0%3D</t>
  </si>
  <si>
    <t>https://wadhwanifoundation-my.sharepoint.com/personal/vaibhav_mattas_wadhwanifoundation_org/_layouts/15/Doc.aspx?sourcedoc=%7BE0F85605-7132-41FB-A586-15472321A6FB%7D&amp;file=Expert%20Connect%201%20_%20Vastra%20App%20x%20Wadhwani%20Accelerate.docx&amp;action=default&amp;mobileredirect=true&amp;DefaultItemOpen=1</t>
  </si>
  <si>
    <t>6-Mar-2026: handed over to Shudhanshu and team
17-Feb-2026: Shared the time slots with waiting for the confirmation.
12-Feb-2026: Called twice and message but he isn't replying]
11-Feb-2026: rejected the call and deopped a message from my end and waiting for the approval
09-Feb-2026: Will revert shortly
06-Feb-2026: Mentor didn't responded the call</t>
  </si>
  <si>
    <t>6-Mar-2026: handed over to Shudhanshu and team
09-Feb-2026: He thinks he's not a fit for this need</t>
  </si>
  <si>
    <t>6-Mar-2026: handed over to Shudhanshu and team
10-Feb-2026: Will update in a day or two
09-Feb-2026: Shared the venture details with mentor waiting for his confirmation on the same</t>
  </si>
  <si>
    <t>https://wadhwanifoundation-my.sharepoint.com/personal/accelerate_wadhwanifoundation_org/_layouts/15/viewer.aspx?sourcedoc={e4f8193a-fdc5-4959-8bce-984fff137efc}</t>
  </si>
  <si>
    <t>https://wadhwanifoundation-my.sharepoint.com/personal/vaibhav_mattas_wadhwanifoundation_org/_layouts/15/Doc.aspx?sourcedoc=%7B1137ED2F-4F5E-42F1-A3F7-0DFB2058E41D%7D&amp;file=Expert%20Connect%202%20_%20Vastra%20App%20x%20Wadhwani%20Accelerate.docx&amp;action=default&amp;mobileredirect=true&amp;DefaultItemOpen=1</t>
  </si>
  <si>
    <t>6-Mar-2026: handed over to Shudhanshu and team
16-Feb-2026: Mentor Shared a slot, waiting for HM to confirm
13-Feb-2026: Will share the slots shortly
12-Feb-2026: Will respond by today
10-Feb-2026: Not responding
09-Feb-2026: He'll confirm shortly</t>
  </si>
  <si>
    <t>8-Jan-2026: Suggested Mentors
7-Jan-2026: Shortlisted Mentors</t>
  </si>
  <si>
    <t>20-Jan-2026: Requested for mentor's availability. Reached out to mentor with Prg Details. Shared Venture details with Mentor. Shared mentors mentor's availability with HM. Finalized Date and Time
16-Jan-2026: Suggested Mentors. Pending for : Waste Management Operations &amp; Partnerships Advisor</t>
  </si>
  <si>
    <t>Ajinkya Dhariya</t>
  </si>
  <si>
    <t>karthikeyan.mv@padcarelabs.com , ajinkya.dhariya@padcarelabs.com</t>
  </si>
  <si>
    <t>03-Feb-2026: Rejected the call
28-Jan-2026: Is on emergency leave will do by friday
27-Jan-2026: Sent the feedback form</t>
  </si>
  <si>
    <t>https://wadhwanifoundation-my.sharepoint.com/personal/accelerate_wadhwanifoundation_org/_layouts/15/viewer.aspx?sourcedoc={bdb94b16-f9d8-4aa4-9c4e-386d47b20851}</t>
  </si>
  <si>
    <t>https://wadhwanifoundation-my.sharepoint.com/personal/vaibhav_mattas_wadhwanifoundation_org/_layouts/15/Doc.aspx?sourcedoc=%7B793A2BE1-5139-46E1-8FFF-1C23AC996FAF%7D&amp;file=Expert%20Connect%201%20_%20Padcare%20Labs%20x%20Wadhwani%20Accelerate.docx&amp;action=default&amp;mobileredirect=true&amp;DefaultItemOpen=1</t>
  </si>
  <si>
    <t>14-Jan-2026: Suggested Mentors
12-Jan-2026: Shortlisted Mentors
9-Jan-2026: Ask Updated. Suggest Mentors</t>
  </si>
  <si>
    <t>6-Mar-2026: handed over to Shudhanshu and team
14-Jan-2026: Suggested Mentors
13-Jan-2026: Shortlisted Mentors
9-Jan-2026: Ask Updated. Suggest Mentors</t>
  </si>
  <si>
    <t>6-Mar-2026: handed over to Shudhanshu and team
5-Feb-2026: Date and Time Decided
4-Feb-2026: Follow-up with HM
3-Feb-2026: Shared venture details with Mentor and requested for his availability. Shared avalability of mentor with HM
2-Feb-2026: Requested for mentor's availability. Sent mentor's availability with HM. 
13-Jan-2026: Suggested mentors
12-Jan-2026: Shortlisted Mentors</t>
  </si>
  <si>
    <t>Pending</t>
  </si>
  <si>
    <t>Naren</t>
  </si>
  <si>
    <t>hreedanlifestyle@gmail.com</t>
  </si>
  <si>
    <t xml:space="preserve">2-March-2026: HM yet to share the contact details
13-Feb-2026: Asked for the contact details </t>
  </si>
  <si>
    <t>https://wadhwanifoundation-my.sharepoint.com/personal/accelerate_wadhwanifoundation_org/_layouts/15/viewer.aspx?sourcedoc={3054935f-a8f4-443d-bae3-c66c4e573466}</t>
  </si>
  <si>
    <t>https://wadhwanifoundation-my.sharepoint.com/personal/vaibhav_mattas_wadhwanifoundation_org/_layouts/15/Doc.aspx?sourcedoc=%7BB9A87112-E4E6-44FA-81C0-DCD5FEEB7F90%7D&amp;file=Expert%20Connect%201%20_%20Hreedan%20Lifestyle%20x%20Wadhwani%20Accelerate.docx&amp;action=default&amp;mobileredirect=true&amp;DefaultItemOpen=1</t>
  </si>
  <si>
    <t>6-Mar-2026: handed over to Shudhanshu and team
16-Feb-2026: No Reply from Founder. Asked for mentor's availability again
5-Feb-2026: Asked mentor for his availability
4-Feb-2026: Follow-up with HM for clarity on what mentor can support with 
3-Feb-2026: Follow-up with mentor for availability
2-Feb-2026: Requested for mentor's availability. Sent details to Mentor</t>
  </si>
  <si>
    <t>30-Mar-2026: Shared slots to HM. Waiting for confirmation
30-Mar-2026: Shared veture Deatils with mentor
22-Jan-2026: Suggested Mentors
19-Jan-2026: Shortlisted Mentors</t>
  </si>
  <si>
    <t>6-April-2026: Mentioned he will share new slots, as was busy last time.
31-Mar-2026: Asked to call on 2nd April 2026
30-Mar-2026: Shared program Deatils with mentor
22-Jan-2026: Suggested Mentors
19-Jan-2026: Shortlisted Mentors</t>
  </si>
  <si>
    <t>20-Jan-2026: Suggested Mentors</t>
  </si>
  <si>
    <t>21-Jan-2026: Date and time decided. Pending to send Invite
20-Jan-2026: Requested for mentor's availability. Reached out to mentor with Prg Details. Shared Venture details with Mentor
16-Jan-2026: Suggested Mentors.</t>
  </si>
  <si>
    <t>https://wadhwanifoundation-my.sharepoint.com/personal/accelerate_wadhwanifoundation_org/_layouts/15/viewer.aspx?sourcedoc={0ac34a74-9764-4e8f-a55a-1ffbea78cec0}</t>
  </si>
  <si>
    <t>https://wadhwanifoundation-my.sharepoint.com/personal/vaibhav_mattas_wadhwanifoundation_org/_layouts/15/Doc.aspx?sourcedoc=%7BE520159F-A1FD-4863-A7AD-BF8EAB0A1153%7D&amp;file=Expert%20Connect%201%20_%20Leap%20Info%20x%20Wadhwani%20Accelerate.docx&amp;action=default&amp;mobileredirect=true&amp;DefaultItemOpen=1</t>
  </si>
  <si>
    <t>02-Feb-2026: HM to confirm given slots from the venture
27-Jan-2026: MS reached out with Prog detail. Vaibhav will coordiante now</t>
  </si>
  <si>
    <t>https://wadhwanifoundation-my.sharepoint.com/personal/accelerate_wadhwanifoundation_org/_layouts/15/viewer.aspx?sourcedoc={3cf9bfd6-0e39-4628-8f7b-6509057124cf}</t>
  </si>
  <si>
    <t>https://wadhwanifoundation-my.sharepoint.com/personal/vaibhav_mattas_wadhwanifoundation_org/_layouts/15/Doc.aspx?sourcedoc=%7B51C508BF-A047-4C92-A12B-8DDB9BA6C3A0%7D&amp;file=Expert%20Connect%202%20_%20Leap%20Info%20x%20Wadhwani%20Accelerate.docx&amp;action=default&amp;mobileredirect=true&amp;DefaultItemOpen=1</t>
  </si>
  <si>
    <t>6-Mar-2026: handed over to Shudhanshu and team
6-Jan-2026: Suggested mentors</t>
  </si>
  <si>
    <t>5-Mar-2026: Shared slots with HM
5-Mar-2026: Sent the venture details to mentor, waiting for timeslots from Mentor.</t>
  </si>
  <si>
    <t>19-Mar-2026: Mentor filled the mentee action items and feedbackform</t>
  </si>
  <si>
    <t>18-mar-2026: Filled the feedback</t>
  </si>
  <si>
    <t>https://wadhwanifoundation-my.sharepoint.com/:v:/g/personal/accelerate_wadhwanifoundation_org/IQDlGbc8SO1ESInkIFZAwv1rAcv1C--JzUuqrpbPC3qW99E?e=xTXod2&amp;nav=eyJyZWZlcnJhbEluZm8iOnsicmVmZXJyYWxBcHAiOiJTdHJlYW1XZWJBcHAiLCJyZWZlcnJhbFZpZXciOiJTaGFyZURpYWxvZy1MaW5rIiwicmVmZXJyYWxBcHBQbGF0Zm9ybSI6IldlYiIsInJlZmVycmFsTW9kZSI6InZpZXcifX0%3D</t>
  </si>
  <si>
    <t>https://wadhwanifoundation-my.sharepoint.com/personal/vaibhav_mattas_wadhwanifoundation_org/_layouts/15/Doc.aspx?sourcedoc=%7BDE756B6E-801C-4015-9596-594C05599706%7D&amp;file=Expert%20Connect%201%20_%20Tikitoro%20x%20Wadhwani%20Accelerate%20(1).docx&amp;action=default&amp;mobileredirect=true&amp;DefaultItemOpen=1</t>
  </si>
  <si>
    <t>20-Mar-2026: Filled the feedback</t>
  </si>
  <si>
    <t>https://wadhwanifoundation-my.sharepoint.com/personal/accelerate_wadhwanifoundation_org/_layouts/15/viewer.aspx?sourcedoc={82e0b7d1-4dab-433f-9910-3c2c74ceda1c}</t>
  </si>
  <si>
    <t>https://wadhwanifoundation-my.sharepoint.com/personal/vaibhav_mattas_wadhwanifoundation_org/_layouts/15/Doc.aspx?sourcedoc=%7B478FC1BF-DC0A-46EE-B68B-22ED2BAE5F8D%7D&amp;file=Expert%20Connect%202%20_%20Tikitoro%20x%20Wadhwani%20Accelerate%20(1).docx&amp;action=default&amp;mobileredirect=true&amp;DefaultItemOpen=1</t>
  </si>
  <si>
    <t>20-Mar-2026: Scheduled meeting
17-Mar-2026: Mentor suggested slots again, waiting for venture to confirm.
16-Mar-2026: Mentor suggested the slot again
5- mar-2026: Meeting was canceled at end moment
3-Mar-2026: Mentor asked to share the details again
2-Mar-2026: Shared the venture's brief with the mentor, waiting for his reply.
21-Jan-2026: Suggested Mentors
20-Jan-2026: Shortlisted Mentors</t>
  </si>
  <si>
    <t>31-Mar-2026: Didn't received the call
27-Mar-2026: Founder said she will fill by tomorrow 
26-March-2026: Sent the feedback form</t>
  </si>
  <si>
    <t>https://wadhwanifoundation-my.sharepoint.com/personal/accelerate_wadhwanifoundation_org/_layouts/15/viewer.aspx?sourcedoc={e60b8f84-cf86-4109-83e9-350631f58f1d}</t>
  </si>
  <si>
    <t>https://wadhwanifoundation-my.sharepoint.com/personal/vaibhav_mattas_wadhwanifoundation_org/_layouts/15/Doc.aspx?sourcedoc=%7B68A2DC3B-0E0A-4E5E-B0ED-A758D5A1BD3E%7D&amp;file=Expert%20Connect%203%20_%20Tikitoro%20x%20Wadhwani%20Accelerate%20(1).docx&amp;action=default&amp;mobileredirect=true&amp;DefaultItemOpen=1</t>
  </si>
  <si>
    <t>19-Mar-2026: Suggested new set of mentors, previous preffered one are no longer active
11-mar-2026: Mentor not responding to the calls
6-Mar-2026: Mentor rejected the call</t>
  </si>
  <si>
    <t>31-Mar-2026: Suggested new set of mentor for old ask
24-Mar-2026: asked HM about other mentor suggestion 
6-Mar-2026: Tried to call but mentor didn't replied
5-Mar-2026: Asked to call tomorrow at 3 PM.
3-Mar-2026: Mentor not responding</t>
  </si>
  <si>
    <t>5-Mar-2026: Timeslots shared with HM. Waiting for confirmation.
3-Mar-2026: Mentor will be respond by 5th March.
22-Jan-2026: Suggested mentors</t>
  </si>
  <si>
    <t>9-Mar-2026: Sent Mentee actions and feedback form to mentor</t>
  </si>
  <si>
    <t xml:space="preserve">10-Mar-2026: Sent the feedback form </t>
  </si>
  <si>
    <t>https://wadhwanifoundation-my.sharepoint.com/personal/accelerate_wadhwanifoundation_org/_layouts/15/viewer.aspx?sourcedoc={414747d1-3ae7-42e2-b01a-f61a36b43eeb}</t>
  </si>
  <si>
    <t>https://wadhwanifoundation-my.sharepoint.com/personal/vaibhav_mattas_wadhwanifoundation_org/_layouts/15/Doc.aspx?sourcedoc=%7BB0E1E151-19FE-4BFF-9272-27EB663F8C4F%7D&amp;file=Expert%20Connect%201%20_%20Bebe%20Burp%20x%20Wadhwani%20Accelerate%20(1).docx&amp;action=default&amp;mobileredirect=true&amp;DefaultItemOpen=1</t>
  </si>
  <si>
    <t>5-Mar-2026: Timeslots shared with HM. Waiting for confirmation.
3-March-2026: Waiting for Mentor to share Timeslots</t>
  </si>
  <si>
    <t>https://wadhwanifoundation-my.sharepoint.com/personal/accelerate_wadhwanifoundation_org/_layouts/15/stream.aspx?id=%2Fpersonal%2Faccelerate%5Fwadhwanifoundation%5Forg%2FDocuments%2FRecordings%2FExpert%20Connect%202%20%20Bebe%C2%A0Burp%20x%20Wadhwani%20Accelerate%2D20260310%5F092851UTC%2DMeeting%20Recording%2Emp4&amp;referrer=StreamWebApp%2EWeb&amp;referrerScenario=AddressBarCopied%2Eview%2E453ac413%2D9a97%2D4e84%2D931f%2D1b07766d2551</t>
  </si>
  <si>
    <t>https://wadhwanifoundation-my.sharepoint.com/personal/vaibhav_mattas_wadhwanifoundation_org/_layouts/15/Doc.aspx?sourcedoc=%7BDCB64393-076B-4A7E-81C2-ED289A419878%7D&amp;file=Expert%20Connect%202%20_%20Bebe%C2%A0Burp%20x%20Wadhwani%20Accelerate%20(1).docx&amp;action=default&amp;mobileredirect=true&amp;DefaultItemOpen=1</t>
  </si>
  <si>
    <t>16-Mar-2026: Sent the action items and feedback form to mentor</t>
  </si>
  <si>
    <t>16-Mar-2026: Sent the feedback to the venture</t>
  </si>
  <si>
    <t>https://wadhwanifoundation-my.sharepoint.com/personal/accelerate_wadhwanifoundation_org/_layouts/15/stream.aspx?id=%2Fpersonal%2Faccelerate%5Fwadhwanifoundation%5Forg%2FDocuments%2FRecordings%2FExpert%20Connect%203%20%20Bebe%20Burp%20x%20Wadhwani%20Accelerate%2D20260314%5F063248UTC%2DMeeting%20Recording%2Emp4&amp;referrer=StreamWebApp%2EWeb&amp;referrerScenario=AddressBarCopied%2Eview%2E004e9fe2%2D2cf5%2D47c8%2D867f%2D5eb8f481004a</t>
  </si>
  <si>
    <t>https://wadhwanifoundation-my.sharepoint.com/personal/vaibhav_mattas_wadhwanifoundation_org/_layouts/15/Doc.aspx?sourcedoc=%7BB5FD5442-0B6F-4ACE-BB5B-70569F161B5B%7D&amp;file=Expert%20Connect%203%20_%20Bebe%20Burp%20x%20Wadhwani%20Accelerate%20(1).docx&amp;action=default&amp;mobileredirect=true&amp;DefaultItemOpen=1</t>
  </si>
  <si>
    <t xml:space="preserve">9-Jan-2026: HM Sends calendar of Sriram directly to Venture </t>
  </si>
  <si>
    <t>https://wadhwanifoundation-my.sharepoint.com/personal/accelerate_wadhwanifoundation_org/_layouts/15/viewer.aspx?sourcedoc={4b34e82b-62f3-4499-8355-713ddadf9a05}</t>
  </si>
  <si>
    <t>https://wadhwanifoundation-my.sharepoint.com/personal/vaibhav_mattas_wadhwanifoundation_org/_layouts/15/Doc.aspx?sourcedoc=%7BECCC3279-322F-4F62-95EB-376408D83B42%7D&amp;file=Expert%20Connect%204%20_%20Eximburg%20International%20x%20Wadhwani%20Accelerate%20(2).docx&amp;action=default&amp;mobileredirect=true&amp;DefaultItemOpen=1</t>
  </si>
  <si>
    <t>27-Mar-2026: Meeting scheduled for 4th April
25-Mar-2026: Shared venture details to mentor
25-Mar-2026: Asked to called after sometime
23-Jan-2026: Shortlisted and Suggested Mentors</t>
  </si>
  <si>
    <t>7-Apr-2026: FIlled the form
6-Apr-2026: Sent the form to mentor</t>
  </si>
  <si>
    <t>13-Apr-2026: Called twice but mentor not answering calls
06-Apr-2026: Sent the feedback form</t>
  </si>
  <si>
    <t>https://wadhwanifoundation-my.sharepoint.com/personal/accelerate_wadhwanifoundation_org/_layouts/15/viewer.aspx?sourcedoc={2ab1a238-67d7-4455-baf8-1d76f28f2b27}</t>
  </si>
  <si>
    <t>Apurva Dave</t>
  </si>
  <si>
    <t xml:space="preserve">Apurva@innova-india.com </t>
  </si>
  <si>
    <t>16-Apr-2026: Called twice but venture not answering</t>
  </si>
  <si>
    <t>6-Mar-2026: handed over to Shudhanshu and team
22-Jan-2026: Suggested Mentors
21-Jan-2026: Shortlisted Mentors
20-Jan-2026: requested for mentors</t>
  </si>
  <si>
    <t>30-Mar-2026: Shared timeslots with HM but HM asked to keep it on hold for sometime.
30-Mar-2026: Will share time slots shortly
27-Mar-2026: Sent the program details to venture</t>
  </si>
  <si>
    <t>2-Mar-2026: Suggested mentors waiting for HM to reply.</t>
  </si>
  <si>
    <t>21-Jan-2026: Suggested Mentors
20-Jan-2026: Shortlisted Mentors</t>
  </si>
  <si>
    <t>6-Mar-2026: handed over to Shudhanshu and team
04-Feb-2026: Suggested mentor. Waiting for HM's reply
27-Jan-2026: Ask yet to be updated from HM</t>
  </si>
  <si>
    <t>6-Mar-2026: handed over to Shudhanshu and team
04-Feb-2026: Suggested mentor. Waiting for HM's reply
30-Jan-2026: New Venture added</t>
  </si>
  <si>
    <t>04-Feb-2026: Suggested mentor. Waiting for HM's reply</t>
  </si>
  <si>
    <t>16-Mar-2026: Follow-up for Mentor Name
13-Mar-2026: Got access of their Sheet
11-Mar-2026: Connected to SolutionBuggy Directly
20-Feb-2026: Shared with Gagan for feedback</t>
  </si>
  <si>
    <t>2-Mar-2026: Updated venture for new ask</t>
  </si>
  <si>
    <t>6-Mar-2026: handed over to Shudhanshu and team
03-Feb-2026: Ask yet to be updated from HM
27-Jan-2026: Ask yet to be updated from HM</t>
  </si>
  <si>
    <t>2-Mar-2026: Suggested Mentors</t>
  </si>
  <si>
    <t>2-mar-2026:  Suggested mentors, waiting for HM to reply.</t>
  </si>
  <si>
    <t>2-Mar-2026: Suggested mentors. Waiting for HM's reply</t>
  </si>
  <si>
    <t>11-Mar-2026: Will fill it today</t>
  </si>
  <si>
    <t>https://wadhwanifoundation-my.sharepoint.com/personal/accelerate_wadhwanifoundation_org/_layouts/15/viewer.aspx?sourcedoc={6728e9ef-3a80-4352-bea4-fdd4e2abd231}</t>
  </si>
  <si>
    <t>https://wadhwanifoundation-my.sharepoint.com/personal/vaibhav_mattas_wadhwanifoundation_org/_layouts/15/Doc.aspx?sourcedoc=%7BDA3353B6-5E40-4730-ACE4-686DD5BA9B82%7D&amp;file=Expert%20Connect%202%20_%20Aeronero%C2%A0Solutions%20x%20Wadhwani%20Accelerate%20(1).docx&amp;action=default&amp;mobileredirect=true&amp;DefaultItemOpen=1</t>
  </si>
  <si>
    <t>18-Mar-2026: Suggested new set of mentors
17-Mar-2026: WOrking on the ask as the mentors declined to take the calls.
17-Mar-2026: The mentor has declined the engagement, as they feel they do not have sufficient expertise in the specific area the venture is working in.
11-Mar-2026: Mentor will call on Saturday, first half
10-Mar-2026: Mentor rejected the call
9-Mar-2026: Will confirm by tommorow 
6-Mar-2026: Mentor rejected the call</t>
  </si>
  <si>
    <t>6-Mar-2026: handed over to Shudhanshu and team
6-Feb-2026: Not looking for mentoring as of now 
5-Jan-2026: Mentors were suggested. HM is yet to come back with preferred mentors
29-Dec-2025:  Suggestions yet to be seen by HM</t>
  </si>
  <si>
    <t>10-Mar-2026: Suggested Timeslots to HM, waiting for reply.
9-Mar-2026: mentor still wants a day to go through the details
6-Mar-2026: Mentor will go through the details and revert by monday</t>
  </si>
  <si>
    <t>https://wadhwanifoundation-my.sharepoint.com/:v:/g/personal/accelerate_wadhwanifoundation_org/IQBNBRCNJGTYR7rzES-8W-zRAV_JjiRyV8XmJ3Rkg5OotwY?e=2mLVdz&amp;nav=eyJyZWZlcnJhbEluZm8iOnsicmVmZXJyYWxBcHAiOiJTdHJlYW1XZWJBcHAiLCJyZWZlcnJhbFZpZXciOiJTaGFyZURpYWxvZy1MaW5rIiwicmVmZXJyYWxBcHBQbGF0Zm9ybSI6IldlYiIsInJlZmVycmFsTW9kZSI6InZpZXcifX0%3D</t>
  </si>
  <si>
    <t>24-Mar-2026: HM yet to confirm the timeslot
20-Mar-2026: Suggested slots to HM, waiting for confirmation.</t>
  </si>
  <si>
    <t xml:space="preserve">10-Mar-2026: Asked HM again on the update
2-mar-2026: No update from HM on the time slots
26-Feb-2026: Suggested slots to HM
25-Feb2026: Asked mentor for slots </t>
  </si>
  <si>
    <t>10-Mar-2026: Followed up from HM for the new ask.
6-Mar-2026: Ask yet to be updated by HM.</t>
  </si>
  <si>
    <t>20-Mar-2026: Scheduled meeting
20-Mar-2026: Shared slots with, waiting for the confirmation</t>
  </si>
  <si>
    <t>27-Ma-2026: Shared the mentee action items and feedback form to mentor</t>
  </si>
  <si>
    <t>27-Mar-2026: Sent the feedback form</t>
  </si>
  <si>
    <t>https://wadhwanifoundation-my.sharepoint.com/personal/accelerate_wadhwanifoundation_org/_layouts/15/viewer.aspx?sourcedoc={0fb01444-6c9a-48b6-8383-3299267e32f8}</t>
  </si>
  <si>
    <t>https://wadhwanifoundation-my.sharepoint.com/personal/vaibhav_mattas_wadhwanifoundation_org/_layouts/15/Doc.aspx?sourcedoc=%7B7FACB423-C9EE-4C28-A77B-D738FED4347D%7D&amp;file=Expert%20Connect%204%20_%20Tikitoro%20x%20Wadhwani%20Accelerate%20(1).docx&amp;action=default&amp;mobileredirect=true&amp;DefaultItemOpen=1</t>
  </si>
  <si>
    <t>1-April-2026: While collecting feedback for previous sessio venture mentioned they want to connect again</t>
  </si>
  <si>
    <t>Svan Autotech</t>
  </si>
  <si>
    <t>17-Apr-2026: Was connected by HM directly</t>
  </si>
  <si>
    <t>https://wadhwanifoundation-my.sharepoint.com/:v:/g/personal/accelerate_wadhwanifoundation_org/IQCculps4yvXRqwlR3eDVZHWASmMiyyWfW6ON8aIj5eQi5g?e=cktzPN&amp;nav=eyJyZWZlcnJhbEluZm8iOnsicmVmZXJyYWxBcHAiOiJTdHJlYW1XZWJBcHAiLCJyZWZlcnJhbFZpZXciOiJTaGFyZURpYWxvZy1MaW5rIiwicmVmZXJyYWxBcHBQbGF0Zm9ybSI6IldlYiIsInJlZmVycmFsTW9kZSI6InZpZXcifX0%3D</t>
  </si>
  <si>
    <t>Domain</t>
  </si>
  <si>
    <t>Website</t>
  </si>
  <si>
    <t>Brief</t>
  </si>
  <si>
    <t>Sector</t>
  </si>
  <si>
    <t>Stage</t>
  </si>
  <si>
    <t>Pitch Deck</t>
  </si>
  <si>
    <t>Founder Name</t>
  </si>
  <si>
    <t>Phone No.</t>
  </si>
  <si>
    <t>Venture Stage</t>
  </si>
  <si>
    <t>Transferred On</t>
  </si>
  <si>
    <t>Accelerate Prime</t>
  </si>
  <si>
    <t>Pune</t>
  </si>
  <si>
    <t>Kedar</t>
  </si>
  <si>
    <t>Quantum Technology</t>
  </si>
  <si>
    <t>https://ampicq.com/</t>
  </si>
  <si>
    <t>Photonic Integrated Circuits (PICs) for QKD (transmitter on InP, receiver on SiN)</t>
  </si>
  <si>
    <t>Early Revenue</t>
  </si>
  <si>
    <t>amPICQ Pvt. Ltd. (Pitch).pdf
Fortytwo42 Technology Innovations Private Limited (Pitch).pdf</t>
  </si>
  <si>
    <t>Transferred</t>
  </si>
  <si>
    <t>https://apah.org.in/</t>
  </si>
  <si>
    <t>civil engineering and construction-management training institute focused on practical, job-oriented skill development. They bridge the skill gap for engineers through industry-ready programs, site training, and placement support.</t>
  </si>
  <si>
    <t>Education</t>
  </si>
  <si>
    <t>Revenue Making</t>
  </si>
  <si>
    <t>Hemant Patil</t>
  </si>
  <si>
    <t>hemant.apah@gmail.com</t>
  </si>
  <si>
    <t>+91 89997 66130</t>
  </si>
  <si>
    <t>Chennai</t>
  </si>
  <si>
    <t>Ramya</t>
  </si>
  <si>
    <t>https://askeva.in/</t>
  </si>
  <si>
    <t>AskEVA offers WhatsApp API-powered chatbot solutions that automate customer support, sales, and marketing workflows for businesses of all sizes. Their customizable bots and official WhatsApp Business API integrations help companies generate leads, segment audiences, and achieve faster, more reliable client engagement.</t>
  </si>
  <si>
    <t>IT/ITes</t>
  </si>
  <si>
    <t>CEO</t>
  </si>
  <si>
    <t>ACPL PITCHDECK .pdf</t>
  </si>
  <si>
    <t>https://www.atreyainnovations.com/</t>
  </si>
  <si>
    <t>Atreya Innovations is a healthcare technology startup working towards holistic wellness, which goes far beyond calories, proteins, fibers, and fats. Each of us is built differently, and we respond differently to diet and exercise.</t>
  </si>
  <si>
    <t>Ayurveda Medtech Product</t>
  </si>
  <si>
    <t xml:space="preserve">Scale </t>
  </si>
  <si>
    <t>Atreya Pitch Note.pdf</t>
  </si>
  <si>
    <t>Thane, Maharashtra</t>
  </si>
  <si>
    <t>https://ayusynk.ai/</t>
  </si>
  <si>
    <t>"AyuSynk is a AI enabled bluetooth stethoscope that enhances sounds, helps in identifying abnormalities with AI analysis.
 It is an add on to existing conventional stethoscope for which patent is granted in 60+ countries."</t>
  </si>
  <si>
    <t>Healthcare &amp; Wellness</t>
  </si>
  <si>
    <t>Early Growth</t>
  </si>
  <si>
    <t>Ayu Devices.pdf</t>
  </si>
  <si>
    <t>AI &amp; Data Analytics</t>
  </si>
  <si>
    <t>https://www.bipolarfactory.com/about-us</t>
  </si>
  <si>
    <t>Bipolar Factory’s OlyRetail uses AI and existing CCTV footage to help retailers gain privacy-compliant, actionable insights into in-store customer behavior for better personalization, layout optimization, and targeted marketing.</t>
  </si>
  <si>
    <t>https://drive.google.com/file/d/1mrYIbNBb-wg6RtAtxhpRxOpAEtZYmJ_C/view?usp=drive_link</t>
  </si>
  <si>
    <t>Discontinued</t>
  </si>
  <si>
    <t>Ahmedabad</t>
  </si>
  <si>
    <t>Shruti Modi</t>
  </si>
  <si>
    <t>https://biziverse.com/</t>
  </si>
  <si>
    <t>Biziverse is a Gandhinagar-based startup offering cloud-based ERP &amp; CRM software tailored for Indian MSMEs, enabling them to manage leads, quotations, billing, inventory, manufacturing and orders on a unified platform.</t>
  </si>
  <si>
    <t>Enterprise Tech</t>
  </si>
  <si>
    <t>https://www.chimertech.com/</t>
  </si>
  <si>
    <t>ChimerTech provides innovative solutions for mastitis management in cattle. They focus on improving udder health, increasing milk yield, and offering breeding solutions. Their services cater to veterinary needs, aiming to optimize cattle health and productivity in the dairy industry.</t>
  </si>
  <si>
    <t>Deeptech</t>
  </si>
  <si>
    <t>Ragul Paramasivam</t>
  </si>
  <si>
    <t>ragul.paramasivam@chimertech.com</t>
  </si>
  <si>
    <t>81109 69442</t>
  </si>
  <si>
    <t>https://cloudbankin.com/</t>
  </si>
  <si>
    <t>Provider of API-enabled platform offering loan management solutions for banks and lenders. It allows its users to manage and offer loan products to their customers by enabling the users in digital onboarding processing, eKYC and verification, loan origination, credit assessment, loan disbursal, credit monitoring, loan servicing, NPA management, and more. It also offers credit bureau integration for accessing customer credit scores and reporting.</t>
  </si>
  <si>
    <t>FinTech</t>
  </si>
  <si>
    <t>Mainah Rajah</t>
  </si>
  <si>
    <t>rajah@cloudbankin.com</t>
  </si>
  <si>
    <t>+91-9080996606</t>
  </si>
  <si>
    <t>Cosmo Ecosystem Care</t>
  </si>
  <si>
    <t>Influencer Marketing Tech</t>
  </si>
  <si>
    <t>https://culturex.ai/</t>
  </si>
  <si>
    <t>CultureX offers a data-driven SaaS platform enabling agencies to run influencer marketing at scale, backed by deep analytics and automation. Trusted by major brands and agency partners, it powers over 10,000 creator transactions and licenses its tech to regional partners.</t>
  </si>
  <si>
    <t>Growth stage</t>
  </si>
  <si>
    <t>https://dailygurus.com/</t>
  </si>
  <si>
    <t>Platform connecting consumers with fresh produce directly sourced from farmers. It leverages blockchain-based traceability providing customers with transparent and reliable access to fresh fruits, vegetables, and dairy products.</t>
  </si>
  <si>
    <t>Rajesh</t>
  </si>
  <si>
    <t>rajesh@dailygurus.com</t>
  </si>
  <si>
    <t>https://dalnex.com/</t>
  </si>
  <si>
    <t>At Dalnex, we pioneer world-class Industry 4.0 solutions and transform the way you manage your Factory!
We upgrade MANUFACTURING INDUSTRIES like Plastic, Automobile, Heavy Engineering, Textiles, and OEMs by completely DIGITIZING FACTORY SHOP FLOORS.
Our in-house IoT Gateway and FactOS platform, gives - Owners, CEOs, Supervisors, Managers, and Operators remote access to Factory Operations, Traceability, and Machinery Insights at their fingertips.</t>
  </si>
  <si>
    <t>Scale</t>
  </si>
  <si>
    <t>Dhruv</t>
  </si>
  <si>
    <t>dhruv@dalnex.com</t>
  </si>
  <si>
    <t>https://dhobig.com/</t>
  </si>
  <si>
    <t>Dhobi G offers a laundry and dry-cleaning service with doorstep pickup. They emphasize speed and convenience, claiming to offer the fastest service. The service appears to be targeted towards simplifying the laundry process for customers through easy booking and professional fabric care.</t>
  </si>
  <si>
    <t>RetailTech</t>
  </si>
  <si>
    <t>Dhobi G Pitch Deck - July 2025 (1)_compressed - Daksh Sabharwal Dhobi G.pdf</t>
  </si>
  <si>
    <t>https://evindia.online/</t>
  </si>
  <si>
    <t>Online marketplace for electric vehicles in India, providing listings, comparisons, and insights for scooters, bikes, and cars</t>
  </si>
  <si>
    <t>Marketplace</t>
  </si>
  <si>
    <t>Growth</t>
  </si>
  <si>
    <t>Consumer Internet, Community, CareerTech</t>
  </si>
  <si>
    <t>https://www.eventbeep.com/</t>
  </si>
  <si>
    <t>ventBeep is a space to get inspired, ask questions, chat, pitch ideas, gain recognition, and receive support from people with shared interests &amp; values. Make friends and grow together. https://youtu.be/6N-VhaC7slU. A gamified Linkedin for college students. Democratizing quality learning ecosystem for tier 2 &amp; 3 college students. Democratizing education for India's Tier 2 &amp; 3 colleges through a digital-first learning ecosystem. College Education systems are still stuck in classrooms, with outdated curricula and rote learning Students. A huge gap in the ecosystem opportunities of a Tier 1 institute vs a Tier II institute. EventBeep is building an inclusive community exclusively for students to explore and achieve their full potential Solution.</t>
  </si>
  <si>
    <t>https://drive.google.com/file/d/1te5_splLIsKnhTSAs7XOhCqLpDmFPBoT/view?usp=drive_link</t>
  </si>
  <si>
    <t>https://www.evify.co.in/</t>
  </si>
  <si>
    <t>Evify operates a tech‑enabled electric vehicle fleet offering last-mile delivery solutions for e-commerce and FMCG firms, with operational presence across Surat and Ahmedabad. The startup recently raised $1.3M to expand its fleet from 400 to 4,000 EVs by March 2025 and improve its full-stack logistics tech platform.</t>
  </si>
  <si>
    <t>Green Logistics</t>
  </si>
  <si>
    <t>Pragya Mittal</t>
  </si>
  <si>
    <t>Pragya@evify.co.in, dev@evify.co.in</t>
  </si>
  <si>
    <t>https://www.expositarvr.com</t>
  </si>
  <si>
    <t>Exposit Immersive Solutions, leading the development of AR/VR, simulation, and AI-powered tools to modernize training, safety, and immersive experiences. 
LinkedIn
 He positions his work at the intersection of digital innovation, 3D/AR/VR, and immersive tech to solve real-world industry problems.</t>
  </si>
  <si>
    <t>AR/VR</t>
  </si>
  <si>
    <t>https://foodnest.co.in/</t>
  </si>
  <si>
    <t>Food Nest is one stop solution for manufacturing Healthy Products that are sustainable and affordable</t>
  </si>
  <si>
    <t>Manufactring</t>
  </si>
  <si>
    <t>Food Nest Pitch deck -StartUpkiUdaan.pdf</t>
  </si>
  <si>
    <t>https://www.fortytwolabs.com/</t>
  </si>
  <si>
    <t>Quantum-safe cryptographic platform (I-AM, COMM42, LOCK42, AUTH42)</t>
  </si>
  <si>
    <t>www.fontierz.com</t>
  </si>
  <si>
    <t>Fontierz is an innovative company that leverages the expertise of a portfolio of industry-leading professionals who have joined forces to create an ecosystem that addresses unmet needs in various fields such as Medical Devices, Robotics, Mobility, Drones, Industrial Automation, Agritech Tools, Aerospace-Defence, and Skill Building. By combining the collective knowledge and experience of these, Fontierz aims to provide cutting-edge solutions that meet the highest standards of quality and excellence.</t>
  </si>
  <si>
    <t>MedTech</t>
  </si>
  <si>
    <t>https://www.gowatr.com/</t>
  </si>
  <si>
    <t>Provider of smart water management solutions for residential, commercial, and industrial sectors. These solutions encompass IoT-enabled systems for water resource management, including automation of water tanks and pumps, rainwater harvesting, and underground water level monitoring. The company also offers smart water meters for individual consumption tracking and leak detection, along with industrial process monitoring systems for treatment plants. Customizable dashboards provide real-time data and analysis, supporting water conservation and sustainability initiatives. The offerings include water quality and flow monitoring systems for various applications.</t>
  </si>
  <si>
    <t>https://greenpodlabs.com/</t>
  </si>
  <si>
    <t>Provider of post-harvest solutions for food waste management</t>
  </si>
  <si>
    <t>Waste Management</t>
  </si>
  <si>
    <t>GreenPod Labs_Product Deck.pdf</t>
  </si>
  <si>
    <t>https://growyourfarms.com/</t>
  </si>
  <si>
    <t>Grow Your Farms is a tech-enabled AgTech startup that provides end-to-end farming solutions  from precision guidance, high-quality agri-inputs, and crop advisory to market linkages ,helping farmers improve productivity, profitability, and transition into successful agri-entrepreneurs.</t>
  </si>
  <si>
    <t>AgriTech</t>
  </si>
  <si>
    <t>Aruneswar</t>
  </si>
  <si>
    <t>arun@growyourfarms.com; varadharajan@growyourfarms.com</t>
  </si>
  <si>
    <t>https://gyroindia.com/</t>
  </si>
  <si>
    <t>Leading industrial machinery manufacturing company dedicated to providing cutting-edge solutions that drive progress and efficiency across various industries. With Over 5 years of experience in the manufacturing industry, we have established ourselves as a leading motor design and development company.</t>
  </si>
  <si>
    <t>Manufacturing</t>
  </si>
  <si>
    <t>https://www.hogist.com/</t>
  </si>
  <si>
    <t>Hogist Technologies Pvt Ltd is focused on revolutionizing the food tech industry by developing an online platform for customers. The provided search results suggest that Hogist aims to provide various online operations within the food tech space, but specific details about these operations are not available from the given snippet. Further information would be needed to understand the platform's features and target market.</t>
  </si>
  <si>
    <t>Foodtech</t>
  </si>
  <si>
    <t>https://drive.google.com/open?id=13cKMF3chkh7nsHWUEJyf8d_Rv9QldREI</t>
  </si>
  <si>
    <t>www.honeyveda.in</t>
  </si>
  <si>
    <t xml:space="preserve">HoneyVeda’s ethical beekeeping by Hardik Joshi has won hearts everywhere. His team provides you pure and raw in its most natural form: From beehive to bottle.
</t>
  </si>
  <si>
    <t>Health &amp; Wellness</t>
  </si>
  <si>
    <t>https://wadhwanifoundation-my.sharepoint.com/:b:/g/personal/jigar_jiwani_wadhwanifoundation_org/EQ9uRMi8oOJHjz6gO8xWdUkB5Y-3SZKRVctDSYuMlGoZbw?e=jMohBi</t>
  </si>
  <si>
    <t>https://www.hreedanlifestyle.com/</t>
  </si>
  <si>
    <t>Hreedan Lifestyle is a distinguished custom merchandise company based in Pune, established in 2016. The company serves as a comprehensive merchandising destination, curating bespoke, premium-quality customized products. With a strong track record across the education, corporate, sports, hospitality, and industrial sectors, Hreedan Lifestyle is recognized for its commitment to craftsmanship, quality, and excellence.</t>
  </si>
  <si>
    <t>Custom Merchandise</t>
  </si>
  <si>
    <t>https://wadhwanifoundation.sharepoint.com/:b:/s/WadhwaniAccelerate/EdUtjHCL6vRAk8t-FzoLDE4Bjk7xf3Y-SKL6hivW0B_bnQ?e=avdLLS</t>
  </si>
  <si>
    <t xml:space="preserve">
www.indiesemic.com</t>
  </si>
  <si>
    <t xml:space="preserve">IndieSemiC specializes in semiconductor and embedded systems, with a focus on design and development of ASIC chipsets and RF modules. Our technology expertise spans BLE, WiFi, LoRa, GPS, Zigbee, and more.
With a diverse clientele across Europe, the USA, and India, we are dedicated to delivering tailored solutions that drive technological advancements. At IndieSemiC, we strive to push the boundaries of the semiconductor industry while supporting our customers' growth and success on a global scale.
</t>
  </si>
  <si>
    <t>Semi Conductor</t>
  </si>
  <si>
    <t>https://wadhwanifoundation-my.sharepoint.com/:b:/g/personal/jigar_jiwani_wadhwanifoundation_org/ETDBvWsFhv9JliNgdqN6Bo0B9g7sHAJeAcmYfBna3ShhnQ?e=MFVlPU</t>
  </si>
  <si>
    <t>https://www.insyspay.com/</t>
  </si>
  <si>
    <t>InSysPay offers a comprehensive HR &amp; payroll management platform aimed at SMEs and enterprises, covering attendance, payroll processing, recruitment-to-retirement workflows, and mobile-enabled employee self-service</t>
  </si>
  <si>
    <t>HR Tech</t>
  </si>
  <si>
    <t>Medtech</t>
  </si>
  <si>
    <t>https://www.jeevtronics.com/</t>
  </si>
  <si>
    <t>Jeevtronics is a medtech company that designs and manufactures affordable, dual-powered (hand-cranked and battery) defibrillators for use in low-resource and off-grid settings. Their flagship product, the SanMitra 1000 HCP, is built to save lives in areas with unreliable electricity.</t>
  </si>
  <si>
    <t>Growth Stage</t>
  </si>
  <si>
    <t>Jeevtronics_pitch deck_IRP_31-12-2024 - Ashish Gawade (1).pdf</t>
  </si>
  <si>
    <t>https://kisangas.com/</t>
  </si>
  <si>
    <t>Kisangas is a product developed by Cleanergy Tech Solution Pvt Ltd. Cleanergy Tech Solutions was founded in 2016. Our aim is to provide sustainable organic waste management solutions</t>
  </si>
  <si>
    <t>Agritech</t>
  </si>
  <si>
    <t>Salil</t>
  </si>
  <si>
    <t>salil@cleanergy.co.in</t>
  </si>
  <si>
    <t>https://leankloud.com/</t>
  </si>
  <si>
    <t>Cloud optimization platform</t>
  </si>
  <si>
    <t>SaaS</t>
  </si>
  <si>
    <t>https://mealpe.app/</t>
  </si>
  <si>
    <t>Mealpe is a food-tech startup offering a platform that connects home chefs, cloud kitchens, and restaurants with customers, enabling personalized meal planning, ordering, and delivery. It aims to empower local food entrepreneurs while providing healthy, affordable meal options.</t>
  </si>
  <si>
    <t>Satya Mehta</t>
  </si>
  <si>
    <t>Satya@roompe.co.in</t>
  </si>
  <si>
    <t>https://milletsnow.com/</t>
  </si>
  <si>
    <t>Millets Now is fully dedicated towards the Food and Agriculture. Creating sustainable food value chain in Nutrition (millets) &amp; committed to enhance the nutritional value in daily diet by including millet based Cookies, Ladoo, Puff, Vermicelli, Flakes, Nutribar, Sprouted flour, Natural millet grain etc.</t>
  </si>
  <si>
    <t>Food processing</t>
  </si>
  <si>
    <t>https://wadhwanifoundation.sharepoint.com/:b:/s/WadhwaniAccelerate/ESGVOBM_DaFHopgt6x-_ZxgBakCSUV49GCJnR1lE_il7VQ?e=heE2eP</t>
  </si>
  <si>
    <t>Mountire</t>
  </si>
  <si>
    <t>https://myharvestfarms.com/</t>
  </si>
  <si>
    <t>myHarvest is an online platform focused on providing safe, chemical-free food directly from farms to consumers. It appears to be run by young people involved in natural farming practices, aiming to support farmers and offer healthier food choices. This model emphasizes direct sourcing, potentially ensuring freshness and traceability of the products.</t>
  </si>
  <si>
    <t>My Harvest PD.pdf</t>
  </si>
  <si>
    <t>Nebeskie Labs</t>
  </si>
  <si>
    <t>https://www.vyndo.in/</t>
  </si>
  <si>
    <t xml:space="preserve">Nutrirasoi Foods Private Limited, operating under the brand name Nurasoi, is an Ahmedabad-based food startup founded in May 2023 by dietitian Komal Patel and entrepreneur Chandan Maloo. Our products are affordable, millet-based snacks such as bhakris, khakras, extruded products marketed under 'Vyndo-the energy snack' brand. These snacks are crafted from millets, are gluten and palm oil free, aiming to provide nutritious options without compromising on taste or affordability. </t>
  </si>
  <si>
    <t>Food/Beverage</t>
  </si>
  <si>
    <t>https://wadhwanifoundation-my.sharepoint.com/:b:/g/personal/jigar_jiwani_wadhwanifoundation_org/EV2vZgloe3NCrFXC0vagT4IB-uT4UJ3K9nmxWkgaX7OC_g?e=Xe6sFN</t>
  </si>
  <si>
    <t>https://purandarhighlands.in/</t>
  </si>
  <si>
    <t>Purandar Highlands is a pioneering Farmer Producer Company based in Purandar, Pune, known for its GI-tagged figs and innovative agri-products like India’s first fig juice. Formed by a collective of progressive farmers, it champions sustainable micro-horticulture and value-added processing. With a strong export footprint, it’s redefining India’s fruit farming narrative.</t>
  </si>
  <si>
    <t>Food Tech</t>
  </si>
  <si>
    <t>Early growth</t>
  </si>
  <si>
    <t>Purandar Highands - UPJA - PUSA KRISHI Revised 28 Jul v 1.0 2.pptx</t>
  </si>
  <si>
    <t>Bengaluru</t>
  </si>
  <si>
    <t>Quantam Technology</t>
  </si>
  <si>
    <r>
      <rPr>
        <u/>
        <sz val="11"/>
        <color rgb="FF1155CC"/>
        <rFont val="Aptos Display"/>
        <family val="2"/>
        <scheme val="major"/>
      </rPr>
      <t>https://qpiai.tech/</t>
    </r>
  </si>
  <si>
    <t>AI + quantum platforms (AutoML, optimization, 64-qubit processor, QCaaS)</t>
  </si>
  <si>
    <t>Have Launched Product</t>
  </si>
  <si>
    <r>
      <rPr>
        <u/>
        <sz val="11"/>
        <color rgb="FF1155CC"/>
        <rFont val="Aptos Display"/>
        <family val="2"/>
        <scheme val="major"/>
      </rPr>
      <t>QPIAI INDIA PVT LTD (Pitch).pdf</t>
    </r>
  </si>
  <si>
    <t>https://bnborganics.com/</t>
  </si>
  <si>
    <t>BNB Organics is a social enterprise based in Tamil Nadu that offers traditional and certified organic food products like rice, millets, and natural groceries, supporting small and women farmers while promoting healthy lifestyles through chemical-free, nutrient-rich foods. The company stands out for reviving rare traditional foods and operates both in India and internationally, with a commitment to sustainable sourcing and farmer livelihoods</t>
  </si>
  <si>
    <t>B&amp;B Organics PD.pdf</t>
  </si>
  <si>
    <t>https://rawpharmabiz.com/?srsltid=AfmBOopCbN3d0CVikkZ1qTVSXa-o2LL1yZSeLND7-G6btv8sUc6ZhEd_</t>
  </si>
  <si>
    <t>Raw Pharma Biz is a B2B marketplace platform connecting buyers and sellers of pharmaceutical raw materials, APIs, excipients, and related products in India, facilitating sourcing, trading, and supply chain efficiency for the pharma industry.</t>
  </si>
  <si>
    <t>Pharma</t>
  </si>
  <si>
    <t>RAWPHARMA BIZ pitch.pdf</t>
  </si>
  <si>
    <t>https://www.redicinemedsol.com/</t>
  </si>
  <si>
    <t>Provider of ReMed+, an IoT-based smart pillbox with audio-visual reminders, dosage tracking, and a mobile app for medication adherence. Integrates with healthcare providers for real-time monitoring.</t>
  </si>
  <si>
    <t>Healthtech, Medtech, IoT</t>
  </si>
  <si>
    <t>Redicine_Medsol_deck.pdf</t>
  </si>
  <si>
    <t>https://rises.io/rises-ai/#page-content</t>
  </si>
  <si>
    <t>Provider of AI-driven enterprise solutions for healthcare (diagnostics, clinician support) and FinTech (fraud detection, algo trading), offering data science and consulting services globally.</t>
  </si>
  <si>
    <t>Healthcare</t>
  </si>
  <si>
    <t>rises-AI-Pitchdeck-2025.pdf</t>
  </si>
  <si>
    <t>https://www.servercake.in/</t>
  </si>
  <si>
    <t>ServerCake is an Indian SSD web hosting company offering affordable shared, VPS, and dedicated hosting, free domain, SSL, migrations, and premium anti-spam for businesses and individuals. Their unique value includes 99.99% uptime, rapid customer support, and cutting-edge features like Cloudflare Railgun and advanced security at no extra cost.</t>
  </si>
  <si>
    <t>2025_09_13 - ServerCake Pitch Deck - figma export-02.pdf</t>
  </si>
  <si>
    <t>https://www.sprint6.com/</t>
  </si>
  <si>
    <t>Sprint6 Smart Restroom Solutions  a startup offering modern, IoT-enabled, hygienic restroom construction, automation and remodeling services for buildings and public spaces.</t>
  </si>
  <si>
    <t>Cleantech</t>
  </si>
  <si>
    <t>Kaliappan</t>
  </si>
  <si>
    <t>kali@sprint6.com</t>
  </si>
  <si>
    <t>Hyderabad</t>
  </si>
  <si>
    <t>https://startoonlabs.com/</t>
  </si>
  <si>
    <t>Joint pain, a prevalent issue affecting 25% of the global population, often leads to chronic conditions and costly surgeries. The current diagnostic tools lack real-time tracking, personalized recovery insights, and in-depth clinical understanding, leaving patients and healthcare providers with limited actionable data.</t>
  </si>
  <si>
    <t>https://drive.google.com/file/d/11SWwR0YCVqI9NTZ7GcK5k1zkXuQAAN7p/view?usp=drive_link</t>
  </si>
  <si>
    <t>https://evascalpcooling.co.in/</t>
  </si>
  <si>
    <t>Stemtech Medical Devices is a healthcare innovation company developing advanced medical technologies focused on regenerative medicine and cell therapy support. Their solutions aim to enhance recovery, tissue repair, and overall patient outcomes through cutting-edge device engineering.</t>
  </si>
  <si>
    <t>Stemtech_Feb2024_Leap_Final (1).pdf</t>
  </si>
  <si>
    <t>https://www.stroom.in/</t>
  </si>
  <si>
    <t>Stroom is a Ahmedabad-based health snack brand founded in 2022 that offers high-protein, center-filled bars designed to combine taste and nutrition.</t>
  </si>
  <si>
    <t>Nutrition &amp; Wellness</t>
  </si>
  <si>
    <t>https://swipeloan.in/</t>
  </si>
  <si>
    <t>Specialize in providing hassle-free personal loans to individuals across diverse financial situations.</t>
  </si>
  <si>
    <t>Fintech</t>
  </si>
  <si>
    <t>http://www.tailorsmart.in/</t>
  </si>
  <si>
    <t>Tailorsmart.in is a home service platform that seamlessly connects local tailors and designers to both B2B and B2C customers—serving men and women alike.</t>
  </si>
  <si>
    <t>Software</t>
  </si>
  <si>
    <t>https://www.tamilpreneur.in/</t>
  </si>
  <si>
    <t>Tamilpreneur is an online community for Tamil-speaking entrepreneurs. It provides a platform to learn, build, scale, and network. The community has over 1,200 members and has been active since 2019, aiming to assist entrepreneurs from the idea stage to achieving unicorn status. It offers resources and a supportive environment for Tamil entrepreneurs and investors.</t>
  </si>
  <si>
    <t>CommunityTech</t>
  </si>
  <si>
    <t>https://www.tightthenut.com/</t>
  </si>
  <si>
    <t>Tight The Nut is digital first automotive aftermarket brand building garage management solution for Un-organised Automotive Garages and helping them get spares within 30 minutes at doorstep. We help them grow by 30% within 6 months.</t>
  </si>
  <si>
    <t>Consumer SAAS</t>
  </si>
  <si>
    <t>https://urbannaps.com/</t>
  </si>
  <si>
    <t>Develops smart nap pods with features like zero-gravity recline, ventilation, and massage for corporate offices, airports, and wellness spaces</t>
  </si>
  <si>
    <t>Urban Naps Pitch Deck.pdf</t>
  </si>
  <si>
    <t>https://vastraapp.com/</t>
  </si>
  <si>
    <t>VastraApp is a mobile-first SaaS ERP solution built for India’s textile and garment manufacturers, automating production, inventory, sales orders and dispatch while delivering real-time insights. Based in Ahmedabad, the platform empowers small- and medium-scale textile businesses to digitize and scale operations across multiple locations</t>
  </si>
  <si>
    <t>Vikash Rajpurohit</t>
  </si>
  <si>
    <t>vikash.rajpurohit@vastraapp.com</t>
  </si>
  <si>
    <t>https://www.velaanmart.com/</t>
  </si>
  <si>
    <t>Velaan Mart is an AgriTech startup that connects farmers directly with buyers such as colleges, restaurants, and food businesses, using technology to create a transparent and efficient farm-to-fork supply chain.</t>
  </si>
  <si>
    <t>https://drive.google.com/open?id=1TV3xWrtI2r8JRRWlaWNp5b19RBCRKQug</t>
  </si>
  <si>
    <t>https://www.volaralta.com/</t>
  </si>
  <si>
    <t>Revolutionizing industrial inspections, Volar Alta leverages AI-powered drones to deliver safety, and efficiency for heavy and process industries.</t>
  </si>
  <si>
    <t>Drone - Industry 4.0</t>
  </si>
  <si>
    <t>Accelerate Core</t>
  </si>
  <si>
    <t>Balasubramanian S</t>
  </si>
  <si>
    <t>Active</t>
  </si>
  <si>
    <t>Hardeepsinh Jhala</t>
  </si>
  <si>
    <t xml:space="preserve">We AMSOL INDUSTRIES are provides Multi disciplinary Manufacturing solution and services with focus of Comples supply chain solution , We are experts in product development of engineering components and assemblies in material like metal , Plastic and rubber. 
AMSOL - Advanced Manufacturing solution </t>
  </si>
  <si>
    <t>Accelerate Select</t>
  </si>
  <si>
    <t>Ankit Makwana</t>
  </si>
  <si>
    <t>1.WE MFG COOKING EQUIPMENT &amp; NEUTRAL ELEMENTS FOR QSR,RESTURANTS,HOTELS,HOSPITALS,TEMPLES,SCHOOLS,FLIGHT KITCHENS,CANTEENS,CLOUD KITCHEN,INSTITUTIONS,FOOD PROCESSING PLANTS(RTE); 2.TURNKEY KITCHEN PROJECTS;    3.PVT LABEL MFG; 4.CONTRACT MGF OF SS SHEET METAL &amp; 5.AMC-SERVICE FOR KITCHENS.</t>
  </si>
  <si>
    <t>Established in 1988, we manufacture and export Industrial Yarns, Narrow Woven Fabrics (webbings), Braided Ropes, Sewing Thread etc under our strong brand name "BONUS"
Application of our product : Geo Textiles Fabrics Mfg, Stitching of Woven Sacks, Filter Fabrics Mfg, Luggage, Helmets, etc
Nearly 20% of our sales is through Export and balance through PAN India actual users and traders</t>
  </si>
  <si>
    <t>We are in to Manufacturing and Installations of Grain cleaning, processing and sorting plants on turnkey basis like spices processing, dal mills, rice mills etc…</t>
  </si>
  <si>
    <t>Electro Deposition coating, Powder coating, Shotblasting and painting of parts</t>
  </si>
  <si>
    <t>Satabdi Pratikshya</t>
  </si>
  <si>
    <t>DEZIRE FABTECH LLP is in the business of designing and manufacturing precision sheet metal and fabricated components, and assemblies in light fabrication &amp; heavy fabrication.</t>
  </si>
  <si>
    <t>Story@Home (a brand of ELITE DECOR PVT LTD), based in Vadodara, Gujarat, is a digitally‑native home‑furnishings company focused on bringing quality, style and comfort to Indian homes.  We sell for below categories  Bedrooms: bed sheets, comforters, printed dohars, quilts, mattresses protectors  Windows: blackout curtains, sheer curtains, rod‑pocket and grommet styles Bath &amp; Beyond: towels (bath, hand, kitchen), bath‑mats, anti‑fatigue kitchen rugs Floors &amp; Living: area carpets, doormats, play‑themed kids’ carpets Kids’ Collection: bedsheet sets, curtains, carpets, foam‑dice add‑ons, doormats with fun prints (unicorns, pirates, astronauts) We reach to our customers as below  Direct via www.storyathome.com Marketplaces: Amazon, Flipkart, Myntra, Ajio, Pepperfry</t>
  </si>
  <si>
    <t>Businesses in IT/ITES, ERP Product, Research, Skill Development, Training, &amp; Food Delivery</t>
  </si>
  <si>
    <t>Services</t>
  </si>
  <si>
    <t>Manufacturing of Standard Roller Chains and Customized Conveyor Chains</t>
  </si>
  <si>
    <t>GD Waldner India, based in Vadodara, offers turnkey laboratory solutions including German-engineered fume hoods, lab furniture, and process systems. It serves pharma, chemical, research, and education sectors with end-to-end design, manufacturing, and maintenance.</t>
  </si>
  <si>
    <t xml:space="preserve">We are manufacturers of electrical control panels </t>
  </si>
  <si>
    <t>We are manufacturers of Benzyl Derivatives, namely Benzyl Chloride and Bemzaldehyde</t>
  </si>
  <si>
    <t>We are in the business of piston manufacturing and aluminium die casting. Manufacturing pistons for tractors, trucks, 3-wheelers, and supplying aluminium die casting in automotive and power energy sectors.</t>
  </si>
  <si>
    <t>Based in Coimbatore, Magnetic &amp; Controls manufactures power-conditioning equipment such as transformers, servo stabilizers, and voltage regulators.
They serve a wide range of industries including telecom, automotive, textiles, and medical.
The company also has a joint venture in Saudi Arabia and operates ISO-certified facilities.</t>
  </si>
  <si>
    <t>We are offering Multi Commodity Multi Temperature Controlled Warehousing Service on rent for different sectors including food, pharma, chemicals etc.</t>
  </si>
  <si>
    <t>Metalic TechnoForge Pvt. Ltd (MTF), the Indian company is a technology driven global leader in metal forging, serving several sectors including Automotive, Power, Valve, Oil  Gas, Construction &amp; Mining, Locomotive, Marine and Aerospace. 
MTF has repository of metallurgical knowledge in the region and offer full service supply capability to its geographically dispersed marquee customers from concept to product design, engineering, manufacturing, testing and validation. 
The world’s fastest growing forging company with manufacturing a wide range of high performance, critical and safety components for the automotive and non-automotive sector. MTF’s customer base includes virtually every global automotive OEM and Tier 1 supplier. 
As we expand our expertise across sectors our vision is clear- We’re building India’s Economic backbone, strengthening national capabilities and ensuring a bigger global imprint- for ourselves and our country.</t>
  </si>
  <si>
    <t>MIPA Industries is known for its quality products such as HDPE Geomembrane Pond Liner, HDPE Tarpaulin, Vermi Bed, Shade net, Mulch Film, DWC Pipe, Weed Control Mat, Grow bag, Drip irrigation pipes, HDPE Pipe, Rain Pipe, Plant Nursery Bags, etc.</t>
  </si>
  <si>
    <t>complete ecosystem for Energy Audits, Water Audits, Carbon Footprint Assessments, Electrical &amp; Safety Audits, and IoT-based Smart Monitoring Systems</t>
  </si>
  <si>
    <t>Organic Sattva is a premium Indian brand offering natural superfoods like Makhana and dry fruits. Committed to wellness and sustainability, they partner directly with farmers and use eco-friendly practices. Their vision is to become India’s top destination for nutritious, organic living.</t>
  </si>
  <si>
    <t>Founded in 1996 in Coimbatore, Padmavahini Transformers started with repair and rewinding services before expanding into manufacturing power and distribution transformers up to 66 kV.
The company operates a 40,000 sq ft facility and produces around 25 transformers per month. They serve sectors like wind energy, healthcare, and export to countries including the UK and Singapore.</t>
  </si>
  <si>
    <t>Cylindrical rollers for bearings</t>
  </si>
  <si>
    <t>Precision Equipments, the pioneer in the field of manufacturing &amp; supply of Shell and Tube Heat Exchangers since 1981 was established with a clear vision to provide end to end solutions to their customers in the process industry such as Oil &amp; Gas, Petrochemicals, Fertilizers, Chemical, Power Plants, Energy &amp; Nuclear. The company with an employee strength of 400+ and an annual turn over of 25 Million USD has consistently grown with its rich experience in the process industry.</t>
  </si>
  <si>
    <t>We are manufacturing Sintered Bushes Bearings &amp; Powder Metal Components for Automobile Spares, Tractor Spares, Home Appliances Spares, Industrial Supplies &amp; Hardware Etc. Its Powder Metallurgy Process &amp; Green Technology.  Mainly More than 60% products used in Automobile &amp; remainly in diversified industries.  Please visit : https://www.precisionsintered.com for more information regarding our Products &amp; process.</t>
  </si>
  <si>
    <t xml:space="preserve">The company is a manufacturer specialising in cold drawn steel products like bright bars, tubes, flats, hexagons, squares and SG Iron Castings. The company also manufactures finished components including holding rods, drive shafts, guide rails, support rollers and creel support. It has earned 55 Crores in revenues in FY25 and has 30 white collared and 150 blue collared employees. </t>
  </si>
  <si>
    <t>Rawmart is one-stop solution for raw materials. Simplifying procurement for Indian SMEs. We source directly from prime suppliers, delivering top-quality raw materials at competitive prices.</t>
  </si>
  <si>
    <t>Wide range of Clinical Chemistry Reagents, Serology Reagents &amp; Test Kits, Urinalysis Reagent Strips, Rapid Diagnostic Test Kits, Immunofluorescence POCT Kits, Immunoturbidimetric Reagents, IVD Instruments - Semi-Automatic &amp; Fully-Automatic Analysers.</t>
  </si>
  <si>
    <t>Recla Internationals Pvt. Ltd. is a specialised steel construction company with strong expertise in Pre-Engineered Building (PEB) solutions. Along with it our core strength lies in delivering comprehensive turnkey services — from structural design and precision manufacturing to on-site installation and civil work services.
We primarily focus on industrial infrastructure, including warehouses, data centers, and EPC (Engineering, Procurement, and Construction) projects. We cater to multinational corporations (MNCs) for steel fabrication and installation needs, ensuring quality, efficiency, and on-time delivery across every project.</t>
  </si>
  <si>
    <t>At RIO we aspire to be a lighthouse beverage brand for the increasingly savvy and aspirational consumers of India. We are always striving to create high quality, indulgent and unique tasting beverages for all the age groups.</t>
  </si>
  <si>
    <t>We are into Manufacturing of Engine, Vehicle and transmission test equipment manufacturing, capital goods manufacturing, including advance digital control system, data acquisition software, turnkey projects and customized special test rigs.</t>
  </si>
  <si>
    <t xml:space="preserve">We deals in Angels, Chanel, beam, Flat , TMT, Round bar , MS pipe, GP pipe , HR sheet , CRC sheet </t>
  </si>
  <si>
    <t>We are an leading EPC company mainly engaged into small &amp; Mid size of decentralised Sewage Treatment plant (STP), Effluent treatment plant (ETP), Water treatment plant i.e. RO Plant &amp; water softners, swimming pool design &amp; constructions.</t>
  </si>
  <si>
    <t>Aluminium Precision tubes and Yarn carriers</t>
  </si>
  <si>
    <t xml:space="preserve">Concrete batching and mixing plants used to produce fresh concrete at site </t>
  </si>
  <si>
    <t xml:space="preserve">We are manufacturers of: - Transmission Line Tower, - Substation Structures, - Earthing Material
- Switchgear Products (Isolators, Fuses, Disconnectors, Switches) up to 33kV </t>
  </si>
  <si>
    <t>Our vision is a world powered by clean, sustainable energy, where empowered communities thrives made possible by Windplus's unwavering dedication to delivering world class EPC and BOP service with integrity, innovation and ecological care.</t>
  </si>
  <si>
    <t>WOGOM (World Goods Marketplace Pvt. Ltd.), based in Ahmedabad, is a fast-growing AI-driven B2B e-commerce marketplace specializing in consumer electronics, mobile devices, IT products, and consumer durables. The platform connects authorized distributors with retailers, offering seamless purchase experiences, flexible digital credit lines, and improved margins and growth opportunities</t>
  </si>
  <si>
    <t xml:space="preserve">We are into manufacturing of Coal handling plants, Salt Washery plants, Fertilizer coating system, Conveyors, Crushers, Bucket elevators, Vibrating screens </t>
  </si>
  <si>
    <t>Dutt AdTech Pvt Ltd is a technology-driven company providing Real-Time Monitoring and Optimization Solutions for Oil &amp; Gas Wells. We focus on combining custom hardware design, advanced sensor development, and cloud-based software platforms to deliver end-to-end digitalization and automation for well operations.
Core Offerings
Custom Hardware &amp; Sensor Development – Design and manufacture of pressure, temperature, and load measurement devices, with wireless communication capability.
Real-Time Monitoring Solutions – Seamless data acquisition from field instruments and transmission to controllers and cloud dashboards.
AI/ML-Based Optimization – Smart analytics to improve well performance, reduce downtime, and optimize lift system efficiency.
Cloud-Based Monitoring Software – Scalable web platforms to visualize well health, generate alerts, and enable remote decision-making.
Products
SRP Well Monitoring Systems – Installed and operational at ONGC wells, capturing pressure, temperature, and load data and transmitting it wirelessly to controllers.
Gas Lift Well Monitoring Solutions – Real-time data collection and analytics to improve gas utilization and production efficiency.
Plunger Lift Monitoring Systems – Optimizes plunger cycles and ensures smooth well operations with minimal manual intervention.
Our Edge
Proven field deployments in ONGC with more than 2000 devices.
Integrated approach combining sensors, communication, and analytics under one roof.
Designed for reliability and scalability, supporting hundreds of wells simultaneously.</t>
  </si>
  <si>
    <t>WaterTech</t>
  </si>
  <si>
    <t>Aeronero Solutions Private Limited, with Durga Das in Chennai, offers atmospheric and air water generators. These devices extract moisture from the air to produce clean, sustainable, alkaline-rich drinking water</t>
  </si>
  <si>
    <t>https://drive.google.com/file/d/1908ajOguTg14cJYCoMKKExwiIL-N7F-5/view?usp=sharing</t>
  </si>
  <si>
    <t>Jigar</t>
  </si>
  <si>
    <t>https://www.agriown.com/</t>
  </si>
  <si>
    <t xml:space="preserve">Agriown provides the largest product range and over 100+ brands in our catalogue, you will find everything you are looking for Choose from a wide range of options in every category, exclusively handpicked to help you find the best quality available at the lowest prices. Select a product and your order will be delivered right to your doorstep, anywhere in Gujarat, Maharashtra, and Rajasthan &amp; Madhya Pradesh. You can pay online using your digital payment gateway like Google pay, Paytm, UPI, debit/credit card, or by cash on delivery. </t>
  </si>
  <si>
    <t>https://www.airmedlabs.com/</t>
  </si>
  <si>
    <t>Airmed Labs is a health-tech startup offering high-quality home-sample collections and diagnostics services, providing consumers a seamless way to book tests and manage reports</t>
  </si>
  <si>
    <t>Surat</t>
  </si>
  <si>
    <t>Food Processing</t>
  </si>
  <si>
    <t>https://alpino.store/pages/aavi-jao-2025</t>
  </si>
  <si>
    <r>
      <t>Alpino Health Foods</t>
    </r>
    <r>
      <rPr>
        <sz val="12"/>
        <color theme="1"/>
        <rFont val="Aptos Display"/>
        <family val="2"/>
        <scheme val="major"/>
      </rPr>
      <t> is a leading Indian health food brand, best known for pioneering the peanut butter category in India and offering a wide range of protein-rich, peanut-based products. The company is headquartered in Surat, Gujarat, and operates with a mission to make India a protein-rich nation by popularizing healthy, tasty, and affordable peanut products</t>
    </r>
  </si>
  <si>
    <t>Alpino_Pitch Deck (May'25).pdf</t>
  </si>
  <si>
    <t>https://autocracymachinery.com/</t>
  </si>
  <si>
    <t>Machine manufacturing exporting &amp;domestic</t>
  </si>
  <si>
    <t>https://bebeburp.com/?srsltid=AfmBOop_RD-dVvDXoM8RsKHpgvrRKH-6weU8Hw0cor09R7zkPfeOfBez</t>
  </si>
  <si>
    <t>Bebe Burp offers 100% natural, organic baby food — including porridges, snacks, and “grab-and-go” mixes — made with traditional recipes and no preservatives, catering to health-conscious parents.</t>
  </si>
  <si>
    <t>Baby Food</t>
  </si>
  <si>
    <t>https://www.biofics.co.in/</t>
  </si>
  <si>
    <t>Biofics Pvt. Ltd. is a Surat-based climate-tech startup that transforms organic waste into value by deploying Bio-CNG, biogas, and composting plants at scale.</t>
  </si>
  <si>
    <t>ClimateTech</t>
  </si>
  <si>
    <t>https://blueisland.in/</t>
  </si>
  <si>
    <t>Blueisland Clothing offers stain-proof shirts, formal wear, activewear, and casual shirts. Their stain-proof shirts are designed to protect against water-based stains, catering to consumers seeking practicality and durability in their clothing. They use materials like bamboo linen and pure cotton. The company emphasizes innovation in everyday fashion.</t>
  </si>
  <si>
    <t>Retail manufacturing &amp; Ecommerce</t>
  </si>
  <si>
    <t>Blueisland PD (1).pdf</t>
  </si>
  <si>
    <t>www.botminds.ai</t>
  </si>
  <si>
    <t>Botminds AI is developing an Operating System for Enterprise AI, aiming to be more than just an AI platform or vertical solutions. It suggests a comprehensive approach to AI within the enterprise context, implying a focus on integration and a broad range of applications.</t>
  </si>
  <si>
    <t>BotMinds Series A_PD.pdf</t>
  </si>
  <si>
    <t>https://www.bullagritech.in/</t>
  </si>
  <si>
    <t>Bull Agritech is an agritech-startup that connects farmers directly with agro-commodity processors to streamline the non-perishable crop supply chain, enabling better price discovery, logistics and payment security for farmers.
Entrepreneur
+1
In just ~18 months, it has onboarded thousands of farmers digitally and facilitated croppings worth ₹25–35 Cr, while raising pre-seed funding to build technology and expand collection centers.</t>
  </si>
  <si>
    <t xml:space="preserve">Kedar </t>
  </si>
  <si>
    <t>https://cardhobi.co.in/</t>
  </si>
  <si>
    <t>Car Dhobi is a vehicle care startup offering on-demand, eco-friendly car cleaning and detailing services. It leverages water-saving techniques and doorstep convenience to provide hassle-free car maintenance for urban consumers.</t>
  </si>
  <si>
    <t>D2C - Car Care Products</t>
  </si>
  <si>
    <t>https://caremother.in/</t>
  </si>
  <si>
    <t>A digital healthcare platform that enables healthcare providers to deliver pregnancy care through AI-powered tools, facilitating remote monitoring and patient engagement. The platform enables real-time monitoring and management of pregnancy, aiming to transform maternal healthcare outcomes. Its solutions include a wireless, interactive, and smartphone-based fetal monitor (NST/CTG machine) designed for remote monitoring.</t>
  </si>
  <si>
    <t>Digital Health</t>
  </si>
  <si>
    <t>https://www.cleanelectric.in/</t>
  </si>
  <si>
    <t>Clean Electric is a battery tech company, designing and manufacturing advanced lithium-ion batteries for EVs and energy storage applications, enabling 12-min rapid charging, long life and unrivaled safety.</t>
  </si>
  <si>
    <t>App-based platform offering home-cooked meals</t>
  </si>
  <si>
    <t>Praba</t>
  </si>
  <si>
    <t>Pitch deck_Cookr.pdf</t>
  </si>
  <si>
    <t>https://www.cultyvate.com/</t>
  </si>
  <si>
    <t xml:space="preserve">cultYvate is an agritech startup empowering smallholder farmers with IoT and AI/ML-powered precision agriculture solutions for rice and sugarcane, optimizing water/chemical use, achieving 40% yield increases, and 24% input reductions. </t>
  </si>
  <si>
    <t>Cultyvate_Wadhwani 01 Jul2025.pdf</t>
  </si>
  <si>
    <t>https://dingg.app/</t>
  </si>
  <si>
    <t>DINGG is a developer of software as a service-driven business management platform intended to optimize salons and spa businesses' day-to-day operations.</t>
  </si>
  <si>
    <t>SAAS</t>
  </si>
  <si>
    <t>https://wadhwanifoundation-my.sharepoint.com/:b:/g/personal/rishabh_singh_wadhwanifoundation_org/EXho_4Y4IfNPvZdEQ0wWi9ABLdKp6WgMeSp78ylb1rcO7w?e=zvz0BF</t>
  </si>
  <si>
    <t>https://www.thedivinefoods.com/</t>
  </si>
  <si>
    <t>The Divine Foods is a Tamil Nadu-based D2C food tech brand offering traditional Indian superfoods like turmeric, moringa, millets, and honey, sourced ethically from local farmers. Their products focus on health, sustainability, and affordability, reaching over 25,000 customers in 5 countries.</t>
  </si>
  <si>
    <t>www.enercomp.in</t>
  </si>
  <si>
    <t>Enercomp Solutions Pvt Ltd provide drone based economically viable solutions for different sectors to improve efficiency and accuracy.
EnerComp also has a expert team of drone designers. We have already developed VToL drones like Eagle, Sarus, Hans and Kabutar. We have type certified drone Kingfisher and logistics drone like Raptor X8 and Baaz H8(capable of Carrying rocket launcher)
Enercomp is a company driven by the dedicated taskforce and providing services in the field of Energy as well as Information Technology. We not only intend to digitally transform the energy sector but also desire to integrate all businesses with technology. We also provide services for aerial mapping using Drones or UAV and thermography of Solar PV Plant.
Inspecting Solar PV plants or Power Lines using UAVs, Enterprise Resource Planning (ERP) of any industry, Salesforce or IT Project Management, Consultation in the field of Smart Grid or Spun cast Pre-stressed concrete pole manufacturing are the various fields; where our expertise has emerged with distinguish.</t>
  </si>
  <si>
    <t>DroneTech</t>
  </si>
  <si>
    <t>https://esandhai.in/</t>
  </si>
  <si>
    <t>E Sandhai Private Limited is an Indian B2B agri-produce supply chain startup incorporated in December 2021. It focuses on supplying fresh vegetables, fruits, and groceries to smaller cities (Tier 2 and 3) in India, addressing challenges faced by businesses and farmers in these areas.</t>
  </si>
  <si>
    <t>E Sandhai PD.pdf</t>
  </si>
  <si>
    <t>https://www.eswasthya.in/</t>
  </si>
  <si>
    <t>eSwasthya.in • ES Healthcare Centre — Together they form a comprehensive healthcare-services group combining digital pharmacy delivery and in-person medical care.
The group operates a pan-India e-pharmacy and tele-health platform that delivers medicines, wellness products, and surgical essentials to customers’ doorsteps, and also runs a full-service preventive and specialty care center offering diagnostics, consultations, home-health services, and 24×7 support.</t>
  </si>
  <si>
    <t>HealthTech &amp; e-Pharmacy</t>
  </si>
  <si>
    <t>Yash Shah</t>
  </si>
  <si>
    <t>Yash@eshs.in</t>
  </si>
  <si>
    <t>https://www.eximburginternational.in/</t>
  </si>
  <si>
    <t>Eximburg International Private Limited, based in Surat, Gujarat, is a manufacturer and exporter of research-based herbal products, including 100% tobacco-free and nicotine-free cigarettes (Royal Swag brand), Ayurvedic skincare, and wellness items. Established in 2015, it serves domestic and international markets with a focus on quality and innovation.</t>
  </si>
  <si>
    <t>Eximburg International Pvt Ltd (2).pdf</t>
  </si>
  <si>
    <t>https://www.extraaedge.com/</t>
  </si>
  <si>
    <t>A product-based SaaS startup, we created our admissions and marketing automation CRM Software to help the education industry increase, manage &amp; predict their admissions</t>
  </si>
  <si>
    <t>Abhishek</t>
  </si>
  <si>
    <t>aballabh@theextraaedge.com</t>
  </si>
  <si>
    <t>+91 90960 73241</t>
  </si>
  <si>
    <t>https://www.ezlease.in/</t>
  </si>
  <si>
    <t>Provider of industrial equipment rental and leasing services. The main product offered by the platform is robots as a service that includes material handling, CNC tending, spot welding, etc. It provides a platform to rent and sell various equipment like cranes, testing machines, cobots, warehouse and packaging machines, etc. It also offers medical and educational equipment such as blood testing machines, ventilator setups, auditorium lighting, desktops, scanners, etc.</t>
  </si>
  <si>
    <t>ManufacturingTech</t>
  </si>
  <si>
    <t>https://www.flexifyme.com/?utm_source=google&amp;utm_campaign=Search-Brand-Campaign&amp;utm_term=flexifyme&amp;utm_content=725104371739</t>
  </si>
  <si>
    <t>Experience online physiotherapy powered by AI. Certified physiotherapists deliver personalized treatment plans, combining research and technology to address the root of your pain and achieve lasting results.</t>
  </si>
  <si>
    <t>https://ftborganic.com/</t>
  </si>
  <si>
    <t>Dombe Patil Foods is a food processing and agribusiness company focused on delivering high-quality, farm-fresh products rooted in traditional Indian flavors. It works closely with local farmers to ensure sustainable sourcing and value-added food solutions for modern consumers.</t>
  </si>
  <si>
    <t>https://www.futr.ag/</t>
  </si>
  <si>
    <t>Futr.Ag is an agritech company offering smart-farming automation and AI-driven climate control for greenhouses and indoor farms, helping growers improve yield and efficiency.</t>
  </si>
  <si>
    <t>Sriram Gopal</t>
  </si>
  <si>
    <t>sriram@futurefarms.in</t>
  </si>
  <si>
    <t>https://www.fynmobility.com/</t>
  </si>
  <si>
    <t>Fynmobility is an asset-light digitized mobility company offering an efficient, economic, and reliable fleet of 2W, 3W, 4W, and passenger auto EVs, moving toward profitability. It provides a super platform for all EV needs and a community app (Inffinity) for gig workers, targeting 1M lives impacted by 2028</t>
  </si>
  <si>
    <t>Early Growth Stage</t>
  </si>
  <si>
    <t>FynMobility Pitch</t>
  </si>
  <si>
    <t>Circular Economy</t>
  </si>
  <si>
    <t>Green Era Recyclers offers sustainable e-waste management solutions, specializing in the recycling of IT, household, medical, and industrial devices. As a professional recycler, they likely adhere to industry best practices for environmental responsibility and data security when handling electronic waste</t>
  </si>
  <si>
    <t>WF Events - Bootcamps/ Roundtable/ Partner events</t>
  </si>
  <si>
    <t>https://indian-drivers.com/</t>
  </si>
  <si>
    <t>Indian Drivers is a premier car driver management company serving individuals and corporates across India. With over 55,000 registered drivers, we boast an extensive network of skilled professionals ready to meet your transportation needs.</t>
  </si>
  <si>
    <t>https://innovotek.in/</t>
  </si>
  <si>
    <t>Innovotek Private Limited, founded in 2018, focuses on providing innovative, technological, and sustainable products and services. They offer managed resources, design services, and supply chain logistics to assist businesses</t>
  </si>
  <si>
    <t>DeepTech</t>
  </si>
  <si>
    <t>Dr.Murali</t>
  </si>
  <si>
    <t>contact@innovotek.in
jmurali@innovotek.in</t>
  </si>
  <si>
    <t>https://inspacco.com/</t>
  </si>
  <si>
    <t>Facility maintenance and management software</t>
  </si>
  <si>
    <t>https://wadhwanifoundation.sharepoint.com/:b:/s/WadhwaniAccelerate/EXVeXXkbE-1DgSjqn5o1p2UBgEZTbg9E_P-ckW5ngFMI6Q?e=M8CXES</t>
  </si>
  <si>
    <t>Med-Tech</t>
  </si>
  <si>
    <t>https://jajalmedical.com/</t>
  </si>
  <si>
    <r>
      <t>Jajal Medical</t>
    </r>
    <r>
      <rPr>
        <sz val="12"/>
        <color theme="1"/>
        <rFont val="Aptos Display"/>
        <family val="2"/>
        <scheme val="major"/>
      </rPr>
      <t> is a leading Indian company specializing in advanced 3D visualization, digital pre-operative planning, and the creation of customized implants for complex surgeries. </t>
    </r>
  </si>
  <si>
    <t>Jajal_Medical_SeriesA_Pitchdeck_June2025_Rev1.pdf</t>
  </si>
  <si>
    <t>https://jeevitam.com/</t>
  </si>
  <si>
    <t>Jeevitam is a technology-driven livelihood platform that connects blue, grey, and white-collar workers with job opportunities across sectors, using advanced IVR and machine learning for efficient profile matching and recruitment. It serves employers, job seekers, and partners nationwide, aiming to simplify and accelerate workforce hiring for the unorganized sector</t>
  </si>
  <si>
    <t>HR-Tech</t>
  </si>
  <si>
    <t>About Jeevitam - Aug 2025.pdf</t>
  </si>
  <si>
    <t>AI SaaS</t>
  </si>
  <si>
    <t>https://www.jidokatech.com</t>
  </si>
  <si>
    <t>Jidoka Technologies provides AI-powered visual inspection solutions for manufacturing, enabling defect detection and quality control with high accuracy, consistency, and scalability.</t>
  </si>
  <si>
    <t>https://wadhwanifoundation.sharepoint.com/:b:/s/WadhwaniAccelerate/ETnrEw-WvMVKn4yYd3HFLeIBj8gA8hXTNHcHyT1R5yXBjg?e=AXcDGX</t>
  </si>
  <si>
    <t>https://jivikahealthcare.com/</t>
  </si>
  <si>
    <t>India’s foremost mobile medical services aimed at taking healthcare from hospitals to homes and communities.</t>
  </si>
  <si>
    <t xml:space="preserve">Healthcare </t>
  </si>
  <si>
    <t>https://wadhwanifoundation.sharepoint.com/:b:/s/WadhwaniAccelerate/EblNzSx2Bh5MuM3R48js3AEBGiXjmr4muIxkO6PBzGj2pw?e=23m2N3</t>
  </si>
  <si>
    <t>https://justact.co.in/</t>
  </si>
  <si>
    <t>AI powered dispute resolution platform</t>
  </si>
  <si>
    <t>LegalTech</t>
  </si>
  <si>
    <t>https://www.keepsakeautomation.com/</t>
  </si>
  <si>
    <t>Keepsake Automation, specializes in turnkey robotic solutions for welding, cutting and handling processes, delivering over 250 installations globally.</t>
  </si>
  <si>
    <t>Industry 4.0</t>
  </si>
  <si>
    <t>Keepsake Automation.pdf</t>
  </si>
  <si>
    <t>https://leapinfosys.com/</t>
  </si>
  <si>
    <t>Leap is a Convergent Lighting Controls and  Building Automation Technology Company. Leveraging the power of IoT and Open Standards, interoperable technologies to deliver convergent building automation and management solutions.</t>
  </si>
  <si>
    <t>IOT/SAAS</t>
  </si>
  <si>
    <t>LEAP - Pitch Deck.pdf</t>
  </si>
  <si>
    <t>Last mile delivery</t>
  </si>
  <si>
    <t>https://www.linkmiles.com/</t>
  </si>
  <si>
    <t>LinkMiles is building India’s largest sustainable last-mile mobility platform, offering EV-based delivery services (3W and 4W vehicles) with a tech-driven approach. Features include rider/asset tracking, maintenance, &lt;1-hour asset deployment, and &lt;5% downtime. Targets e-commerce and logistics with a focus on TCO savings via battery swapping.</t>
  </si>
  <si>
    <t>https://wadhwanifoundation-my.sharepoint.com/:b:/g/personal/vignesh_radhakrishnan_wadhwanifoundation_org/EbJbXngE7A1BrfWV45kp35gB2W0O3MPXibUk0OBXy5r2iA?e=5ymI8l</t>
  </si>
  <si>
    <t>https://mangopoint.in</t>
  </si>
  <si>
    <t>MangoPoint, founded in 2018 in Chennai, India, provides a sustainable, integrated value chain for single-origin, carbide-free, chemical-free mangoes and processed products (pulp, dried, butter). It serves 1000+ retail stores, major modern trade chains, and exports to 10+ countries, with &lt;3% wastage through immediate processing and partnerships with pulp units.</t>
  </si>
  <si>
    <t>https://wadhwanifoundation-my.sharepoint.com/:b:/g/personal/vignesh_radhakrishnan_wadhwanifoundation_org/ESrLM7ja0MNMsNPlkkZGxnAB568OzNjk6t7pTZTshs7S3A?e=lVIcDQ</t>
  </si>
  <si>
    <t>https://manufyx.co.in/</t>
  </si>
  <si>
    <t xml:space="preserve">Manufyx Invenza Private Limited is a company that provides end-to-end manufacturing solutions, covering aspects from design to commissioning. They position themselves as a trusted partner in the manufacturing process, aiming to deliver excellence. </t>
  </si>
  <si>
    <t>https://wadhwanifoundation-my.sharepoint.com/:b:/g/personal/vignesh_radhakrishnan_wadhwanifoundation_org/Ea9uaN-QQP5LjcxuTJRAIhEBIa6t54yZrjSWKshaP-83dw?e=z7bkuD</t>
  </si>
  <si>
    <t>https://micob.in/</t>
  </si>
  <si>
    <t>MiCoB Pvt Ltd is a construction-tech startup specializing in 3D concrete printing technology that merges art, automation, and construction to deliver sustainable, aesthetically pleasing, and faster building solutions. Based in Ahmedabad, Gujarat, it targets affordable housing and infrastructure projects with eco-friendly materials.</t>
  </si>
  <si>
    <t>Construction-Tech</t>
  </si>
  <si>
    <t>MiCoB.pdf</t>
  </si>
  <si>
    <t>https://www.mrmed.in/</t>
  </si>
  <si>
    <t>MrMed is India's leading online pharmacy specializing in super-specialty medicines for critical conditions. Founded by Devashish Singh and Saurab Jain, and headquartered in Chennai, MrMed focuses on providing patient-centric, technology-enabled services for conditions like cancer, kidney diseases, and heart disorders. It is the largest online pharmacy in India for such specialty medications.</t>
  </si>
  <si>
    <t>https://in.musewearables.com/</t>
  </si>
  <si>
    <t>Muse is a company focused on wearable technology, specifically hybrid smartwatches, personalized wellness bands, and smart rings. They aim to integrate technology with style and functionality, offering features like NFC payments and comprehensive health tracking. Their mission centers on using technology to improve daily life and are currently focused on developing what they believe is the best smart ring available.</t>
  </si>
  <si>
    <t>Hardware</t>
  </si>
  <si>
    <t>Muse Wearables Pitch Deck.pdf</t>
  </si>
  <si>
    <t>Consumer electronics &amp; Healthtech</t>
  </si>
  <si>
    <t>https://ngearsafe.com/</t>
  </si>
  <si>
    <t>Bone-conduction and air-conduction based open-ear headphones, designed for safe and comfortable long-term use designed to prevent hearing loss caused by in-ear headphones.</t>
  </si>
  <si>
    <t>https://drive.google.com/file/d/1mivP5Wz0txEPRwgGvpci81riZEhLcz24/view?usp=drive_link</t>
  </si>
  <si>
    <t>https://www.nuutjob.com/pages/about-us?srsltid=AfmBOopE55LS67-C6ANgo72Bz2ag3x7XGcx-6zSC2AVaW51albUxH7-0</t>
  </si>
  <si>
    <t>Nuutjob is a D2C brand offering natural, male-specific intimate hygiene products, including cleansers, moisturizers, deodorants, and liquid powders, designed to address the unique needs of men’s skin in India’s challenging climate. Founded by Anushree and Ananya Maloo, it aims to educate and destigmatize male intimate care.</t>
  </si>
  <si>
    <t>Personal Care</t>
  </si>
  <si>
    <t>_Nuutjob Pitch Deck.pptx.pdf</t>
  </si>
  <si>
    <t>https://www.padcarelabs.com/</t>
  </si>
  <si>
    <t>PadCare Labs offers menstrual hygiene management as a service, which includes awareness, accessibility, disposal, and recycling.</t>
  </si>
  <si>
    <t>https://wadhwanifoundation-my.sharepoint.com/:b:/g/personal/rishabh_singh_wadhwanifoundation_org/EbLUFw39OJpOlCyD-OsEwfgBWiA0pBameZVfmkYlbwgtnw?e=7B12XE</t>
  </si>
  <si>
    <t>Pune
Ahmedabad</t>
  </si>
  <si>
    <t>Clean Tech</t>
  </si>
  <si>
    <t>https://powertree.co.in/</t>
  </si>
  <si>
    <t>PowerTree is building a decentralized EV charging network powered by renewable energy, aiming to solve the last-mile EV charging challenge. The startup focuses on grid-independent, solar-based chargers for urban and semi-urban areas.</t>
  </si>
  <si>
    <t>https://qarmatek.com/</t>
  </si>
  <si>
    <t>QarmaTek is an Ahmedabad-based electronics renewal and refurbishment venture that supports major brands by offering multi-brand repair services, logistics and warehousing infrastructure, and predictive analytics to extend product lifecycles and reduce e-waste.</t>
  </si>
  <si>
    <t>Sustainability Tech</t>
  </si>
  <si>
    <t>https://www.qnulabs.com/</t>
  </si>
  <si>
    <t>QNu Labs is a pioneer in quantum cryptography, quantum encryption, and quantum communication products and solutions. The patented flagship products are developed by the in-house team of quantum researchers, experts and specialists. QNu Labs is synonymous with quantum-powered security in the era of quantum computing.</t>
  </si>
  <si>
    <t>Quantum</t>
  </si>
  <si>
    <t>https://wadhwanifoundation-my.sharepoint.com/my?id=%2Fpersonal%2Frishabh%5Fsingh%5Fwadhwanifoundation%5Forg%2FDocuments%2FAttachments%2FQNu%20Intro%20Deck%20%2D%20Sept25%2Epdf&amp;parent=%2Fpersonal%2Frishabh%5Fsingh%5Fwadhwanifoundation%5Forg%2FDocuments%2FAttachments</t>
  </si>
  <si>
    <t>Mobility</t>
  </si>
  <si>
    <t>https://rapteehv.com/</t>
  </si>
  <si>
    <t>Raptee.HV. is an Indian electric motorcycle startup founded in 2019 by Dinesh Arjun, Co-Founder and CEO (Ex-Tesla), along with three other co-founders, with a mission to accelerate the transition to electric mobility. The company aims to deliver superior riding experience for ICE (Internal Combustion Engine) users through a no-compromise electric motorcycle through technological innovation. Raptee.HV stands out as the only startup manufacturing electric motorcycles powered by a high-voltage powertrain—a technology typically used in electric cars. This innovation enables superior riding experience, enhanced reliability, and seamless charging, bringing the best of Electric car technology to motorcycles.
Raptee.HV is powered by a team of 120+ employees, all dedicated to pushing the boundaries of electric mobility. Raptee.HV stands out for building 100% of its electronics in-house, including the development of PCBs of all critical subsystems and filed over 156 patents till date, establishing a full-stack technical moat with intellectual property covering the entire architecture of its electric motorcycles.
Raptee.HV’s 4.5-acre facility in Manapakkam, Chennai integrates R&amp;D and production under one roof, ensuring seamless innovation and manufacturing. The facility has an installed production capacity of 100,000 units annually.
In terms of future expansion, Raptee.HV has been allocated 40 acres of land in SIPCOT Cheyyar. With its focus on Innovation, technology and customer experience, Raptee.HV is all set to make a significant impact in the Global Two-wheeler market .</t>
  </si>
  <si>
    <t>Early revenue</t>
  </si>
  <si>
    <t>https://drive.google.com/file/d/1ugifx4awTonkFZY8LSbRJCmFknOSi5xQ/view?usp=drive_link</t>
  </si>
  <si>
    <t>https://nanobee.in/</t>
  </si>
  <si>
    <t>NanoBee (ReAgri) is an agri-tech startup driving residue-free and sustainable farming through nanotechnology-based inputs, bio-solutions, and farmer training. It helps farmers improve yield quality while promoting environmentally responsible cultivation practices.</t>
  </si>
  <si>
    <t>https://drive.google.com/open?id=1b06RbmxD-aXPqQj-gr5CvUcHdRdckNee</t>
  </si>
  <si>
    <t>https://rupiya.app/</t>
  </si>
  <si>
    <t>rupiya.app offers farmers a complete set of tools for success. With features like satellite monitoring, soil testing, personalized advice, and more, we simplify farming. Plus, our platform provides access to agricultural loans, ensuring the support needed for growth.</t>
  </si>
  <si>
    <t>Agri-Fintech</t>
  </si>
  <si>
    <t>Rupiya_Pitch.pdf</t>
  </si>
  <si>
    <t>https://www.sarumam.com/shop</t>
  </si>
  <si>
    <t>Speciality Pharmacy, Dermatology, D2C</t>
  </si>
  <si>
    <t>https://schooldiary.me/</t>
  </si>
  <si>
    <t>chool Diary®- a complete School CRM -is the flagship product of uFony. School Diary® enables Schools &amp; colleges to easily &amp; effectively engage their parents &amp; digitise &amp; automate their internal processes.</t>
  </si>
  <si>
    <t>https://wadhwanifoundation.sharepoint.com/:b:/s/WadhwaniAccelerate/EVgwj65cuedEsgyFgixs5AgBLULwz_eHxXG-SlG5hbJ2mg?e=ufTifL</t>
  </si>
  <si>
    <t>Security advisory, security engineering &amp; security operations services (Forbes DGEMS Select 200 Company)</t>
  </si>
  <si>
    <t>Cybersecurity</t>
  </si>
  <si>
    <t>Kugan</t>
  </si>
  <si>
    <t>kugan@scybers.com
madu@scybers.com
gopal@scybers.com</t>
  </si>
  <si>
    <t>https://serigenmed.com/</t>
  </si>
  <si>
    <t>Serigen, formerly known as BiolMed Innovations, is an innovation-driven, tissue regeneration products company, founded with the vision to become a global leader in biomedical devices.</t>
  </si>
  <si>
    <t>www.smartnode.in</t>
  </si>
  <si>
    <t>SmartNode is a smart home automation company based in Gujarat, offering Wi-Fi and IoT-based solutions to control lighting, appliances, and climate through a single mobile app.</t>
  </si>
  <si>
    <t>IoT</t>
  </si>
  <si>
    <t>https://www.source.one/</t>
  </si>
  <si>
    <t>Source.One is a Technology-first Commodity Distribution company.
Based on high-end market intel, GST inputs, deep partnerships with FIs, stockists and transporters, it has streamlined the $30bn petrochemicals distribution space, and on a mission to replicate the same in other similar value-chains, both within and outside chemicals space.</t>
  </si>
  <si>
    <t>https://www.stembotix.in/</t>
  </si>
  <si>
    <t xml:space="preserve">Stembotix is an edtech startup building AI and robotics labs for K-12 and higher education, offering turnkey solutions with hardware, curricula, and training for schools, vocational programs, and incubators. Google and ISO accredited, it has implemented 5K+ labs reaching 1M+ students and 50K+ teachers. </t>
  </si>
  <si>
    <t>EdTech/Robotics</t>
  </si>
  <si>
    <t>Stembotix PitchDeck MASTER PPT 1.pdf</t>
  </si>
  <si>
    <t>https://www.stridessoftware.com/</t>
  </si>
  <si>
    <t xml:space="preserve">Strides, a healthtech company, through its innovative IT, IoT products and platform, is working on eliminating errors from the blood transfusion lifecycle and inturn enabling Safe, effective and efficient blood transfusion services. Actively started in 2015, Strides is currently working with 350+ Hospitals and Blood banks across India and recently middle east enabling 3.5 million blood components and screening 2 million Blood donors annually.   Our end to end vein traceability solution tracks, records and acts at each stage of the blood transfusion cycle to support good transfusion practice and eliminate cognitive process based bias errors from every stage of the blood transfusion process. </t>
  </si>
  <si>
    <t>HealthTech</t>
  </si>
  <si>
    <t>https://terrablu.life/</t>
  </si>
  <si>
    <t>Founded in 2022, as a climate innovation technology company, we have pioneered cutting-edge solutions to actualize sustainability goals. Our dedicated tech ecosystem is meticulously designed to guide enterprises towards achieving Net Zero emissions</t>
  </si>
  <si>
    <t>Climate</t>
  </si>
  <si>
    <t>Terrablu Overview 2025 V1.4.pdf</t>
  </si>
  <si>
    <t>https://tikitoro.com/</t>
  </si>
  <si>
    <t>D2C , Skin and hair products for child and teen</t>
  </si>
  <si>
    <t>E-Commerce</t>
  </si>
  <si>
    <t>https://www.linkedin.com/in/hunnybhagchandani/</t>
  </si>
  <si>
    <t>Torchit is an Indian social-enterprise that builds affordable, tech-driven assistive devices—like smart canes and AI-powered glasses—to empower people with visual impairments to navigate independently</t>
  </si>
  <si>
    <t>Amravati</t>
  </si>
  <si>
    <t>https://www.truscholar.io/</t>
  </si>
  <si>
    <t>TruScholar enables institutes, universities, EdTechs, academies, and corporates to issue secure digital credentials and badges with ease. Built on blockchain, TruScholar creates tamper-proof certificates that protect institutional credibility while allowing instant global verification. By transforming traditional issuance and verification processes without adding operational complexity, TruScholar eliminates fake credentials and ensures lifelong security of records. A true one-stop solution for institutional digital transformation.</t>
  </si>
  <si>
    <t>https://wadhwanifoundation.sharepoint.com/:b:/s/WadhwaniAccelerate/EacClh3DwlFIlsMiJUY1g8UBzo1rbbbHG-DG5h41XT12nA?e=iNQMoG</t>
  </si>
  <si>
    <t>Mayur</t>
  </si>
  <si>
    <t>94228 55595</t>
  </si>
  <si>
    <t>https://www.tvasta.construction/</t>
  </si>
  <si>
    <t>Provider of 3D printing solutions for construction</t>
  </si>
  <si>
    <t>Construction Tech</t>
  </si>
  <si>
    <t xml:space="preserve">Ahmedabad </t>
  </si>
  <si>
    <t>Consumer Internet</t>
  </si>
  <si>
    <t>https://univia.in/</t>
  </si>
  <si>
    <t>Provider of a phygital agri-input distribution network. This network connects agri-input retailers with farmers, offering efficient sourcing of branded products at competitive prices and customized quantities. The platform optimizes inventory costs and facilitates business growth for retailers through networking opportunities. It also provides farmers with access to quality agri-input products at fair prices and expert consultations on crop management.</t>
  </si>
  <si>
    <t>UNIVIA PITCH DECK.pdf</t>
  </si>
  <si>
    <t>https://www.uravulabs.com/</t>
  </si>
  <si>
    <t>Uravu Labs is a cleantech startup pioneering atmospheric water generation technology that produces 100% renewable water using only air and renewable energy—no groundwater or electricity from the grid.</t>
  </si>
  <si>
    <t>https://docs.google.com/presentation/d/1Rvv7wS3mBP6CUOtd8F9iFNk0q-KrCEZlukeE7nS2SV8/edit?slide=id.g3371b67b069_3_87#slide=id.g3371b67b069_3_87</t>
  </si>
  <si>
    <t>https://www.borecharger.com/</t>
  </si>
  <si>
    <t>Urdhvam develops robotics- and IoT-driven systems like BoreCharger to recharge low-yield borewells, reviving groundwater in rural and urban areas. With 3,500+ installations across India and West Africa, it recharges billions of liters of water annually.</t>
  </si>
  <si>
    <t>https://www.vaultastic.com/</t>
  </si>
  <si>
    <t>Vaultastic is a cloud-based data archiving and governance platform by Mithi Software Technologies. It helps businesses securely store, manage, and search large volumes of email and unstructured data from tools like Microsoft 365, Google Workspace, Salesforce, and more. Built on AWS, it supports compliance, eDiscovery, and cost-effective long-term storage with a tiered model (Active, Open, Deep, and Live Stores). With pay-as-you-go pricing, Vaultastic is ideal for organizations seeking secure, scalable, and regulation-ready data retention without heavy infrastructure.</t>
  </si>
  <si>
    <t>Cloud Security</t>
  </si>
  <si>
    <t>https://wadhwanifoundation.sharepoint.com/:p:/s/WadhwaniAccelerate/EbvWpPHhAY5Lg96mBZWj9nsB95LHUMiWHo3-HUTnCtof0Q?e=PLa9XE</t>
  </si>
  <si>
    <t>https://www.vedsanjeevani.com/?country=IN</t>
  </si>
  <si>
    <t>Ved Sanjeevani is rooted in the timeless wisdom of Ayurveda, offering natural, side-effect-free solutions for modern health challenges. Through the unique oils, it works from the body’s core energy center to restore balance and promote holistic well-being. Each formulation is enriched with pure, Ayurvedic ingredients that strengthen immunity, support skin and hair health, relieve pain, and enhance vitality. With a focus on harmony between mind, body, and spirit, Ved Sanjeevani brings you safe, effective, and trustworthy care for everyday wellness.</t>
  </si>
  <si>
    <t>Ayurvedic D2C Product</t>
  </si>
  <si>
    <t>Ved Sanjeevani - September 2025 (4).pdf</t>
  </si>
  <si>
    <t>Real-time Communications</t>
  </si>
  <si>
    <t>https://www.videosdk.live/</t>
  </si>
  <si>
    <t>VideoSDK provides developers end-to-end APIs and SDKs to embed real-time audio/video, live streaming, transcription, and speech AI in web and mobile apps. Trusted by 300+ clients globally, featuring compliance standards like AES-256, HIPAA, GDPR, ISO, and SOC‑2.</t>
  </si>
  <si>
    <t>https://voldenergy.in/</t>
  </si>
  <si>
    <t>Vold Energy Drink is a sugar-free, mixed fruit drink that contains natural caffeine, glucose, and vitamins. It’s designed to revitalize the body and mind, and can be consumed at work, during lectures, while gaming, or when going out. Vold Energy Drink also contains no artificial flavors.</t>
  </si>
  <si>
    <t>Food</t>
  </si>
  <si>
    <t>Devesh Bochare</t>
  </si>
  <si>
    <t>voldenergydrink@gmail.com</t>
  </si>
  <si>
    <t>https://wacto.in/</t>
  </si>
  <si>
    <t>Wacto is a WhatsApp automation tool and AI conversation platform. It allows businesses to manage leads, automate customer interactions, and improve sales through chatbots and multichannel conversation management.</t>
  </si>
  <si>
    <t>https://www.wegot.in/</t>
  </si>
  <si>
    <t>Provider of IoT-enabled smart water metering systems</t>
  </si>
  <si>
    <t>Vijay Krishna</t>
  </si>
  <si>
    <t>vijay@wegot.in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</si>
</sst>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409]dd/mmm/yy;@"/>
    <numFmt numFmtId="166" formatCode="mmm/yyyy"/>
    <numFmt numFmtId="167" formatCode="yyyy\-mm\-dd\ hh:mm:ss"/>
  </numFmts>
  <fonts count="62"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11"/>
      <color theme="1"/>
      <name val="Aptos Display"/>
      <family val="2"/>
      <scheme val="major"/>
    </font>
    <font>
      <u/>
      <sz val="11"/>
      <color theme="10"/>
      <name val="Aptos Display"/>
      <family val="2"/>
      <scheme val="major"/>
    </font>
    <font>
      <sz val="11"/>
      <color rgb="FF000000"/>
      <name val="Aptos Display"/>
      <family val="2"/>
      <scheme val="major"/>
    </font>
    <font>
      <sz val="11"/>
      <name val="Aptos Display"/>
      <family val="2"/>
      <scheme val="major"/>
    </font>
    <font>
      <u/>
      <sz val="10"/>
      <color theme="10"/>
      <name val="Aptos Display"/>
      <family val="2"/>
      <scheme val="major"/>
    </font>
    <font>
      <sz val="10"/>
      <color theme="1"/>
      <name val="Aptos Display"/>
      <family val="2"/>
      <scheme val="major"/>
    </font>
    <font>
      <sz val="11"/>
      <color rgb="FF595959"/>
      <name val="Aptos Display"/>
      <family val="2"/>
      <scheme val="major"/>
    </font>
    <font>
      <b/>
      <sz val="11"/>
      <color rgb="FF000000"/>
      <name val="Aptos Display"/>
      <family val="2"/>
      <scheme val="major"/>
    </font>
    <font>
      <sz val="11"/>
      <color rgb="FF000000"/>
      <name val="Aptos Narrow"/>
      <family val="2"/>
    </font>
    <font>
      <sz val="11"/>
      <color theme="1"/>
      <name val="Aptos Narrow"/>
      <family val="2"/>
      <scheme val="minor"/>
    </font>
    <font>
      <b/>
      <sz val="11"/>
      <color rgb="FF000000"/>
      <name val="Aptos Narrow"/>
      <family val="2"/>
      <scheme val="minor"/>
    </font>
    <font>
      <sz val="10"/>
      <color theme="1"/>
      <name val="Aptos Narrow"/>
      <family val="2"/>
      <scheme val="minor"/>
    </font>
    <font>
      <u/>
      <sz val="10"/>
      <color theme="10"/>
      <name val="Aptos Narrow"/>
      <family val="2"/>
      <scheme val="minor"/>
    </font>
    <font>
      <sz val="11"/>
      <color rgb="FF000000"/>
      <name val="Calibri"/>
      <family val="2"/>
    </font>
    <font>
      <sz val="10"/>
      <color rgb="FF000000"/>
      <name val="Calibri"/>
      <family val="2"/>
    </font>
    <font>
      <b/>
      <sz val="11"/>
      <color theme="1"/>
      <name val="Aptos Display"/>
      <family val="2"/>
      <scheme val="major"/>
    </font>
    <font>
      <sz val="11"/>
      <color theme="1"/>
      <name val="Aptos Display"/>
      <family val="2"/>
      <scheme val="major"/>
    </font>
    <font>
      <b/>
      <sz val="11"/>
      <color theme="0"/>
      <name val="Aptos Narrow"/>
      <family val="2"/>
      <scheme val="minor"/>
    </font>
    <font>
      <sz val="11"/>
      <color theme="1"/>
      <name val="Aptos Display"/>
      <family val="2"/>
    </font>
    <font>
      <b/>
      <sz val="11"/>
      <color theme="1"/>
      <name val="Aptos Display"/>
      <family val="2"/>
    </font>
    <font>
      <b/>
      <sz val="11"/>
      <color theme="0"/>
      <name val="Aptos Display"/>
      <family val="2"/>
    </font>
    <font>
      <b/>
      <sz val="11"/>
      <color theme="0"/>
      <name val="Aptos Display"/>
      <family val="2"/>
      <scheme val="major"/>
    </font>
    <font>
      <sz val="11"/>
      <color theme="0"/>
      <name val="Aptos"/>
      <family val="2"/>
    </font>
    <font>
      <sz val="11"/>
      <color theme="1"/>
      <name val="Aptos"/>
      <family val="2"/>
    </font>
    <font>
      <sz val="11"/>
      <name val="Aptos"/>
      <family val="2"/>
    </font>
    <font>
      <sz val="11"/>
      <color rgb="FF000000"/>
      <name val="Aptos"/>
      <family val="2"/>
    </font>
    <font>
      <u/>
      <sz val="11"/>
      <color theme="10"/>
      <name val="Aptos"/>
      <family val="2"/>
    </font>
    <font>
      <sz val="11"/>
      <color theme="1"/>
      <name val="Times New Roman"/>
      <family val="1"/>
    </font>
    <font>
      <b/>
      <sz val="11"/>
      <color theme="1"/>
      <name val="Aptos"/>
      <family val="2"/>
    </font>
    <font>
      <sz val="11"/>
      <color theme="1"/>
      <name val="Aptos Display"/>
      <family val="2"/>
      <scheme val="major"/>
    </font>
    <font>
      <sz val="11"/>
      <name val="Aptos"/>
      <family val="2"/>
    </font>
    <font>
      <sz val="9"/>
      <color indexed="81"/>
      <name val="Tahoma"/>
      <family val="2"/>
    </font>
    <font>
      <b/>
      <sz val="9"/>
      <color indexed="81"/>
      <name val="Tahoma"/>
      <family val="2"/>
    </font>
    <font>
      <b/>
      <i/>
      <sz val="9"/>
      <color indexed="81"/>
      <name val="Tahoma"/>
      <family val="2"/>
    </font>
    <font>
      <b/>
      <sz val="11"/>
      <color theme="5" tint="-0.249977111117893"/>
      <name val="Aptos Narrow"/>
      <family val="2"/>
      <scheme val="minor"/>
    </font>
    <font>
      <sz val="11"/>
      <color theme="5" tint="-0.249977111117893"/>
      <name val="Aptos Narrow"/>
      <family val="2"/>
      <scheme val="minor"/>
    </font>
    <font>
      <sz val="11"/>
      <color theme="0" tint="-0.249977111117893"/>
      <name val="Aptos Narrow"/>
      <family val="2"/>
      <scheme val="minor"/>
    </font>
    <font>
      <sz val="11"/>
      <color rgb="FF000000"/>
      <name val="Aptos Narrow"/>
      <family val="2"/>
      <charset val="1"/>
    </font>
    <font>
      <sz val="11"/>
      <color rgb="FF595959"/>
      <name val="Calibri"/>
      <family val="2"/>
    </font>
    <font>
      <sz val="11"/>
      <color rgb="FF595959"/>
      <name val="Aptos Narrow"/>
      <family val="2"/>
      <scheme val="minor"/>
    </font>
    <font>
      <u/>
      <sz val="11"/>
      <color rgb="FF0000FF"/>
      <name val="Aptos Narrow"/>
      <family val="2"/>
      <scheme val="minor"/>
    </font>
    <font>
      <u/>
      <sz val="11"/>
      <color theme="1"/>
      <name val="Aptos Display"/>
      <family val="2"/>
      <scheme val="major"/>
    </font>
    <font>
      <sz val="10"/>
      <color rgb="FF242424"/>
      <name val="Aptos Narrow"/>
      <family val="2"/>
    </font>
    <font>
      <b/>
      <sz val="11"/>
      <color rgb="FF000000"/>
      <name val="Aptos Narrow"/>
      <family val="2"/>
    </font>
    <font>
      <b/>
      <sz val="11"/>
      <color rgb="FFFF0000"/>
      <name val="Aptos Narrow"/>
      <family val="2"/>
      <scheme val="minor"/>
    </font>
    <font>
      <sz val="10"/>
      <color rgb="FF000000"/>
      <name val="Aptos Display"/>
      <family val="2"/>
      <scheme val="major"/>
    </font>
    <font>
      <sz val="9"/>
      <color rgb="FF595959"/>
      <name val="Aptos Display"/>
      <family val="2"/>
      <scheme val="major"/>
    </font>
    <font>
      <sz val="10"/>
      <color rgb="FF595959"/>
      <name val="Aptos Display"/>
      <family val="2"/>
      <scheme val="major"/>
    </font>
    <font>
      <sz val="9"/>
      <color theme="1" tint="0.34998626667073579"/>
      <name val="Aptos Display"/>
      <family val="2"/>
      <scheme val="major"/>
    </font>
    <font>
      <sz val="11"/>
      <color rgb="FF242424"/>
      <name val="Aptos Display"/>
      <family val="2"/>
      <scheme val="major"/>
    </font>
    <font>
      <sz val="10"/>
      <color rgb="FF293348"/>
      <name val="Aptos Display"/>
      <family val="2"/>
      <scheme val="major"/>
    </font>
    <font>
      <u/>
      <sz val="11"/>
      <color rgb="FF0000FF"/>
      <name val="Aptos Display"/>
      <family val="2"/>
      <scheme val="major"/>
    </font>
    <font>
      <u/>
      <sz val="11"/>
      <color rgb="FF1155CC"/>
      <name val="Aptos Display"/>
      <family val="2"/>
      <scheme val="major"/>
    </font>
    <font>
      <sz val="12"/>
      <color theme="1"/>
      <name val="Aptos Display"/>
      <family val="2"/>
      <scheme val="major"/>
    </font>
    <font>
      <b/>
      <sz val="11"/>
      <color rgb="FF000000"/>
      <name val="Calibri"/>
      <family val="2"/>
    </font>
    <font>
      <sz val="9"/>
      <color theme="1"/>
      <name val="Aptos Display"/>
      <family val="2"/>
      <scheme val="major"/>
    </font>
  </fonts>
  <fills count="13">
    <fill>
      <patternFill patternType="none"/>
    </fill>
    <fill>
      <patternFill patternType="gray125"/>
    </fill>
    <fill>
      <patternFill patternType="solid">
        <fgColor theme="0"/>
        <bgColor indexed="64"/>
      </patternFill>
    </fill>
    <fill>
      <patternFill patternType="solid">
        <fgColor theme="4"/>
        <bgColor theme="4"/>
      </patternFill>
    </fill>
    <fill>
      <patternFill patternType="solid">
        <fgColor theme="4"/>
        <bgColor indexed="64"/>
      </patternFill>
    </fill>
    <fill>
      <patternFill patternType="solid">
        <fgColor rgb="FFFFFF00"/>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rgb="FFFFFFCC"/>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tint="-0.14999847407452621"/>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theme="4"/>
      </top>
      <bottom/>
      <diagonal/>
    </border>
    <border>
      <left style="thin">
        <color rgb="FFA6A6A6"/>
      </left>
      <right style="thin">
        <color rgb="FFA6A6A6"/>
      </right>
      <top/>
      <bottom/>
      <diagonal/>
    </border>
    <border>
      <left style="thin">
        <color theme="6"/>
      </left>
      <right/>
      <top style="thin">
        <color theme="6"/>
      </top>
      <bottom style="thin">
        <color theme="6"/>
      </bottom>
      <diagonal/>
    </border>
    <border>
      <left style="thin">
        <color rgb="FF000000"/>
      </left>
      <right style="thin">
        <color rgb="FF000000"/>
      </right>
      <top style="thin">
        <color theme="4"/>
      </top>
      <bottom style="thin">
        <color rgb="FF000000"/>
      </bottom>
      <diagonal/>
    </border>
    <border>
      <left/>
      <right style="thin">
        <color rgb="FF000000"/>
      </right>
      <top style="thin">
        <color theme="4"/>
      </top>
      <bottom style="thin">
        <color rgb="FF000000"/>
      </bottom>
      <diagonal/>
    </border>
    <border>
      <left style="thin">
        <color rgb="FF000000"/>
      </left>
      <right style="thin">
        <color rgb="FF000000"/>
      </right>
      <top style="thin">
        <color theme="4"/>
      </top>
      <bottom style="thin">
        <color theme="4"/>
      </bottom>
      <diagonal/>
    </border>
    <border>
      <left style="thin">
        <color rgb="FF000000"/>
      </left>
      <right style="thin">
        <color rgb="FF000000"/>
      </right>
      <top style="thin">
        <color rgb="FF000000"/>
      </top>
      <bottom style="thin">
        <color theme="4"/>
      </bottom>
      <diagonal/>
    </border>
    <border>
      <left style="thin">
        <color rgb="FF000000"/>
      </left>
      <right style="thin">
        <color rgb="FF000000"/>
      </right>
      <top style="thin">
        <color rgb="FFCCCCCC"/>
      </top>
      <bottom style="thin">
        <color rgb="FF000000"/>
      </bottom>
      <diagonal/>
    </border>
    <border>
      <left style="thin">
        <color rgb="FFA6A6A6"/>
      </left>
      <right style="thin">
        <color rgb="FFA6A6A6"/>
      </right>
      <top/>
      <bottom style="thin">
        <color rgb="FFA6A6A6"/>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theme="4"/>
      </bottom>
      <diagonal/>
    </border>
    <border>
      <left/>
      <right style="thin">
        <color rgb="FF000000"/>
      </right>
      <top/>
      <bottom style="thin">
        <color rgb="FF000000"/>
      </bottom>
      <diagonal/>
    </border>
    <border>
      <left style="thin">
        <color theme="4"/>
      </left>
      <right/>
      <top/>
      <bottom style="thin">
        <color theme="4"/>
      </bottom>
      <diagonal/>
    </border>
    <border>
      <left/>
      <right style="thin">
        <color theme="2" tint="-9.9978637043366805E-2"/>
      </right>
      <top/>
      <bottom style="thin">
        <color theme="2" tint="-9.9978637043366805E-2"/>
      </bottom>
      <diagonal/>
    </border>
    <border>
      <left/>
      <right/>
      <top style="thin">
        <color rgb="FF000000"/>
      </top>
      <bottom/>
      <diagonal/>
    </border>
    <border>
      <left style="thin">
        <color rgb="FF000000"/>
      </left>
      <right/>
      <top style="thin">
        <color theme="4"/>
      </top>
      <bottom style="thin">
        <color theme="4"/>
      </bottom>
      <diagonal/>
    </border>
    <border>
      <left style="thin">
        <color rgb="FF000000"/>
      </left>
      <right/>
      <top style="thin">
        <color theme="4"/>
      </top>
      <bottom/>
      <diagonal/>
    </border>
  </borders>
  <cellStyleXfs count="3">
    <xf numFmtId="0" fontId="0" fillId="0" borderId="0"/>
    <xf numFmtId="0" fontId="3" fillId="0" borderId="0" applyNumberFormat="0" applyFill="0" applyBorder="0" applyAlignment="0" applyProtection="0"/>
    <xf numFmtId="9" fontId="15" fillId="0" borderId="0" applyFont="0" applyFill="0" applyBorder="0" applyAlignment="0" applyProtection="0"/>
  </cellStyleXfs>
  <cellXfs count="698">
    <xf numFmtId="0" fontId="0" fillId="0" borderId="0" xfId="0"/>
    <xf numFmtId="17"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horizontal="left" vertical="top"/>
    </xf>
    <xf numFmtId="0" fontId="0" fillId="0" borderId="1" xfId="0" applyBorder="1" applyAlignment="1">
      <alignment horizontal="left" vertical="center"/>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0" fontId="0" fillId="0" borderId="0" xfId="0" applyAlignment="1">
      <alignment horizontal="left"/>
    </xf>
    <xf numFmtId="0" fontId="0" fillId="0" borderId="0" xfId="0" applyAlignment="1">
      <alignment horizontal="center" vertical="top"/>
    </xf>
    <xf numFmtId="0" fontId="0" fillId="0" borderId="0" xfId="0" applyAlignment="1">
      <alignment vertical="top"/>
    </xf>
    <xf numFmtId="0" fontId="0" fillId="0" borderId="0" xfId="0" applyAlignment="1">
      <alignment horizontal="center"/>
    </xf>
    <xf numFmtId="0" fontId="2" fillId="0" borderId="0" xfId="0" applyFont="1" applyAlignment="1">
      <alignment horizontal="center" vertical="center"/>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1" applyFont="1" applyFill="1" applyBorder="1" applyAlignment="1">
      <alignment horizontal="center" vertical="center" wrapText="1"/>
    </xf>
    <xf numFmtId="0" fontId="8" fillId="2" borderId="1" xfId="0" applyFont="1" applyFill="1" applyBorder="1" applyAlignment="1">
      <alignment horizontal="left" vertical="center" wrapText="1"/>
    </xf>
    <xf numFmtId="0" fontId="0" fillId="0" borderId="1" xfId="0" applyBorder="1" applyAlignment="1">
      <alignment horizontal="left" vertical="top"/>
    </xf>
    <xf numFmtId="0" fontId="0" fillId="0" borderId="2" xfId="0" applyBorder="1" applyAlignment="1">
      <alignment horizontal="center" vertical="center"/>
    </xf>
    <xf numFmtId="0" fontId="0" fillId="0" borderId="2" xfId="0" applyBorder="1" applyAlignment="1">
      <alignment horizontal="left" vertical="top" wrapText="1"/>
    </xf>
    <xf numFmtId="0" fontId="3" fillId="0" borderId="1" xfId="1"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3" fillId="0" borderId="2" xfId="1" applyBorder="1" applyAlignment="1">
      <alignment horizontal="center" vertical="center" wrapText="1"/>
    </xf>
    <xf numFmtId="0" fontId="3" fillId="0" borderId="4" xfId="1" applyBorder="1" applyAlignment="1">
      <alignment horizontal="center" vertical="center" wrapText="1"/>
    </xf>
    <xf numFmtId="0" fontId="0" fillId="0" borderId="4" xfId="0" applyBorder="1" applyAlignment="1">
      <alignment horizontal="center" vertical="center" wrapText="1"/>
    </xf>
    <xf numFmtId="0" fontId="1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0" xfId="0" applyAlignment="1">
      <alignment horizontal="center" vertical="center"/>
    </xf>
    <xf numFmtId="0" fontId="3" fillId="0" borderId="7" xfId="1" applyBorder="1" applyAlignment="1">
      <alignment horizontal="center" vertical="center" wrapText="1"/>
    </xf>
    <xf numFmtId="17" fontId="0" fillId="0" borderId="7" xfId="0" applyNumberFormat="1" applyBorder="1" applyAlignment="1">
      <alignment horizontal="center" vertical="center" wrapText="1"/>
    </xf>
    <xf numFmtId="15" fontId="0" fillId="0" borderId="2" xfId="0" applyNumberFormat="1" applyBorder="1" applyAlignment="1">
      <alignment horizontal="center" vertical="center" wrapText="1"/>
    </xf>
    <xf numFmtId="0" fontId="0" fillId="0" borderId="7" xfId="0" applyBorder="1" applyAlignment="1">
      <alignment horizontal="center" vertical="center"/>
    </xf>
    <xf numFmtId="0" fontId="8" fillId="0" borderId="1" xfId="0" applyFont="1" applyBorder="1" applyAlignment="1">
      <alignment vertical="top" wrapText="1"/>
    </xf>
    <xf numFmtId="0" fontId="0" fillId="0" borderId="2" xfId="0" applyBorder="1" applyAlignment="1">
      <alignment horizontal="left" vertical="center" wrapText="1"/>
    </xf>
    <xf numFmtId="0" fontId="0" fillId="0" borderId="2" xfId="0" applyBorder="1" applyAlignment="1">
      <alignment vertical="center" wrapText="1"/>
    </xf>
    <xf numFmtId="0" fontId="0" fillId="0" borderId="2" xfId="0" applyBorder="1" applyAlignment="1">
      <alignment horizontal="center" vertical="top" wrapText="1"/>
    </xf>
    <xf numFmtId="0" fontId="0" fillId="0" borderId="0" xfId="0" applyAlignment="1">
      <alignment wrapText="1"/>
    </xf>
    <xf numFmtId="0" fontId="15" fillId="0" borderId="1" xfId="0" applyFont="1" applyBorder="1" applyAlignment="1">
      <alignment horizontal="left" vertical="center" wrapText="1"/>
    </xf>
    <xf numFmtId="0" fontId="0" fillId="0" borderId="4" xfId="0" applyBorder="1" applyAlignment="1">
      <alignment horizontal="left" vertical="center" wrapText="1"/>
    </xf>
    <xf numFmtId="0" fontId="14" fillId="0" borderId="0" xfId="0" applyFont="1"/>
    <xf numFmtId="15" fontId="0" fillId="0" borderId="1" xfId="0" applyNumberFormat="1" applyBorder="1" applyAlignment="1">
      <alignment horizontal="center" vertical="center" wrapText="1"/>
    </xf>
    <xf numFmtId="0" fontId="15"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xf numFmtId="15" fontId="0" fillId="0" borderId="4" xfId="0" applyNumberFormat="1" applyBorder="1" applyAlignment="1">
      <alignment horizontal="center" vertical="center" wrapText="1"/>
    </xf>
    <xf numFmtId="0" fontId="0" fillId="0" borderId="0" xfId="0" applyAlignment="1">
      <alignment vertical="top" wrapText="1"/>
    </xf>
    <xf numFmtId="0" fontId="0" fillId="0" borderId="4" xfId="0" applyBorder="1" applyAlignment="1">
      <alignment vertical="center" wrapText="1"/>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3" fillId="0" borderId="1" xfId="1" applyBorder="1" applyAlignment="1">
      <alignment horizontal="left" vertical="center" wrapText="1"/>
    </xf>
    <xf numFmtId="0" fontId="0" fillId="0" borderId="0" xfId="0" applyAlignment="1">
      <alignment horizontal="center" wrapText="1"/>
    </xf>
    <xf numFmtId="0" fontId="24" fillId="0" borderId="1" xfId="0" applyFont="1" applyBorder="1" applyAlignment="1">
      <alignment horizontal="center" vertical="center" wrapText="1"/>
    </xf>
    <xf numFmtId="0" fontId="23" fillId="3" borderId="4" xfId="0" applyFont="1" applyFill="1" applyBorder="1" applyAlignment="1">
      <alignment horizontal="center" vertical="center"/>
    </xf>
    <xf numFmtId="0" fontId="23" fillId="3" borderId="5" xfId="0" applyFont="1" applyFill="1" applyBorder="1" applyAlignment="1">
      <alignment horizontal="center" vertical="center"/>
    </xf>
    <xf numFmtId="0" fontId="23" fillId="3" borderId="5" xfId="0" applyFont="1" applyFill="1" applyBorder="1" applyAlignment="1">
      <alignment horizontal="center" vertical="top"/>
    </xf>
    <xf numFmtId="0" fontId="23" fillId="3" borderId="11" xfId="0" applyFont="1" applyFill="1" applyBorder="1" applyAlignment="1">
      <alignment vertical="center"/>
    </xf>
    <xf numFmtId="0" fontId="14" fillId="0" borderId="1" xfId="0" applyFont="1" applyBorder="1"/>
    <xf numFmtId="0" fontId="23" fillId="3" borderId="0" xfId="0" applyFont="1" applyFill="1" applyAlignment="1">
      <alignment horizontal="center" vertical="center"/>
    </xf>
    <xf numFmtId="0" fontId="23" fillId="3" borderId="0" xfId="0" applyFont="1" applyFill="1" applyAlignment="1">
      <alignment horizontal="center" vertical="center" wrapText="1"/>
    </xf>
    <xf numFmtId="0" fontId="24" fillId="0" borderId="0" xfId="0" applyFont="1"/>
    <xf numFmtId="166" fontId="24" fillId="0" borderId="1" xfId="0" applyNumberFormat="1" applyFont="1" applyBorder="1" applyAlignment="1">
      <alignment horizontal="center" vertical="center" wrapText="1"/>
    </xf>
    <xf numFmtId="0" fontId="24" fillId="0" borderId="1" xfId="0" applyFont="1" applyBorder="1" applyAlignment="1">
      <alignment horizontal="center" vertical="top" wrapText="1"/>
    </xf>
    <xf numFmtId="0" fontId="25" fillId="0" borderId="1" xfId="0" applyFont="1" applyBorder="1" applyAlignment="1">
      <alignment horizontal="center" vertical="center" wrapText="1"/>
    </xf>
    <xf numFmtId="0" fontId="26" fillId="4" borderId="2" xfId="0" applyFont="1" applyFill="1" applyBorder="1" applyAlignment="1">
      <alignment horizontal="center" vertical="center" wrapText="1"/>
    </xf>
    <xf numFmtId="0" fontId="23" fillId="4" borderId="5" xfId="0" applyFont="1" applyFill="1" applyBorder="1" applyAlignment="1">
      <alignment horizontal="center" vertical="top" wrapText="1"/>
    </xf>
    <xf numFmtId="0" fontId="23" fillId="4" borderId="5" xfId="0" applyFont="1" applyFill="1" applyBorder="1" applyAlignment="1">
      <alignment horizontal="center" vertical="center" wrapText="1"/>
    </xf>
    <xf numFmtId="0" fontId="0" fillId="0" borderId="2" xfId="0" applyBorder="1" applyAlignment="1">
      <alignment vertical="top" wrapText="1"/>
    </xf>
    <xf numFmtId="0" fontId="0" fillId="0" borderId="1" xfId="0" applyBorder="1" applyAlignment="1">
      <alignment vertical="top" wrapText="1"/>
    </xf>
    <xf numFmtId="17" fontId="0" fillId="0" borderId="0" xfId="0" applyNumberFormat="1"/>
    <xf numFmtId="9" fontId="0" fillId="0" borderId="0" xfId="2" applyFont="1"/>
    <xf numFmtId="0" fontId="23" fillId="4" borderId="0" xfId="0" applyFont="1" applyFill="1" applyAlignment="1">
      <alignment horizontal="center" vertical="center" wrapText="1"/>
    </xf>
    <xf numFmtId="0" fontId="22" fillId="0" borderId="0" xfId="0" applyFont="1" applyAlignment="1">
      <alignment horizontal="center" vertical="center" wrapText="1"/>
    </xf>
    <xf numFmtId="0" fontId="4" fillId="0" borderId="0" xfId="0" applyFont="1"/>
    <xf numFmtId="0" fontId="27" fillId="0" borderId="0" xfId="0" applyFont="1" applyAlignment="1">
      <alignment horizontal="center" vertical="center" wrapText="1"/>
    </xf>
    <xf numFmtId="0" fontId="27" fillId="0" borderId="0" xfId="0" applyFont="1" applyAlignment="1">
      <alignment horizontal="center" vertical="center"/>
    </xf>
    <xf numFmtId="0" fontId="28" fillId="0" borderId="13" xfId="0" applyFont="1" applyBorder="1"/>
    <xf numFmtId="0" fontId="28" fillId="0" borderId="13" xfId="0" applyFont="1" applyBorder="1" applyAlignment="1">
      <alignment horizontal="left"/>
    </xf>
    <xf numFmtId="0" fontId="28" fillId="6" borderId="13" xfId="0" applyFont="1" applyFill="1" applyBorder="1" applyAlignment="1">
      <alignment horizontal="center"/>
    </xf>
    <xf numFmtId="0" fontId="28" fillId="0" borderId="0" xfId="0" applyFont="1"/>
    <xf numFmtId="1" fontId="29" fillId="0" borderId="1" xfId="0" applyNumberFormat="1" applyFont="1" applyBorder="1" applyAlignment="1">
      <alignment horizontal="center" vertical="center" wrapText="1"/>
    </xf>
    <xf numFmtId="0" fontId="29" fillId="0" borderId="1" xfId="0" applyFont="1" applyBorder="1" applyAlignment="1">
      <alignment horizontal="center" vertical="center" wrapText="1"/>
    </xf>
    <xf numFmtId="167" fontId="29" fillId="0" borderId="1" xfId="0" applyNumberFormat="1" applyFont="1" applyBorder="1" applyAlignment="1">
      <alignment horizontal="center" vertical="center" wrapText="1"/>
    </xf>
    <xf numFmtId="0" fontId="30" fillId="0" borderId="1" xfId="0" applyFont="1" applyBorder="1" applyAlignment="1">
      <alignment horizontal="center" vertical="top" wrapText="1"/>
    </xf>
    <xf numFmtId="2" fontId="30" fillId="0" borderId="7" xfId="0" applyNumberFormat="1" applyFont="1" applyBorder="1" applyAlignment="1">
      <alignment horizontal="center" vertical="center" wrapText="1"/>
    </xf>
    <xf numFmtId="0" fontId="30" fillId="0" borderId="7" xfId="0" applyFont="1" applyBorder="1" applyAlignment="1">
      <alignment horizontal="center" vertical="center" wrapText="1"/>
    </xf>
    <xf numFmtId="0" fontId="30" fillId="0" borderId="7" xfId="0" applyFont="1" applyBorder="1" applyAlignment="1">
      <alignment horizontal="left" vertical="center" wrapText="1"/>
    </xf>
    <xf numFmtId="0" fontId="30" fillId="0" borderId="0" xfId="0" applyFont="1"/>
    <xf numFmtId="2" fontId="30" fillId="0" borderId="1" xfId="0" applyNumberFormat="1" applyFont="1" applyBorder="1" applyAlignment="1">
      <alignment horizontal="center" vertical="center" wrapText="1"/>
    </xf>
    <xf numFmtId="0" fontId="30" fillId="0" borderId="1" xfId="0" applyFont="1" applyBorder="1" applyAlignment="1">
      <alignment horizontal="center" vertical="center" wrapText="1"/>
    </xf>
    <xf numFmtId="0" fontId="30" fillId="0" borderId="1" xfId="0" applyFont="1" applyBorder="1" applyAlignment="1">
      <alignment horizontal="left" vertical="center" wrapText="1"/>
    </xf>
    <xf numFmtId="11" fontId="30" fillId="0" borderId="1" xfId="0" applyNumberFormat="1" applyFont="1" applyBorder="1" applyAlignment="1">
      <alignment horizontal="center" vertical="center" wrapText="1"/>
    </xf>
    <xf numFmtId="0" fontId="29" fillId="0" borderId="1" xfId="0" applyFont="1" applyBorder="1" applyAlignment="1">
      <alignment horizontal="left" vertical="top" wrapText="1"/>
    </xf>
    <xf numFmtId="0" fontId="29" fillId="0" borderId="14" xfId="0" applyFont="1" applyBorder="1" applyAlignment="1">
      <alignment horizontal="left"/>
    </xf>
    <xf numFmtId="0" fontId="29" fillId="0" borderId="2" xfId="0" applyFont="1" applyBorder="1" applyAlignment="1">
      <alignment vertical="top" wrapText="1"/>
    </xf>
    <xf numFmtId="0" fontId="29" fillId="0" borderId="1" xfId="0" applyFont="1" applyBorder="1" applyAlignment="1">
      <alignment vertical="top" wrapText="1"/>
    </xf>
    <xf numFmtId="0" fontId="29" fillId="0" borderId="14" xfId="0" applyFont="1" applyBorder="1"/>
    <xf numFmtId="0" fontId="32" fillId="0" borderId="1" xfId="1" applyFont="1" applyBorder="1" applyAlignment="1">
      <alignment horizontal="center" vertical="center" wrapText="1"/>
    </xf>
    <xf numFmtId="0" fontId="29" fillId="0" borderId="8" xfId="0" applyFont="1" applyBorder="1" applyAlignment="1">
      <alignment vertical="center"/>
    </xf>
    <xf numFmtId="0" fontId="29" fillId="0" borderId="1" xfId="0" applyFont="1" applyBorder="1" applyAlignment="1">
      <alignment vertical="center"/>
    </xf>
    <xf numFmtId="0" fontId="29" fillId="0" borderId="1" xfId="0" applyFont="1" applyBorder="1" applyAlignment="1">
      <alignment vertical="center" wrapText="1"/>
    </xf>
    <xf numFmtId="0" fontId="30" fillId="0" borderId="1" xfId="0" applyFont="1" applyBorder="1" applyAlignment="1">
      <alignment horizontal="left" vertical="top" wrapText="1"/>
    </xf>
    <xf numFmtId="0" fontId="30" fillId="0" borderId="1" xfId="0" applyFont="1" applyBorder="1" applyAlignment="1">
      <alignment vertical="top" wrapText="1"/>
    </xf>
    <xf numFmtId="0" fontId="30" fillId="0" borderId="0" xfId="0" applyFont="1" applyAlignment="1">
      <alignment horizontal="left"/>
    </xf>
    <xf numFmtId="0" fontId="30" fillId="0" borderId="0" xfId="0" applyFont="1" applyAlignment="1">
      <alignment horizontal="center" vertical="top"/>
    </xf>
    <xf numFmtId="0" fontId="0" fillId="0" borderId="15" xfId="0" applyBorder="1" applyAlignment="1">
      <alignment horizontal="center" vertical="center"/>
    </xf>
    <xf numFmtId="1"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167" fontId="9"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9" fillId="0" borderId="1" xfId="0" applyFont="1" applyBorder="1" applyAlignment="1">
      <alignment horizontal="center" vertical="center" readingOrder="1"/>
    </xf>
    <xf numFmtId="0" fontId="9" fillId="0" borderId="1" xfId="0" applyFont="1" applyBorder="1" applyAlignment="1">
      <alignment horizontal="center" vertical="center"/>
    </xf>
    <xf numFmtId="0" fontId="9" fillId="0" borderId="1" xfId="0" applyFont="1" applyBorder="1" applyAlignment="1">
      <alignment horizontal="center" vertical="center" wrapText="1" readingOrder="1"/>
    </xf>
    <xf numFmtId="0" fontId="14" fillId="0" borderId="12" xfId="0" applyFont="1" applyBorder="1" applyAlignment="1">
      <alignment horizontal="center" vertical="center" wrapText="1"/>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8" xfId="0" applyBorder="1" applyAlignment="1">
      <alignment horizontal="center" vertical="center"/>
    </xf>
    <xf numFmtId="0" fontId="0" fillId="0" borderId="17" xfId="0" applyBorder="1" applyAlignment="1">
      <alignment horizontal="center" vertical="center"/>
    </xf>
    <xf numFmtId="0" fontId="2" fillId="0" borderId="15" xfId="0" applyFont="1"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wrapText="1"/>
    </xf>
    <xf numFmtId="0" fontId="24" fillId="0" borderId="1" xfId="0" quotePrefix="1" applyFont="1" applyBorder="1" applyAlignment="1">
      <alignment horizontal="center" vertical="top" wrapText="1"/>
    </xf>
    <xf numFmtId="0" fontId="30" fillId="0" borderId="7" xfId="0" applyFont="1" applyBorder="1" applyAlignment="1">
      <alignment horizontal="left" vertical="top" wrapText="1"/>
    </xf>
    <xf numFmtId="1" fontId="30" fillId="0" borderId="7" xfId="0" applyNumberFormat="1" applyFont="1" applyBorder="1" applyAlignment="1">
      <alignment horizontal="center" vertical="center" wrapText="1"/>
    </xf>
    <xf numFmtId="1" fontId="30" fillId="0" borderId="1" xfId="0" applyNumberFormat="1" applyFont="1" applyBorder="1" applyAlignment="1">
      <alignment horizontal="center" vertical="center" wrapText="1"/>
    </xf>
    <xf numFmtId="0" fontId="30" fillId="0" borderId="8" xfId="0" applyFont="1" applyBorder="1" applyAlignment="1">
      <alignment horizontal="left" vertical="top" wrapText="1"/>
    </xf>
    <xf numFmtId="1" fontId="0" fillId="0" borderId="1" xfId="0" applyNumberFormat="1" applyBorder="1" applyAlignment="1">
      <alignment horizontal="center" vertical="center"/>
    </xf>
    <xf numFmtId="167" fontId="0" fillId="0" borderId="1" xfId="0" applyNumberFormat="1" applyBorder="1" applyAlignment="1">
      <alignment horizontal="center" vertical="center"/>
    </xf>
    <xf numFmtId="0" fontId="8" fillId="0" borderId="7" xfId="0" applyFont="1" applyBorder="1" applyAlignment="1">
      <alignment vertical="top" wrapText="1"/>
    </xf>
    <xf numFmtId="0" fontId="6" fillId="0" borderId="1" xfId="0" applyFont="1" applyBorder="1" applyAlignment="1">
      <alignment horizontal="left" vertical="center" wrapText="1"/>
    </xf>
    <xf numFmtId="0" fontId="29" fillId="0" borderId="1" xfId="0" applyFont="1" applyBorder="1" applyAlignment="1">
      <alignment horizontal="left" vertical="center" wrapText="1"/>
    </xf>
    <xf numFmtId="0" fontId="29" fillId="0" borderId="1" xfId="0" applyFont="1" applyBorder="1" applyAlignment="1">
      <alignment horizontal="left" vertical="center"/>
    </xf>
    <xf numFmtId="0" fontId="30" fillId="0" borderId="1" xfId="0" applyFont="1" applyBorder="1" applyAlignment="1">
      <alignment horizontal="left" vertical="center"/>
    </xf>
    <xf numFmtId="0" fontId="31" fillId="0" borderId="1" xfId="0" applyFont="1" applyBorder="1" applyAlignment="1">
      <alignment horizontal="left" vertical="top" wrapText="1"/>
    </xf>
    <xf numFmtId="0" fontId="28" fillId="6" borderId="13" xfId="0" applyFont="1" applyFill="1" applyBorder="1" applyAlignment="1">
      <alignment wrapText="1"/>
    </xf>
    <xf numFmtId="0" fontId="30" fillId="0" borderId="0" xfId="0" applyFont="1" applyAlignment="1">
      <alignment vertical="top" wrapText="1"/>
    </xf>
    <xf numFmtId="0" fontId="28" fillId="0" borderId="13" xfId="0" applyFont="1" applyBorder="1" applyAlignment="1">
      <alignment wrapText="1"/>
    </xf>
    <xf numFmtId="1" fontId="30" fillId="0" borderId="0" xfId="0" applyNumberFormat="1" applyFont="1" applyAlignment="1">
      <alignment horizontal="center" vertical="center" wrapText="1"/>
    </xf>
    <xf numFmtId="11" fontId="30" fillId="0" borderId="0" xfId="0" applyNumberFormat="1" applyFont="1" applyAlignment="1">
      <alignment horizontal="center" vertical="center" wrapText="1"/>
    </xf>
    <xf numFmtId="0" fontId="30" fillId="0" borderId="0" xfId="0" applyFont="1" applyAlignment="1">
      <alignment horizontal="center" vertical="center" wrapText="1"/>
    </xf>
    <xf numFmtId="1" fontId="30" fillId="0" borderId="8" xfId="0" applyNumberFormat="1" applyFont="1" applyBorder="1" applyAlignment="1">
      <alignment horizontal="center" vertical="center" wrapText="1"/>
    </xf>
    <xf numFmtId="0" fontId="33" fillId="0" borderId="1" xfId="0" applyFont="1" applyBorder="1" applyAlignment="1">
      <alignment horizontal="center" vertical="center" wrapText="1" readingOrder="1"/>
    </xf>
    <xf numFmtId="0" fontId="33" fillId="0" borderId="19" xfId="0" applyFont="1" applyBorder="1" applyAlignment="1">
      <alignment horizontal="center" vertical="center" wrapText="1" readingOrder="1"/>
    </xf>
    <xf numFmtId="0" fontId="28" fillId="0" borderId="13" xfId="0" applyFont="1" applyBorder="1" applyAlignment="1">
      <alignment horizontal="center" vertical="center"/>
    </xf>
    <xf numFmtId="0" fontId="30" fillId="0" borderId="0" xfId="0" applyFont="1" applyAlignment="1">
      <alignment horizontal="center" vertical="center"/>
    </xf>
    <xf numFmtId="0" fontId="0" fillId="0" borderId="14" xfId="0" applyBorder="1"/>
    <xf numFmtId="1" fontId="0" fillId="0" borderId="7" xfId="0" applyNumberFormat="1" applyBorder="1" applyAlignment="1">
      <alignment horizontal="center" vertical="center"/>
    </xf>
    <xf numFmtId="1" fontId="30" fillId="5" borderId="1" xfId="0" applyNumberFormat="1" applyFont="1" applyFill="1" applyBorder="1" applyAlignment="1">
      <alignment horizontal="center" vertical="center" wrapText="1"/>
    </xf>
    <xf numFmtId="11" fontId="30" fillId="5" borderId="1" xfId="0" applyNumberFormat="1" applyFont="1" applyFill="1" applyBorder="1" applyAlignment="1">
      <alignment horizontal="center" vertical="center" wrapText="1"/>
    </xf>
    <xf numFmtId="167" fontId="29" fillId="5" borderId="1" xfId="0" applyNumberFormat="1" applyFont="1" applyFill="1" applyBorder="1" applyAlignment="1">
      <alignment horizontal="center" vertical="center" wrapText="1"/>
    </xf>
    <xf numFmtId="0" fontId="30" fillId="5" borderId="1" xfId="0" applyFont="1" applyFill="1" applyBorder="1" applyAlignment="1">
      <alignment horizontal="center" vertical="center" wrapText="1"/>
    </xf>
    <xf numFmtId="0" fontId="30" fillId="5" borderId="1" xfId="0" applyFont="1" applyFill="1" applyBorder="1" applyAlignment="1">
      <alignment horizontal="left" vertical="center" wrapText="1"/>
    </xf>
    <xf numFmtId="0" fontId="30" fillId="5" borderId="1" xfId="0" applyFont="1" applyFill="1" applyBorder="1" applyAlignment="1">
      <alignment horizontal="left" vertical="top" wrapText="1"/>
    </xf>
    <xf numFmtId="0" fontId="30" fillId="5" borderId="1" xfId="0" applyFont="1" applyFill="1" applyBorder="1" applyAlignment="1">
      <alignment horizontal="center" vertical="top" wrapText="1"/>
    </xf>
    <xf numFmtId="0" fontId="30" fillId="5" borderId="0" xfId="0" applyFont="1" applyFill="1"/>
    <xf numFmtId="0" fontId="34" fillId="5" borderId="2" xfId="0" applyFont="1" applyFill="1" applyBorder="1" applyAlignment="1">
      <alignment vertical="top" wrapText="1"/>
    </xf>
    <xf numFmtId="0" fontId="0" fillId="0" borderId="0" xfId="0" applyAlignment="1">
      <alignment horizontal="left" vertical="top" wrapText="1"/>
    </xf>
    <xf numFmtId="0" fontId="28" fillId="0" borderId="20" xfId="0" applyFont="1" applyBorder="1"/>
    <xf numFmtId="164" fontId="30" fillId="0" borderId="0" xfId="0" applyNumberFormat="1" applyFont="1" applyAlignment="1">
      <alignment horizontal="center" vertical="center" wrapText="1"/>
    </xf>
    <xf numFmtId="164" fontId="29" fillId="0" borderId="1" xfId="0" applyNumberFormat="1" applyFont="1" applyBorder="1" applyAlignment="1">
      <alignment horizontal="center" vertical="center" wrapText="1"/>
    </xf>
    <xf numFmtId="164" fontId="29" fillId="5" borderId="1" xfId="0" applyNumberFormat="1" applyFont="1" applyFill="1" applyBorder="1" applyAlignment="1">
      <alignment horizontal="center" vertical="center" wrapText="1"/>
    </xf>
    <xf numFmtId="0" fontId="31" fillId="0" borderId="0" xfId="0" applyFont="1" applyAlignment="1">
      <alignment horizontal="center" vertical="center" wrapText="1"/>
    </xf>
    <xf numFmtId="0" fontId="4" fillId="0" borderId="7" xfId="0" applyFont="1" applyBorder="1" applyAlignment="1">
      <alignment horizontal="center" vertical="center" wrapText="1"/>
    </xf>
    <xf numFmtId="0" fontId="4" fillId="0" borderId="2" xfId="0" applyFont="1" applyBorder="1" applyAlignment="1">
      <alignment horizontal="center" vertical="center"/>
    </xf>
    <xf numFmtId="164" fontId="4" fillId="0" borderId="7"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xf>
    <xf numFmtId="164" fontId="4" fillId="0" borderId="2" xfId="0" applyNumberFormat="1" applyFont="1" applyBorder="1" applyAlignment="1">
      <alignment horizontal="center" vertical="center"/>
    </xf>
    <xf numFmtId="1" fontId="0" fillId="0" borderId="0" xfId="0" applyNumberFormat="1"/>
    <xf numFmtId="0" fontId="3" fillId="0" borderId="0" xfId="1" applyAlignment="1">
      <alignment wrapText="1"/>
    </xf>
    <xf numFmtId="0" fontId="30" fillId="0" borderId="7" xfId="0" applyFont="1" applyBorder="1" applyAlignment="1">
      <alignment horizontal="center" vertical="top" wrapText="1"/>
    </xf>
    <xf numFmtId="11" fontId="30" fillId="0" borderId="1" xfId="0" applyNumberFormat="1" applyFont="1" applyBorder="1" applyAlignment="1">
      <alignment horizontal="left" vertical="center" wrapText="1"/>
    </xf>
    <xf numFmtId="167" fontId="0" fillId="0" borderId="0" xfId="0" applyNumberFormat="1" applyAlignment="1">
      <alignment horizontal="left" vertical="center"/>
    </xf>
    <xf numFmtId="0" fontId="0" fillId="0" borderId="0" xfId="0" applyAlignment="1">
      <alignment horizontal="left" vertical="center"/>
    </xf>
    <xf numFmtId="0" fontId="3" fillId="0" borderId="1" xfId="1" applyFill="1" applyBorder="1" applyAlignment="1">
      <alignment horizontal="left" vertical="center" wrapText="1"/>
    </xf>
    <xf numFmtId="164" fontId="30" fillId="0" borderId="1" xfId="0" applyNumberFormat="1" applyFont="1" applyBorder="1" applyAlignment="1">
      <alignment horizontal="left" vertical="center" wrapText="1"/>
    </xf>
    <xf numFmtId="0" fontId="28" fillId="0" borderId="0" xfId="0" applyFont="1" applyAlignment="1">
      <alignment horizontal="left" vertical="center"/>
    </xf>
    <xf numFmtId="167" fontId="0" fillId="0" borderId="0" xfId="0" applyNumberFormat="1"/>
    <xf numFmtId="167" fontId="0" fillId="0" borderId="7" xfId="0" applyNumberFormat="1" applyBorder="1" applyAlignment="1">
      <alignment horizontal="center" vertical="center"/>
    </xf>
    <xf numFmtId="167" fontId="0" fillId="0" borderId="1" xfId="0" applyNumberFormat="1" applyBorder="1" applyAlignment="1">
      <alignment horizontal="center" vertical="center" wrapText="1"/>
    </xf>
    <xf numFmtId="0" fontId="0" fillId="0" borderId="18" xfId="0" applyBorder="1" applyAlignment="1">
      <alignment horizontal="left" vertical="center"/>
    </xf>
    <xf numFmtId="0" fontId="35" fillId="0" borderId="1" xfId="0" applyFont="1" applyBorder="1" applyAlignment="1">
      <alignment horizontal="center" vertical="center" wrapText="1"/>
    </xf>
    <xf numFmtId="0" fontId="36" fillId="0" borderId="1" xfId="0" applyFont="1" applyBorder="1" applyAlignment="1">
      <alignment horizontal="left" vertical="center" wrapText="1"/>
    </xf>
    <xf numFmtId="0" fontId="36" fillId="0" borderId="1" xfId="0" applyFont="1" applyBorder="1" applyAlignment="1">
      <alignment horizontal="center" vertical="center" wrapText="1"/>
    </xf>
    <xf numFmtId="0" fontId="36" fillId="0" borderId="1" xfId="0" applyFont="1" applyBorder="1" applyAlignment="1">
      <alignment horizontal="center" vertical="top" wrapText="1"/>
    </xf>
    <xf numFmtId="0" fontId="28" fillId="0" borderId="13" xfId="0" applyFont="1" applyBorder="1" applyAlignment="1">
      <alignment horizontal="center"/>
    </xf>
    <xf numFmtId="0" fontId="30" fillId="0" borderId="0" xfId="0" applyFont="1" applyAlignment="1">
      <alignment horizontal="center"/>
    </xf>
    <xf numFmtId="0" fontId="29" fillId="0" borderId="1" xfId="0" applyFont="1" applyBorder="1" applyAlignment="1">
      <alignment horizontal="center" vertical="top" wrapText="1"/>
    </xf>
    <xf numFmtId="1" fontId="30" fillId="0" borderId="1" xfId="0" applyNumberFormat="1" applyFont="1" applyBorder="1" applyAlignment="1">
      <alignment horizontal="center" vertical="top" wrapText="1"/>
    </xf>
    <xf numFmtId="1" fontId="30" fillId="0" borderId="0" xfId="0" applyNumberFormat="1" applyFont="1" applyAlignment="1">
      <alignment horizontal="center" vertical="top" wrapText="1"/>
    </xf>
    <xf numFmtId="11" fontId="30" fillId="0" borderId="1" xfId="0" applyNumberFormat="1" applyFont="1" applyBorder="1" applyAlignment="1">
      <alignment horizontal="center" vertical="top" wrapText="1"/>
    </xf>
    <xf numFmtId="0" fontId="30" fillId="0" borderId="0" xfId="0" applyFont="1" applyAlignment="1">
      <alignment horizontal="center" vertical="top" wrapText="1"/>
    </xf>
    <xf numFmtId="11" fontId="30" fillId="0" borderId="0" xfId="0" applyNumberFormat="1" applyFont="1" applyAlignment="1">
      <alignment horizontal="center" vertical="top" wrapText="1"/>
    </xf>
    <xf numFmtId="11" fontId="30" fillId="0" borderId="0" xfId="0" applyNumberFormat="1" applyFont="1" applyAlignment="1">
      <alignment vertical="top" wrapText="1"/>
    </xf>
    <xf numFmtId="0" fontId="29" fillId="0" borderId="14" xfId="0" applyFont="1" applyBorder="1" applyAlignment="1">
      <alignment vertical="top"/>
    </xf>
    <xf numFmtId="0" fontId="2" fillId="0" borderId="4" xfId="0" applyFont="1" applyBorder="1" applyAlignment="1">
      <alignment horizontal="left" vertical="center"/>
    </xf>
    <xf numFmtId="0" fontId="2" fillId="0" borderId="4" xfId="0" applyFont="1" applyBorder="1" applyAlignment="1">
      <alignment horizontal="center" vertical="center"/>
    </xf>
    <xf numFmtId="0" fontId="2" fillId="0" borderId="4" xfId="0" applyFont="1" applyBorder="1" applyAlignment="1">
      <alignment vertical="center"/>
    </xf>
    <xf numFmtId="0" fontId="2" fillId="0" borderId="5" xfId="0" applyFont="1" applyBorder="1" applyAlignment="1">
      <alignment vertical="center"/>
    </xf>
    <xf numFmtId="0" fontId="2" fillId="7" borderId="0" xfId="0" applyFont="1" applyFill="1" applyAlignment="1">
      <alignment horizontal="center" vertical="center" wrapText="1"/>
    </xf>
    <xf numFmtId="0" fontId="2" fillId="7" borderId="5" xfId="0" applyFont="1" applyFill="1" applyBorder="1" applyAlignment="1">
      <alignment horizontal="center" vertical="center"/>
    </xf>
    <xf numFmtId="0" fontId="2" fillId="8" borderId="0" xfId="0" applyFont="1" applyFill="1" applyAlignment="1">
      <alignment horizontal="center" vertical="center" wrapText="1"/>
    </xf>
    <xf numFmtId="0" fontId="2" fillId="8" borderId="21"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0" xfId="0" applyFont="1" applyAlignment="1">
      <alignment horizontal="center" vertical="center" wrapText="1"/>
    </xf>
    <xf numFmtId="0" fontId="2" fillId="7" borderId="0" xfId="0" applyFont="1" applyFill="1" applyAlignment="1">
      <alignment horizontal="center" vertical="center"/>
    </xf>
    <xf numFmtId="0" fontId="2" fillId="7" borderId="0" xfId="0" applyFont="1" applyFill="1" applyAlignment="1">
      <alignment horizontal="left" vertical="center"/>
    </xf>
    <xf numFmtId="0" fontId="2" fillId="7" borderId="0" xfId="0" applyFont="1" applyFill="1" applyAlignment="1">
      <alignment vertical="center"/>
    </xf>
    <xf numFmtId="0" fontId="2" fillId="7" borderId="0" xfId="0" applyFont="1" applyFill="1" applyAlignment="1">
      <alignment horizontal="left" vertical="center" wrapText="1"/>
    </xf>
    <xf numFmtId="0" fontId="40" fillId="5" borderId="0" xfId="0" applyFont="1" applyFill="1" applyAlignment="1">
      <alignment horizontal="left" vertical="center"/>
    </xf>
    <xf numFmtId="0" fontId="40" fillId="5" borderId="0" xfId="0" applyFont="1" applyFill="1" applyAlignment="1">
      <alignment horizontal="center" vertical="center" wrapText="1"/>
    </xf>
    <xf numFmtId="0" fontId="2" fillId="0" borderId="21" xfId="0" applyFont="1" applyBorder="1" applyAlignment="1">
      <alignment horizontal="center" vertical="center"/>
    </xf>
    <xf numFmtId="0" fontId="2" fillId="0" borderId="21" xfId="0" applyFont="1" applyBorder="1" applyAlignment="1">
      <alignment horizontal="center" vertical="center" wrapText="1"/>
    </xf>
    <xf numFmtId="0" fontId="0" fillId="0" borderId="1" xfId="0" applyBorder="1" applyAlignment="1">
      <alignment vertical="center"/>
    </xf>
    <xf numFmtId="15" fontId="0" fillId="0" borderId="1" xfId="0" applyNumberFormat="1" applyBorder="1" applyAlignment="1">
      <alignment horizontal="center" vertical="center"/>
    </xf>
    <xf numFmtId="15" fontId="0" fillId="0" borderId="7" xfId="0" applyNumberFormat="1" applyBorder="1" applyAlignment="1">
      <alignment horizontal="center" vertical="center"/>
    </xf>
    <xf numFmtId="164" fontId="0" fillId="0" borderId="7" xfId="0" applyNumberFormat="1" applyBorder="1" applyAlignment="1">
      <alignment horizontal="center" vertical="center"/>
    </xf>
    <xf numFmtId="164" fontId="0" fillId="0" borderId="1" xfId="0" applyNumberFormat="1" applyBorder="1" applyAlignment="1">
      <alignment horizontal="center" vertical="center" wrapText="1"/>
    </xf>
    <xf numFmtId="0" fontId="0" fillId="0" borderId="3" xfId="0" applyBorder="1" applyAlignment="1">
      <alignment horizontal="left" vertical="top" wrapText="1"/>
    </xf>
    <xf numFmtId="164" fontId="0" fillId="0" borderId="0" xfId="0" applyNumberFormat="1" applyAlignment="1">
      <alignment horizontal="center" vertical="center"/>
    </xf>
    <xf numFmtId="17" fontId="0" fillId="0" borderId="1" xfId="0" applyNumberFormat="1" applyBorder="1" applyAlignment="1">
      <alignment horizontal="center" vertical="center"/>
    </xf>
    <xf numFmtId="0" fontId="4" fillId="0" borderId="1" xfId="0" applyFont="1" applyBorder="1" applyAlignment="1">
      <alignment vertical="center"/>
    </xf>
    <xf numFmtId="164" fontId="0" fillId="0" borderId="1" xfId="0" applyNumberFormat="1" applyBorder="1" applyAlignment="1">
      <alignment horizontal="center" vertical="center"/>
    </xf>
    <xf numFmtId="0" fontId="0" fillId="0" borderId="3" xfId="0" applyBorder="1" applyAlignment="1">
      <alignment horizontal="left" vertical="top"/>
    </xf>
    <xf numFmtId="1" fontId="0" fillId="0" borderId="1" xfId="0" applyNumberFormat="1" applyBorder="1" applyAlignment="1">
      <alignment horizontal="left" vertical="top" wrapText="1"/>
    </xf>
    <xf numFmtId="0" fontId="6" fillId="2" borderId="1" xfId="0" applyFont="1" applyFill="1" applyBorder="1" applyAlignment="1">
      <alignment horizontal="left" vertical="center" wrapText="1"/>
    </xf>
    <xf numFmtId="0" fontId="0" fillId="0" borderId="7" xfId="0" applyBorder="1" applyAlignment="1">
      <alignment horizontal="left" vertical="center" wrapText="1"/>
    </xf>
    <xf numFmtId="164" fontId="0" fillId="0" borderId="2" xfId="0" applyNumberFormat="1" applyBorder="1" applyAlignment="1">
      <alignment horizontal="center" vertical="center" wrapText="1"/>
    </xf>
    <xf numFmtId="0" fontId="6" fillId="0" borderId="1" xfId="0" applyFont="1" applyBorder="1" applyAlignment="1">
      <alignment horizontal="left" vertical="center"/>
    </xf>
    <xf numFmtId="0" fontId="15" fillId="2" borderId="1" xfId="0" applyFont="1" applyFill="1" applyBorder="1" applyAlignment="1">
      <alignment horizontal="center" vertical="center" wrapText="1"/>
    </xf>
    <xf numFmtId="0" fontId="3" fillId="2" borderId="1" xfId="1" applyFill="1" applyBorder="1" applyAlignment="1">
      <alignment horizontal="center" vertical="center" wrapText="1"/>
    </xf>
    <xf numFmtId="0" fontId="15" fillId="2" borderId="1" xfId="0" applyFont="1" applyFill="1" applyBorder="1" applyAlignment="1">
      <alignment horizontal="left" vertical="center" wrapText="1"/>
    </xf>
    <xf numFmtId="165" fontId="0" fillId="0" borderId="2" xfId="0" applyNumberFormat="1" applyBorder="1" applyAlignment="1">
      <alignment horizontal="left" vertical="center"/>
    </xf>
    <xf numFmtId="17" fontId="0" fillId="0" borderId="2" xfId="0" applyNumberFormat="1" applyBorder="1" applyAlignment="1">
      <alignment horizontal="center" vertical="center" wrapText="1"/>
    </xf>
    <xf numFmtId="0" fontId="0" fillId="0" borderId="2" xfId="0" applyBorder="1" applyAlignment="1">
      <alignment horizontal="left" vertical="center"/>
    </xf>
    <xf numFmtId="0" fontId="0" fillId="0" borderId="2" xfId="0" applyBorder="1" applyAlignment="1">
      <alignment vertical="center"/>
    </xf>
    <xf numFmtId="15"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0" borderId="2" xfId="0" applyBorder="1" applyAlignment="1">
      <alignment horizontal="left" vertical="top"/>
    </xf>
    <xf numFmtId="1" fontId="0" fillId="0" borderId="2" xfId="0" applyNumberFormat="1" applyBorder="1" applyAlignment="1">
      <alignment horizontal="center" vertical="center"/>
    </xf>
    <xf numFmtId="0" fontId="6" fillId="0" borderId="2" xfId="0" applyFont="1" applyBorder="1" applyAlignment="1">
      <alignment horizontal="left" vertical="center"/>
    </xf>
    <xf numFmtId="0" fontId="3" fillId="2" borderId="2" xfId="1" applyFill="1" applyBorder="1" applyAlignment="1">
      <alignment horizontal="center" vertical="center" wrapText="1"/>
    </xf>
    <xf numFmtId="0" fontId="5" fillId="2" borderId="2" xfId="0" applyFont="1" applyFill="1" applyBorder="1" applyAlignment="1">
      <alignment horizontal="left" vertical="center" wrapText="1"/>
    </xf>
    <xf numFmtId="0" fontId="3" fillId="0" borderId="1" xfId="1" applyBorder="1" applyAlignment="1">
      <alignment horizontal="left" vertical="center"/>
    </xf>
    <xf numFmtId="165" fontId="0" fillId="0" borderId="1" xfId="0" applyNumberFormat="1" applyBorder="1" applyAlignment="1">
      <alignment horizontal="left" vertical="center"/>
    </xf>
    <xf numFmtId="0" fontId="5" fillId="2" borderId="1" xfId="0" applyFont="1" applyFill="1" applyBorder="1" applyAlignment="1">
      <alignment horizontal="left" vertical="center" wrapText="1"/>
    </xf>
    <xf numFmtId="17" fontId="0" fillId="2" borderId="1" xfId="0" applyNumberFormat="1" applyFill="1" applyBorder="1" applyAlignment="1">
      <alignment horizontal="center" vertical="top" wrapText="1"/>
    </xf>
    <xf numFmtId="17" fontId="0" fillId="0" borderId="4" xfId="0" applyNumberFormat="1" applyBorder="1" applyAlignment="1">
      <alignment horizontal="center" vertical="center" wrapText="1"/>
    </xf>
    <xf numFmtId="0" fontId="0" fillId="0" borderId="4" xfId="0" applyBorder="1" applyAlignment="1">
      <alignment horizontal="left" vertical="center"/>
    </xf>
    <xf numFmtId="0" fontId="0" fillId="0" borderId="4" xfId="0" applyBorder="1" applyAlignment="1">
      <alignment vertical="center"/>
    </xf>
    <xf numFmtId="15" fontId="0" fillId="0" borderId="4" xfId="0" applyNumberFormat="1" applyBorder="1" applyAlignment="1">
      <alignment horizontal="center" vertical="center"/>
    </xf>
    <xf numFmtId="164" fontId="41" fillId="0" borderId="4" xfId="0" applyNumberFormat="1" applyFont="1" applyBorder="1" applyAlignment="1">
      <alignment horizontal="center" vertical="center"/>
    </xf>
    <xf numFmtId="164" fontId="0" fillId="0" borderId="4" xfId="0" applyNumberFormat="1" applyBorder="1" applyAlignment="1">
      <alignment horizontal="center" vertical="center" wrapText="1"/>
    </xf>
    <xf numFmtId="0" fontId="14" fillId="0" borderId="4" xfId="0" applyFont="1" applyBorder="1"/>
    <xf numFmtId="1" fontId="0" fillId="0" borderId="4" xfId="0" applyNumberFormat="1" applyBorder="1" applyAlignment="1">
      <alignment horizontal="center" vertical="center" wrapText="1"/>
    </xf>
    <xf numFmtId="0" fontId="0" fillId="0" borderId="4" xfId="0" applyBorder="1" applyAlignment="1">
      <alignment horizontal="left" vertical="top" wrapText="1"/>
    </xf>
    <xf numFmtId="0" fontId="3" fillId="0" borderId="4" xfId="1" applyBorder="1" applyAlignment="1">
      <alignment horizontal="left" vertical="top" wrapText="1"/>
    </xf>
    <xf numFmtId="0" fontId="0" fillId="0" borderId="4" xfId="0" applyBorder="1" applyAlignment="1">
      <alignment horizontal="center" vertical="center"/>
    </xf>
    <xf numFmtId="164" fontId="41" fillId="0" borderId="1" xfId="0" applyNumberFormat="1" applyFont="1" applyBorder="1" applyAlignment="1">
      <alignment horizontal="center" vertical="center"/>
    </xf>
    <xf numFmtId="0" fontId="0" fillId="9" borderId="0" xfId="0" applyFill="1" applyAlignment="1">
      <alignment horizontal="left" vertical="top" wrapText="1"/>
    </xf>
    <xf numFmtId="0" fontId="15" fillId="0" borderId="4" xfId="0" applyFont="1" applyBorder="1" applyAlignment="1">
      <alignment horizontal="left" vertical="center"/>
    </xf>
    <xf numFmtId="17" fontId="15" fillId="0" borderId="4" xfId="0" applyNumberFormat="1" applyFont="1" applyBorder="1" applyAlignment="1">
      <alignment horizontal="center" vertical="center"/>
    </xf>
    <xf numFmtId="0" fontId="15" fillId="0" borderId="4" xfId="0" applyFont="1" applyBorder="1" applyAlignment="1">
      <alignment vertical="center"/>
    </xf>
    <xf numFmtId="164" fontId="15" fillId="0" borderId="4" xfId="0" applyNumberFormat="1" applyFont="1" applyBorder="1" applyAlignment="1">
      <alignment horizontal="center" vertical="center"/>
    </xf>
    <xf numFmtId="0" fontId="0" fillId="0" borderId="4" xfId="0" applyBorder="1" applyAlignment="1">
      <alignment horizontal="left" vertical="top"/>
    </xf>
    <xf numFmtId="0" fontId="15" fillId="0" borderId="4" xfId="0" applyFont="1" applyBorder="1" applyAlignment="1">
      <alignment horizontal="left" vertical="top" wrapText="1"/>
    </xf>
    <xf numFmtId="1" fontId="0" fillId="0" borderId="4" xfId="0" applyNumberFormat="1" applyBorder="1" applyAlignment="1">
      <alignment horizontal="center" vertical="center"/>
    </xf>
    <xf numFmtId="0" fontId="15" fillId="2" borderId="4" xfId="0" applyFont="1" applyFill="1" applyBorder="1" applyAlignment="1">
      <alignment horizontal="left"/>
    </xf>
    <xf numFmtId="0" fontId="3" fillId="0" borderId="4" xfId="1" applyBorder="1" applyAlignment="1">
      <alignment horizontal="left" vertical="center" wrapText="1"/>
    </xf>
    <xf numFmtId="15" fontId="0" fillId="0" borderId="4" xfId="0" applyNumberFormat="1" applyBorder="1" applyAlignment="1">
      <alignment horizontal="left" vertical="center"/>
    </xf>
    <xf numFmtId="0" fontId="8" fillId="0" borderId="1" xfId="0" applyFont="1" applyBorder="1" applyAlignment="1">
      <alignment horizontal="left" vertical="center"/>
    </xf>
    <xf numFmtId="17" fontId="6" fillId="0" borderId="1" xfId="0" applyNumberFormat="1" applyFont="1" applyBorder="1" applyAlignment="1">
      <alignment horizontal="center" vertical="center"/>
    </xf>
    <xf numFmtId="0" fontId="4" fillId="0" borderId="1" xfId="0" applyFont="1" applyBorder="1" applyAlignment="1">
      <alignment horizontal="left" vertical="center" wrapText="1"/>
    </xf>
    <xf numFmtId="0" fontId="3" fillId="0" borderId="4" xfId="1" applyBorder="1" applyAlignment="1">
      <alignment horizontal="left" vertical="center"/>
    </xf>
    <xf numFmtId="0" fontId="15" fillId="0" borderId="1" xfId="0" applyFont="1" applyBorder="1" applyAlignment="1">
      <alignment horizontal="left" vertical="center"/>
    </xf>
    <xf numFmtId="0" fontId="6" fillId="2" borderId="1" xfId="0" applyFont="1" applyFill="1" applyBorder="1" applyAlignment="1">
      <alignment horizontal="left" vertical="center"/>
    </xf>
    <xf numFmtId="0" fontId="0" fillId="0" borderId="7" xfId="0" applyBorder="1" applyAlignment="1">
      <alignment horizontal="left" vertical="center"/>
    </xf>
    <xf numFmtId="0" fontId="0" fillId="0" borderId="0" xfId="0" applyAlignment="1">
      <alignment vertical="center"/>
    </xf>
    <xf numFmtId="0" fontId="3" fillId="0" borderId="1" xfId="1" applyBorder="1" applyAlignment="1">
      <alignment horizontal="left" vertical="top" wrapText="1"/>
    </xf>
    <xf numFmtId="17" fontId="0" fillId="0" borderId="4" xfId="0" applyNumberFormat="1" applyBorder="1" applyAlignment="1">
      <alignment horizontal="center" vertical="center"/>
    </xf>
    <xf numFmtId="164" fontId="0" fillId="0" borderId="4" xfId="0" applyNumberFormat="1" applyBorder="1" applyAlignment="1">
      <alignment horizontal="center" vertical="center"/>
    </xf>
    <xf numFmtId="0" fontId="0" fillId="0" borderId="5" xfId="0" applyBorder="1" applyAlignment="1">
      <alignment horizontal="left" vertical="top"/>
    </xf>
    <xf numFmtId="0" fontId="4" fillId="0" borderId="7" xfId="0" applyFont="1" applyBorder="1" applyAlignment="1">
      <alignment horizontal="left" vertical="center" wrapText="1"/>
    </xf>
    <xf numFmtId="0" fontId="4" fillId="0" borderId="4" xfId="0" applyFont="1" applyBorder="1" applyAlignment="1">
      <alignment horizontal="left" vertical="center" wrapText="1"/>
    </xf>
    <xf numFmtId="0" fontId="0" fillId="0" borderId="7" xfId="0" applyBorder="1" applyAlignment="1">
      <alignment vertical="top"/>
    </xf>
    <xf numFmtId="0" fontId="0" fillId="0" borderId="7" xfId="0" applyBorder="1" applyAlignment="1">
      <alignment vertical="center"/>
    </xf>
    <xf numFmtId="0" fontId="0" fillId="0" borderId="7" xfId="0" applyBorder="1" applyAlignment="1">
      <alignment horizontal="center" vertical="top" wrapText="1"/>
    </xf>
    <xf numFmtId="0" fontId="0" fillId="0" borderId="7" xfId="0" applyBorder="1" applyAlignment="1">
      <alignment horizontal="left" vertical="top" wrapText="1"/>
    </xf>
    <xf numFmtId="0" fontId="3" fillId="0" borderId="7" xfId="1" applyBorder="1" applyAlignment="1">
      <alignment horizontal="left" vertical="center"/>
    </xf>
    <xf numFmtId="15" fontId="0" fillId="0" borderId="7" xfId="0" applyNumberFormat="1" applyBorder="1" applyAlignment="1">
      <alignment horizontal="left" vertical="center"/>
    </xf>
    <xf numFmtId="1" fontId="30" fillId="0" borderId="4" xfId="0" applyNumberFormat="1" applyFont="1" applyBorder="1" applyAlignment="1">
      <alignment horizontal="center" vertical="center" wrapText="1"/>
    </xf>
    <xf numFmtId="0" fontId="0" fillId="0" borderId="6" xfId="0" applyBorder="1" applyAlignment="1">
      <alignment horizontal="left" vertical="center" wrapText="1"/>
    </xf>
    <xf numFmtId="0" fontId="0" fillId="0" borderId="6" xfId="0" applyBorder="1" applyAlignment="1">
      <alignment horizontal="left" vertical="center"/>
    </xf>
    <xf numFmtId="0" fontId="3" fillId="0" borderId="7" xfId="1" applyBorder="1" applyAlignment="1">
      <alignment horizontal="left" vertical="top" wrapText="1"/>
    </xf>
    <xf numFmtId="0" fontId="42" fillId="0" borderId="7" xfId="0" applyFont="1" applyBorder="1" applyAlignment="1">
      <alignment horizontal="left" vertical="center"/>
    </xf>
    <xf numFmtId="0" fontId="42" fillId="0" borderId="2" xfId="0" applyFont="1" applyBorder="1" applyAlignment="1">
      <alignment horizontal="left" vertical="center"/>
    </xf>
    <xf numFmtId="17" fontId="42" fillId="0" borderId="1" xfId="0" applyNumberFormat="1" applyFont="1" applyBorder="1" applyAlignment="1">
      <alignment horizontal="center" vertical="center"/>
    </xf>
    <xf numFmtId="0" fontId="42" fillId="0" borderId="1" xfId="0" applyFont="1" applyBorder="1" applyAlignment="1">
      <alignment vertical="center"/>
    </xf>
    <xf numFmtId="0" fontId="42" fillId="0" borderId="7" xfId="0" applyFont="1" applyBorder="1" applyAlignment="1">
      <alignment vertical="center"/>
    </xf>
    <xf numFmtId="15" fontId="42" fillId="0" borderId="7" xfId="0" applyNumberFormat="1" applyFont="1" applyBorder="1" applyAlignment="1">
      <alignment horizontal="center" vertical="center"/>
    </xf>
    <xf numFmtId="15" fontId="42" fillId="0" borderId="2" xfId="0" applyNumberFormat="1" applyFont="1" applyBorder="1" applyAlignment="1">
      <alignment horizontal="center" vertical="center"/>
    </xf>
    <xf numFmtId="164" fontId="42" fillId="0" borderId="2" xfId="0" applyNumberFormat="1" applyFont="1" applyBorder="1" applyAlignment="1">
      <alignment horizontal="center" vertical="center"/>
    </xf>
    <xf numFmtId="0" fontId="42" fillId="0" borderId="1" xfId="0" applyFont="1" applyBorder="1" applyAlignment="1">
      <alignment horizontal="left" vertical="top" wrapText="1"/>
    </xf>
    <xf numFmtId="0" fontId="42" fillId="0" borderId="1" xfId="0" applyFont="1" applyBorder="1" applyAlignment="1">
      <alignment horizontal="center" vertical="center"/>
    </xf>
    <xf numFmtId="1" fontId="42" fillId="0" borderId="1" xfId="0" applyNumberFormat="1" applyFont="1" applyBorder="1" applyAlignment="1">
      <alignment horizontal="center" vertical="center"/>
    </xf>
    <xf numFmtId="0" fontId="42" fillId="0" borderId="1" xfId="0" applyFont="1" applyBorder="1" applyAlignment="1">
      <alignment horizontal="left" vertical="center"/>
    </xf>
    <xf numFmtId="0" fontId="42" fillId="0" borderId="7" xfId="0" applyFont="1" applyBorder="1" applyAlignment="1">
      <alignment horizontal="center" vertical="center"/>
    </xf>
    <xf numFmtId="0" fontId="2" fillId="0" borderId="7" xfId="0" applyFont="1" applyBorder="1" applyAlignment="1">
      <alignment horizontal="left" vertical="center"/>
    </xf>
    <xf numFmtId="0" fontId="15" fillId="0" borderId="7" xfId="0" applyFont="1" applyBorder="1" applyAlignment="1">
      <alignment horizontal="left" vertical="center"/>
    </xf>
    <xf numFmtId="17" fontId="15" fillId="0" borderId="7" xfId="0" applyNumberFormat="1" applyFont="1" applyBorder="1" applyAlignment="1">
      <alignment horizontal="center" vertical="center"/>
    </xf>
    <xf numFmtId="0" fontId="15" fillId="0" borderId="1" xfId="0" applyFont="1" applyBorder="1" applyAlignment="1">
      <alignment vertical="center"/>
    </xf>
    <xf numFmtId="0" fontId="15" fillId="0" borderId="7" xfId="0" applyFont="1" applyBorder="1" applyAlignment="1">
      <alignment vertical="center"/>
    </xf>
    <xf numFmtId="164" fontId="15" fillId="0" borderId="7" xfId="0" applyNumberFormat="1" applyFont="1" applyBorder="1" applyAlignment="1">
      <alignment horizontal="center" vertical="center"/>
    </xf>
    <xf numFmtId="0" fontId="15" fillId="0" borderId="7" xfId="0" applyFont="1" applyBorder="1" applyAlignment="1">
      <alignment horizontal="left" vertical="top" wrapText="1"/>
    </xf>
    <xf numFmtId="0" fontId="15" fillId="2" borderId="6" xfId="0" applyFont="1" applyFill="1" applyBorder="1"/>
    <xf numFmtId="0" fontId="3" fillId="2" borderId="6" xfId="1" applyFill="1" applyBorder="1"/>
    <xf numFmtId="0" fontId="15" fillId="0" borderId="6" xfId="0" applyFont="1" applyBorder="1" applyAlignment="1">
      <alignment horizontal="left" vertical="center"/>
    </xf>
    <xf numFmtId="0" fontId="15" fillId="0" borderId="7" xfId="0" applyFont="1" applyBorder="1" applyAlignment="1">
      <alignment horizontal="left" vertical="center" wrapText="1"/>
    </xf>
    <xf numFmtId="0" fontId="14" fillId="0" borderId="2" xfId="0" applyFont="1" applyBorder="1"/>
    <xf numFmtId="1" fontId="0" fillId="0" borderId="2" xfId="0" applyNumberFormat="1" applyBorder="1" applyAlignment="1">
      <alignment horizontal="center" vertical="center" wrapText="1"/>
    </xf>
    <xf numFmtId="0" fontId="3" fillId="0" borderId="2" xfId="1" applyBorder="1" applyAlignment="1">
      <alignment horizontal="left" vertical="center"/>
    </xf>
    <xf numFmtId="0" fontId="14" fillId="0" borderId="1" xfId="0" applyFont="1" applyBorder="1" applyAlignment="1">
      <alignment vertical="center"/>
    </xf>
    <xf numFmtId="0" fontId="5" fillId="0" borderId="1" xfId="0" applyFont="1" applyBorder="1" applyAlignment="1">
      <alignment horizontal="left" vertical="top" wrapText="1"/>
    </xf>
    <xf numFmtId="1" fontId="0" fillId="0" borderId="1" xfId="0" applyNumberFormat="1" applyBorder="1" applyAlignment="1">
      <alignment horizontal="left" vertical="center"/>
    </xf>
    <xf numFmtId="0" fontId="8" fillId="0" borderId="7" xfId="0" applyFont="1" applyBorder="1" applyAlignment="1">
      <alignment horizontal="left" vertical="center"/>
    </xf>
    <xf numFmtId="17" fontId="0" fillId="0" borderId="7" xfId="0" applyNumberFormat="1" applyBorder="1" applyAlignment="1">
      <alignment horizontal="center" vertical="center"/>
    </xf>
    <xf numFmtId="0" fontId="0" fillId="0" borderId="22" xfId="0" applyBorder="1" applyAlignment="1">
      <alignment horizontal="left" vertical="top"/>
    </xf>
    <xf numFmtId="0" fontId="17" fillId="2" borderId="6" xfId="0" applyFont="1" applyFill="1" applyBorder="1" applyAlignment="1">
      <alignment horizontal="left"/>
    </xf>
    <xf numFmtId="0" fontId="17" fillId="2" borderId="6" xfId="0" applyFont="1" applyFill="1" applyBorder="1" applyAlignment="1">
      <alignment horizontal="left" wrapText="1"/>
    </xf>
    <xf numFmtId="0" fontId="3" fillId="0" borderId="7" xfId="1" applyBorder="1" applyAlignment="1">
      <alignment horizontal="left" vertical="center" wrapText="1"/>
    </xf>
    <xf numFmtId="1" fontId="0" fillId="0" borderId="1" xfId="0" applyNumberFormat="1" applyBorder="1" applyAlignment="1">
      <alignment horizontal="center" vertical="top" wrapText="1"/>
    </xf>
    <xf numFmtId="0" fontId="1" fillId="0" borderId="1" xfId="0" applyFont="1" applyBorder="1" applyAlignment="1">
      <alignment horizontal="left" vertical="top" wrapText="1"/>
    </xf>
    <xf numFmtId="0" fontId="1" fillId="0" borderId="4" xfId="0" applyFont="1" applyBorder="1" applyAlignment="1">
      <alignment horizontal="center" vertical="top" wrapText="1"/>
    </xf>
    <xf numFmtId="0" fontId="0" fillId="0" borderId="6" xfId="0" applyBorder="1" applyAlignment="1">
      <alignment horizontal="center" vertical="center"/>
    </xf>
    <xf numFmtId="0" fontId="4" fillId="0" borderId="1" xfId="0" applyFont="1" applyBorder="1" applyAlignment="1">
      <alignment horizontal="left" vertical="center"/>
    </xf>
    <xf numFmtId="0" fontId="1" fillId="0" borderId="1" xfId="0" applyFont="1" applyBorder="1" applyAlignment="1">
      <alignment vertical="center"/>
    </xf>
    <xf numFmtId="17" fontId="0" fillId="0" borderId="2" xfId="0" applyNumberFormat="1" applyBorder="1" applyAlignment="1">
      <alignment horizontal="center" vertical="center"/>
    </xf>
    <xf numFmtId="0" fontId="0" fillId="0" borderId="9" xfId="0" applyBorder="1" applyAlignment="1">
      <alignment horizontal="left" vertical="top"/>
    </xf>
    <xf numFmtId="0" fontId="43" fillId="0" borderId="7" xfId="0" applyFont="1" applyBorder="1" applyAlignment="1">
      <alignment vertical="top" wrapText="1"/>
    </xf>
    <xf numFmtId="0" fontId="1" fillId="0" borderId="4" xfId="0" applyFont="1" applyBorder="1" applyAlignment="1">
      <alignment horizontal="left" vertical="center"/>
    </xf>
    <xf numFmtId="0" fontId="43" fillId="0" borderId="1" xfId="0" applyFont="1" applyBorder="1" applyAlignment="1">
      <alignment vertical="top" wrapText="1"/>
    </xf>
    <xf numFmtId="0" fontId="19" fillId="2" borderId="1" xfId="0" applyFont="1" applyFill="1" applyBorder="1" applyAlignment="1">
      <alignment horizontal="center" vertical="center"/>
    </xf>
    <xf numFmtId="0" fontId="3" fillId="2" borderId="1" xfId="1" applyFill="1" applyBorder="1" applyAlignment="1">
      <alignment horizontal="center" vertical="center"/>
    </xf>
    <xf numFmtId="0" fontId="44" fillId="2" borderId="1" xfId="0" applyFont="1" applyFill="1" applyBorder="1" applyAlignment="1">
      <alignment horizontal="center" vertical="center"/>
    </xf>
    <xf numFmtId="0" fontId="0" fillId="0" borderId="7" xfId="0" applyBorder="1" applyAlignment="1">
      <alignment horizontal="left" vertical="top"/>
    </xf>
    <xf numFmtId="0" fontId="8" fillId="2" borderId="4" xfId="0" applyFont="1" applyFill="1" applyBorder="1" applyAlignment="1">
      <alignment horizontal="center" vertical="center" wrapText="1"/>
    </xf>
    <xf numFmtId="0" fontId="7" fillId="2" borderId="4" xfId="1" applyFont="1" applyFill="1" applyBorder="1" applyAlignment="1">
      <alignment horizontal="center" vertical="center" wrapText="1"/>
    </xf>
    <xf numFmtId="0" fontId="8" fillId="2" borderId="4" xfId="0" quotePrefix="1" applyFont="1" applyFill="1" applyBorder="1" applyAlignment="1">
      <alignment horizontal="left" vertical="center" wrapText="1"/>
    </xf>
    <xf numFmtId="17" fontId="0" fillId="2" borderId="2" xfId="0" applyNumberFormat="1" applyFill="1" applyBorder="1" applyAlignment="1">
      <alignment horizontal="center" vertical="top" wrapText="1"/>
    </xf>
    <xf numFmtId="0" fontId="2" fillId="0" borderId="1" xfId="0" applyFont="1" applyBorder="1" applyAlignment="1">
      <alignment horizontal="left" vertical="center"/>
    </xf>
    <xf numFmtId="0" fontId="8" fillId="2" borderId="1" xfId="0" applyFont="1" applyFill="1" applyBorder="1" applyAlignment="1">
      <alignment horizontal="center" vertical="center"/>
    </xf>
    <xf numFmtId="0" fontId="7" fillId="2" borderId="1" xfId="1" applyFont="1" applyFill="1" applyBorder="1" applyAlignment="1">
      <alignment horizontal="center" vertical="center"/>
    </xf>
    <xf numFmtId="0" fontId="8" fillId="2" borderId="1" xfId="0" quotePrefix="1" applyFont="1" applyFill="1" applyBorder="1" applyAlignment="1">
      <alignment horizontal="center" vertical="center"/>
    </xf>
    <xf numFmtId="0" fontId="0" fillId="10" borderId="4" xfId="0" applyFill="1" applyBorder="1" applyAlignment="1">
      <alignment horizontal="left" vertical="top" wrapText="1"/>
    </xf>
    <xf numFmtId="0" fontId="8" fillId="2" borderId="6" xfId="0" applyFont="1" applyFill="1" applyBorder="1" applyAlignment="1">
      <alignment horizontal="center" vertical="center"/>
    </xf>
    <xf numFmtId="0" fontId="7" fillId="2" borderId="4" xfId="1" applyFont="1" applyFill="1" applyBorder="1" applyAlignment="1">
      <alignment horizontal="center" vertical="center"/>
    </xf>
    <xf numFmtId="0" fontId="8" fillId="2" borderId="4" xfId="0" quotePrefix="1" applyFont="1" applyFill="1" applyBorder="1" applyAlignment="1">
      <alignment horizontal="center" vertical="center"/>
    </xf>
    <xf numFmtId="0" fontId="6" fillId="0" borderId="4" xfId="0" applyFont="1" applyBorder="1" applyAlignment="1">
      <alignment horizontal="center" vertical="center" wrapText="1"/>
    </xf>
    <xf numFmtId="0" fontId="8" fillId="0" borderId="4" xfId="0" applyFont="1" applyBorder="1" applyAlignment="1">
      <alignment horizontal="center" vertical="center" wrapText="1"/>
    </xf>
    <xf numFmtId="0" fontId="6" fillId="0" borderId="4" xfId="0" applyFont="1" applyBorder="1" applyAlignment="1">
      <alignment horizontal="center" vertical="center"/>
    </xf>
    <xf numFmtId="0" fontId="0" fillId="11" borderId="2" xfId="0" applyFill="1" applyBorder="1" applyAlignment="1">
      <alignment horizontal="left" vertical="center" wrapText="1"/>
    </xf>
    <xf numFmtId="0" fontId="4" fillId="0" borderId="2" xfId="0" applyFont="1" applyBorder="1" applyAlignment="1">
      <alignment horizontal="left" vertical="center" wrapText="1"/>
    </xf>
    <xf numFmtId="164" fontId="41" fillId="0" borderId="2" xfId="0" applyNumberFormat="1" applyFont="1" applyBorder="1" applyAlignment="1">
      <alignment horizontal="center" vertical="center"/>
    </xf>
    <xf numFmtId="0" fontId="6" fillId="0" borderId="4" xfId="0" applyFont="1" applyBorder="1" applyAlignment="1">
      <alignment horizontal="left" vertical="center"/>
    </xf>
    <xf numFmtId="17" fontId="0" fillId="2" borderId="4" xfId="0" applyNumberFormat="1" applyFill="1" applyBorder="1" applyAlignment="1">
      <alignment horizontal="center" vertical="top" wrapText="1"/>
    </xf>
    <xf numFmtId="0" fontId="0" fillId="0" borderId="11" xfId="0" applyBorder="1" applyAlignment="1">
      <alignment horizontal="left" vertical="center"/>
    </xf>
    <xf numFmtId="0" fontId="0" fillId="0" borderId="1" xfId="0" applyBorder="1" applyAlignment="1">
      <alignment vertical="top"/>
    </xf>
    <xf numFmtId="0" fontId="3" fillId="0" borderId="1" xfId="1" applyBorder="1" applyAlignment="1">
      <alignment vertical="top" wrapText="1"/>
    </xf>
    <xf numFmtId="15" fontId="0" fillId="0" borderId="0" xfId="0" applyNumberFormat="1" applyAlignment="1">
      <alignment horizontal="center" vertical="center"/>
    </xf>
    <xf numFmtId="0" fontId="14" fillId="0" borderId="7" xfId="0" applyFont="1" applyBorder="1"/>
    <xf numFmtId="0" fontId="6" fillId="0" borderId="7" xfId="0" applyFont="1" applyBorder="1" applyAlignment="1">
      <alignment horizontal="left" vertical="center"/>
    </xf>
    <xf numFmtId="0" fontId="45" fillId="2" borderId="7" xfId="0" applyFont="1" applyFill="1" applyBorder="1" applyAlignment="1">
      <alignment horizontal="center" vertical="center"/>
    </xf>
    <xf numFmtId="0" fontId="3" fillId="2" borderId="7" xfId="1" applyFill="1" applyBorder="1" applyAlignment="1">
      <alignment horizontal="left" vertical="center"/>
    </xf>
    <xf numFmtId="0" fontId="45" fillId="2" borderId="7" xfId="0" applyFont="1" applyFill="1" applyBorder="1" applyAlignment="1">
      <alignment horizontal="left" vertical="center"/>
    </xf>
    <xf numFmtId="17" fontId="0" fillId="2" borderId="7" xfId="0" applyNumberFormat="1" applyFill="1" applyBorder="1" applyAlignment="1">
      <alignment horizontal="center" vertical="top" wrapText="1"/>
    </xf>
    <xf numFmtId="0" fontId="0" fillId="9" borderId="1" xfId="0" applyFill="1" applyBorder="1" applyAlignment="1">
      <alignment vertical="top" wrapText="1"/>
    </xf>
    <xf numFmtId="0" fontId="5" fillId="2" borderId="1" xfId="0" applyFont="1" applyFill="1" applyBorder="1" applyAlignment="1">
      <alignment horizontal="center" vertical="center"/>
    </xf>
    <xf numFmtId="0" fontId="15" fillId="0" borderId="1" xfId="0" applyFont="1" applyBorder="1" applyAlignment="1">
      <alignment vertical="top" wrapText="1"/>
    </xf>
    <xf numFmtId="1" fontId="0" fillId="0" borderId="2" xfId="0" applyNumberFormat="1" applyBorder="1" applyAlignment="1">
      <alignment horizontal="left" vertical="top"/>
    </xf>
    <xf numFmtId="0" fontId="8" fillId="0" borderId="2" xfId="0" applyFont="1" applyBorder="1" applyAlignment="1">
      <alignment horizontal="left" vertical="center"/>
    </xf>
    <xf numFmtId="17" fontId="6" fillId="0" borderId="2" xfId="0" applyNumberFormat="1" applyFont="1" applyBorder="1" applyAlignment="1">
      <alignment horizontal="center" vertical="center"/>
    </xf>
    <xf numFmtId="0" fontId="43" fillId="0" borderId="2" xfId="0" applyFont="1" applyBorder="1"/>
    <xf numFmtId="0" fontId="0" fillId="0" borderId="9" xfId="0" applyBorder="1" applyAlignment="1">
      <alignment horizontal="center" vertical="center"/>
    </xf>
    <xf numFmtId="1" fontId="0" fillId="0" borderId="9" xfId="0" applyNumberFormat="1" applyBorder="1" applyAlignment="1">
      <alignment horizontal="center" vertical="center"/>
    </xf>
    <xf numFmtId="0" fontId="0" fillId="0" borderId="10" xfId="0" applyBorder="1" applyAlignment="1">
      <alignment horizontal="left" vertical="center"/>
    </xf>
    <xf numFmtId="0" fontId="5" fillId="0" borderId="4" xfId="0" applyFont="1" applyBorder="1" applyAlignment="1">
      <alignment horizontal="left" vertical="top" wrapText="1"/>
    </xf>
    <xf numFmtId="0" fontId="0" fillId="0" borderId="9" xfId="0" applyBorder="1" applyAlignment="1">
      <alignment vertical="center"/>
    </xf>
    <xf numFmtId="0" fontId="0" fillId="0" borderId="10" xfId="0" applyBorder="1" applyAlignment="1">
      <alignment horizontal="center" vertical="center"/>
    </xf>
    <xf numFmtId="1" fontId="0" fillId="0" borderId="1" xfId="0" applyNumberFormat="1" applyBorder="1" applyAlignment="1">
      <alignment horizontal="left" vertical="top"/>
    </xf>
    <xf numFmtId="0" fontId="0" fillId="11" borderId="1" xfId="0" applyFill="1" applyBorder="1" applyAlignment="1">
      <alignment horizontal="left" vertical="center" wrapText="1"/>
    </xf>
    <xf numFmtId="0" fontId="0" fillId="0" borderId="1" xfId="0" applyBorder="1" applyAlignment="1">
      <alignment horizontal="left" wrapText="1"/>
    </xf>
    <xf numFmtId="0" fontId="3" fillId="0" borderId="1" xfId="1" applyBorder="1" applyAlignment="1">
      <alignment horizontal="left" wrapText="1"/>
    </xf>
    <xf numFmtId="0" fontId="14" fillId="0" borderId="1" xfId="0" applyFont="1" applyBorder="1" applyAlignment="1">
      <alignment horizontal="left" vertical="top" wrapText="1"/>
    </xf>
    <xf numFmtId="0" fontId="5" fillId="2" borderId="4" xfId="0" applyFont="1" applyFill="1" applyBorder="1" applyAlignment="1">
      <alignment horizontal="center" vertical="center" wrapText="1"/>
    </xf>
    <xf numFmtId="0" fontId="3" fillId="2" borderId="4" xfId="1" applyFill="1" applyBorder="1" applyAlignment="1">
      <alignment horizontal="center" vertical="center" wrapText="1"/>
    </xf>
    <xf numFmtId="15" fontId="0" fillId="0" borderId="23" xfId="0" applyNumberFormat="1" applyBorder="1" applyAlignment="1">
      <alignment horizontal="center" vertical="center"/>
    </xf>
    <xf numFmtId="0" fontId="5" fillId="9" borderId="7" xfId="0" applyFont="1" applyFill="1" applyBorder="1" applyAlignment="1">
      <alignment horizontal="left" vertical="top" wrapText="1"/>
    </xf>
    <xf numFmtId="1" fontId="0" fillId="0" borderId="7" xfId="0" applyNumberFormat="1" applyBorder="1" applyAlignment="1">
      <alignment horizontal="left" vertical="top" wrapText="1"/>
    </xf>
    <xf numFmtId="0" fontId="5" fillId="9" borderId="1" xfId="0" applyFont="1" applyFill="1" applyBorder="1" applyAlignment="1">
      <alignment horizontal="left" vertical="top" wrapText="1"/>
    </xf>
    <xf numFmtId="17" fontId="6" fillId="0" borderId="7" xfId="0" applyNumberFormat="1" applyFont="1" applyBorder="1" applyAlignment="1">
      <alignment horizontal="center" vertical="center"/>
    </xf>
    <xf numFmtId="164" fontId="42" fillId="0" borderId="1" xfId="0" applyNumberFormat="1" applyFont="1" applyBorder="1" applyAlignment="1">
      <alignment horizontal="center" vertical="center"/>
    </xf>
    <xf numFmtId="164" fontId="42" fillId="0" borderId="0" xfId="0" applyNumberFormat="1" applyFont="1" applyAlignment="1">
      <alignment horizontal="center" vertical="center"/>
    </xf>
    <xf numFmtId="0" fontId="42" fillId="0" borderId="0" xfId="0" applyFont="1"/>
    <xf numFmtId="0" fontId="0" fillId="0" borderId="22" xfId="0" applyBorder="1" applyAlignment="1">
      <alignment horizontal="left" vertical="top" wrapText="1"/>
    </xf>
    <xf numFmtId="15" fontId="0" fillId="0" borderId="7" xfId="0" applyNumberFormat="1" applyBorder="1" applyAlignment="1">
      <alignment horizontal="center" vertical="center" wrapText="1"/>
    </xf>
    <xf numFmtId="1" fontId="0" fillId="0" borderId="22" xfId="0" applyNumberFormat="1" applyBorder="1" applyAlignment="1">
      <alignment horizontal="left" vertical="top"/>
    </xf>
    <xf numFmtId="0" fontId="0" fillId="0" borderId="22" xfId="0" applyBorder="1" applyAlignment="1">
      <alignment horizontal="left" vertical="center" wrapText="1"/>
    </xf>
    <xf numFmtId="0" fontId="15" fillId="2" borderId="7" xfId="0" applyFont="1" applyFill="1" applyBorder="1" applyAlignment="1">
      <alignment horizontal="center" vertical="center" wrapText="1"/>
    </xf>
    <xf numFmtId="0" fontId="3" fillId="2" borderId="7" xfId="1" applyFill="1" applyBorder="1" applyAlignment="1">
      <alignment horizontal="center" vertical="center" wrapText="1"/>
    </xf>
    <xf numFmtId="0" fontId="15" fillId="2" borderId="7" xfId="0" applyFont="1" applyFill="1" applyBorder="1" applyAlignment="1">
      <alignment horizontal="left" vertical="center" wrapText="1"/>
    </xf>
    <xf numFmtId="0" fontId="0" fillId="0" borderId="24" xfId="0" applyBorder="1" applyAlignment="1">
      <alignment horizontal="left" vertical="center"/>
    </xf>
    <xf numFmtId="0" fontId="3" fillId="0" borderId="24" xfId="1" applyBorder="1" applyAlignment="1">
      <alignment horizontal="left" vertical="center" wrapText="1"/>
    </xf>
    <xf numFmtId="0" fontId="3" fillId="0" borderId="2" xfId="1" applyBorder="1" applyAlignment="1">
      <alignment horizontal="left" vertical="center" wrapText="1"/>
    </xf>
    <xf numFmtId="0" fontId="8" fillId="2" borderId="2" xfId="0" applyFont="1" applyFill="1" applyBorder="1" applyAlignment="1">
      <alignment horizontal="center" vertical="center"/>
    </xf>
    <xf numFmtId="0" fontId="3" fillId="2" borderId="2" xfId="1" applyFill="1" applyBorder="1" applyAlignment="1">
      <alignment horizontal="center" vertical="center"/>
    </xf>
    <xf numFmtId="0" fontId="5" fillId="2" borderId="4" xfId="0" applyFont="1" applyFill="1" applyBorder="1" applyAlignment="1">
      <alignment horizontal="left" vertical="center" wrapText="1"/>
    </xf>
    <xf numFmtId="15" fontId="42" fillId="0" borderId="1" xfId="0" applyNumberFormat="1" applyFont="1" applyBorder="1" applyAlignment="1">
      <alignment horizontal="center" vertical="center"/>
    </xf>
    <xf numFmtId="0" fontId="8" fillId="2" borderId="1" xfId="0" applyFont="1" applyFill="1" applyBorder="1" applyAlignment="1">
      <alignment horizontal="center" vertical="center" wrapText="1"/>
    </xf>
    <xf numFmtId="0" fontId="0" fillId="0" borderId="0" xfId="0" applyAlignment="1">
      <alignment horizontal="center" vertical="top" wrapText="1"/>
    </xf>
    <xf numFmtId="0" fontId="46" fillId="2" borderId="1" xfId="0" applyFont="1" applyFill="1" applyBorder="1" applyAlignment="1">
      <alignment horizontal="center" vertical="center" wrapText="1"/>
    </xf>
    <xf numFmtId="15" fontId="0" fillId="0" borderId="1" xfId="0" applyNumberFormat="1" applyBorder="1" applyAlignment="1">
      <alignment horizontal="left" vertical="center"/>
    </xf>
    <xf numFmtId="0" fontId="0" fillId="10" borderId="1" xfId="0" applyFill="1" applyBorder="1" applyAlignment="1">
      <alignment horizontal="left" vertical="top" wrapText="1"/>
    </xf>
    <xf numFmtId="0" fontId="47" fillId="2" borderId="1" xfId="1" applyFont="1" applyFill="1" applyBorder="1" applyAlignment="1">
      <alignment horizontal="center" vertical="center"/>
    </xf>
    <xf numFmtId="0" fontId="0" fillId="0" borderId="9" xfId="0" applyBorder="1" applyAlignment="1">
      <alignment horizontal="center" vertical="top" wrapText="1"/>
    </xf>
    <xf numFmtId="1" fontId="0" fillId="0" borderId="2" xfId="0" applyNumberFormat="1" applyBorder="1" applyAlignment="1">
      <alignment horizontal="center" vertical="top" wrapText="1"/>
    </xf>
    <xf numFmtId="0" fontId="5" fillId="0" borderId="2" xfId="0" applyFont="1" applyBorder="1" applyAlignment="1">
      <alignment horizontal="left" wrapText="1"/>
    </xf>
    <xf numFmtId="0" fontId="3" fillId="0" borderId="2" xfId="1" applyBorder="1" applyAlignment="1">
      <alignment horizontal="left" wrapText="1"/>
    </xf>
    <xf numFmtId="0" fontId="6" fillId="2" borderId="2" xfId="0" applyFont="1" applyFill="1" applyBorder="1" applyAlignment="1">
      <alignment horizontal="center" vertical="center"/>
    </xf>
    <xf numFmtId="0" fontId="47" fillId="2" borderId="2" xfId="0" applyFont="1" applyFill="1" applyBorder="1" applyAlignment="1">
      <alignment horizontal="center" vertical="center"/>
    </xf>
    <xf numFmtId="0" fontId="47" fillId="2" borderId="1" xfId="0" applyFont="1" applyFill="1" applyBorder="1" applyAlignment="1">
      <alignment horizontal="left" vertical="center"/>
    </xf>
    <xf numFmtId="0" fontId="1" fillId="0" borderId="7" xfId="0" applyFont="1" applyBorder="1" applyAlignment="1">
      <alignment horizontal="left" vertical="center"/>
    </xf>
    <xf numFmtId="17" fontId="1" fillId="0" borderId="7" xfId="0" applyNumberFormat="1" applyFont="1" applyBorder="1" applyAlignment="1">
      <alignment horizontal="center" vertical="center"/>
    </xf>
    <xf numFmtId="0" fontId="1" fillId="0" borderId="7" xfId="0" applyFont="1" applyBorder="1" applyAlignment="1">
      <alignment vertical="center"/>
    </xf>
    <xf numFmtId="164" fontId="1" fillId="0" borderId="7" xfId="0" applyNumberFormat="1" applyFont="1" applyBorder="1" applyAlignment="1">
      <alignment horizontal="center" vertical="center"/>
    </xf>
    <xf numFmtId="0" fontId="1" fillId="0" borderId="7" xfId="0" applyFont="1" applyBorder="1" applyAlignment="1">
      <alignment horizontal="left" vertical="top" wrapText="1"/>
    </xf>
    <xf numFmtId="0" fontId="0" fillId="0" borderId="25" xfId="0" applyBorder="1" applyAlignment="1">
      <alignment vertical="center"/>
    </xf>
    <xf numFmtId="164" fontId="0" fillId="0" borderId="7" xfId="0" applyNumberFormat="1" applyBorder="1" applyAlignment="1">
      <alignment horizontal="center" vertical="center" wrapText="1"/>
    </xf>
    <xf numFmtId="0" fontId="5" fillId="0" borderId="7" xfId="0" applyFont="1" applyBorder="1" applyAlignment="1">
      <alignment horizontal="left" vertical="top" wrapText="1"/>
    </xf>
    <xf numFmtId="15" fontId="0" fillId="0" borderId="4" xfId="0" applyNumberFormat="1" applyBorder="1" applyAlignment="1">
      <alignment vertical="top"/>
    </xf>
    <xf numFmtId="15" fontId="0" fillId="0" borderId="4" xfId="0" applyNumberFormat="1" applyBorder="1" applyAlignment="1">
      <alignment horizontal="center" vertical="top"/>
    </xf>
    <xf numFmtId="1" fontId="0" fillId="0" borderId="9" xfId="0" applyNumberFormat="1" applyBorder="1" applyAlignment="1">
      <alignment horizontal="center" vertical="center" wrapText="1"/>
    </xf>
    <xf numFmtId="0" fontId="0" fillId="0" borderId="9" xfId="0" applyBorder="1" applyAlignment="1">
      <alignment horizontal="left" vertical="center" wrapText="1"/>
    </xf>
    <xf numFmtId="0" fontId="3" fillId="0" borderId="2" xfId="1" applyBorder="1" applyAlignment="1">
      <alignment horizontal="left" vertical="top"/>
    </xf>
    <xf numFmtId="0" fontId="0" fillId="0" borderId="2" xfId="0" applyBorder="1" applyAlignment="1">
      <alignment horizontal="left" wrapText="1"/>
    </xf>
    <xf numFmtId="15" fontId="0" fillId="0" borderId="1" xfId="0" applyNumberFormat="1" applyBorder="1" applyAlignment="1">
      <alignment vertical="top"/>
    </xf>
    <xf numFmtId="15" fontId="0" fillId="0" borderId="1" xfId="0" applyNumberFormat="1" applyBorder="1" applyAlignment="1">
      <alignment horizontal="center" vertical="top"/>
    </xf>
    <xf numFmtId="0" fontId="3" fillId="0" borderId="1" xfId="1" applyBorder="1" applyAlignment="1">
      <alignment horizontal="left" vertical="top"/>
    </xf>
    <xf numFmtId="0" fontId="8" fillId="2" borderId="1" xfId="0" applyFont="1" applyFill="1" applyBorder="1" applyAlignment="1">
      <alignment horizontal="left" vertical="center"/>
    </xf>
    <xf numFmtId="0" fontId="0" fillId="0" borderId="22" xfId="0" applyBorder="1" applyAlignment="1">
      <alignment horizontal="center" vertical="center" wrapText="1"/>
    </xf>
    <xf numFmtId="0" fontId="3" fillId="0" borderId="7" xfId="1" applyBorder="1" applyAlignment="1">
      <alignment vertical="center" wrapText="1"/>
    </xf>
    <xf numFmtId="0" fontId="3" fillId="0" borderId="7" xfId="1" applyBorder="1" applyAlignment="1">
      <alignment horizontal="center" vertical="center"/>
    </xf>
    <xf numFmtId="0" fontId="14" fillId="0" borderId="1" xfId="0" applyFont="1" applyBorder="1" applyAlignment="1">
      <alignment wrapText="1"/>
    </xf>
    <xf numFmtId="0" fontId="14" fillId="0" borderId="2" xfId="0" applyFont="1" applyBorder="1" applyAlignment="1">
      <alignment wrapText="1"/>
    </xf>
    <xf numFmtId="0" fontId="0" fillId="0" borderId="9" xfId="0" applyBorder="1" applyAlignment="1">
      <alignment horizontal="left" vertical="center"/>
    </xf>
    <xf numFmtId="0" fontId="14" fillId="0" borderId="7" xfId="0" applyFont="1" applyBorder="1" applyAlignment="1">
      <alignment wrapText="1"/>
    </xf>
    <xf numFmtId="0" fontId="48" fillId="2" borderId="6" xfId="0" applyFont="1" applyFill="1" applyBorder="1"/>
    <xf numFmtId="0" fontId="18" fillId="2" borderId="6" xfId="1" applyFont="1" applyFill="1" applyBorder="1" applyAlignment="1">
      <alignment wrapText="1"/>
    </xf>
    <xf numFmtId="0" fontId="20" fillId="2" borderId="6" xfId="0" applyFont="1" applyFill="1" applyBorder="1"/>
    <xf numFmtId="15" fontId="0" fillId="0" borderId="2" xfId="0" applyNumberFormat="1" applyBorder="1"/>
    <xf numFmtId="15" fontId="0" fillId="0" borderId="2" xfId="0" applyNumberFormat="1" applyBorder="1" applyAlignment="1">
      <alignment horizontal="center"/>
    </xf>
    <xf numFmtId="17" fontId="15" fillId="0" borderId="1" xfId="0" applyNumberFormat="1" applyFont="1" applyBorder="1" applyAlignment="1">
      <alignment horizontal="center" vertical="center"/>
    </xf>
    <xf numFmtId="0" fontId="15" fillId="0" borderId="1" xfId="0" applyFont="1" applyBorder="1" applyAlignment="1">
      <alignment vertical="center" wrapText="1"/>
    </xf>
    <xf numFmtId="164" fontId="15" fillId="0" borderId="1" xfId="0" applyNumberFormat="1" applyFont="1" applyBorder="1" applyAlignment="1">
      <alignment horizontal="center" vertical="center" wrapText="1"/>
    </xf>
    <xf numFmtId="0" fontId="15" fillId="0" borderId="1" xfId="0" applyFont="1" applyBorder="1" applyAlignment="1">
      <alignment horizontal="left" vertical="top" wrapText="1"/>
    </xf>
    <xf numFmtId="0" fontId="0" fillId="9" borderId="4" xfId="0" applyFill="1" applyBorder="1" applyAlignment="1">
      <alignment horizontal="left" vertical="top" wrapText="1"/>
    </xf>
    <xf numFmtId="0" fontId="5" fillId="2" borderId="4" xfId="0" applyFont="1" applyFill="1" applyBorder="1" applyAlignment="1">
      <alignment horizontal="left" vertical="center"/>
    </xf>
    <xf numFmtId="0" fontId="15" fillId="0" borderId="4" xfId="0" applyFont="1" applyBorder="1" applyAlignment="1">
      <alignment horizontal="center" vertical="center" wrapText="1"/>
    </xf>
    <xf numFmtId="1" fontId="0" fillId="0" borderId="5" xfId="0" applyNumberFormat="1" applyBorder="1" applyAlignment="1">
      <alignment horizontal="center" vertical="center"/>
    </xf>
    <xf numFmtId="0" fontId="0" fillId="0" borderId="5" xfId="0" applyBorder="1" applyAlignment="1">
      <alignment horizontal="left" vertical="center"/>
    </xf>
    <xf numFmtId="0" fontId="0" fillId="0" borderId="26" xfId="0" applyBorder="1" applyAlignment="1">
      <alignment horizontal="left" vertical="center"/>
    </xf>
    <xf numFmtId="14" fontId="0" fillId="0" borderId="2" xfId="0" applyNumberFormat="1" applyBorder="1" applyAlignment="1">
      <alignment horizontal="center" vertical="center"/>
    </xf>
    <xf numFmtId="0" fontId="20" fillId="2" borderId="6" xfId="0" applyFont="1" applyFill="1" applyBorder="1" applyAlignment="1">
      <alignment wrapText="1"/>
    </xf>
    <xf numFmtId="0" fontId="5" fillId="2" borderId="7" xfId="0" applyFont="1" applyFill="1" applyBorder="1" applyAlignment="1">
      <alignment horizontal="center" vertical="center"/>
    </xf>
    <xf numFmtId="0" fontId="3" fillId="2" borderId="7" xfId="1" applyFill="1" applyBorder="1" applyAlignment="1">
      <alignment horizontal="center" vertical="center"/>
    </xf>
    <xf numFmtId="0" fontId="5" fillId="2" borderId="7" xfId="0" quotePrefix="1" applyFont="1" applyFill="1" applyBorder="1" applyAlignment="1">
      <alignment horizontal="center" vertical="center"/>
    </xf>
    <xf numFmtId="0" fontId="15" fillId="0" borderId="7" xfId="0" applyFont="1" applyBorder="1" applyAlignment="1">
      <alignment horizontal="center" vertical="center" wrapText="1"/>
    </xf>
    <xf numFmtId="0" fontId="8" fillId="2" borderId="4" xfId="0" applyFont="1" applyFill="1" applyBorder="1" applyAlignment="1">
      <alignment horizontal="center" vertical="center"/>
    </xf>
    <xf numFmtId="0" fontId="0" fillId="9" borderId="1" xfId="0" applyFill="1" applyBorder="1" applyAlignment="1">
      <alignment horizontal="left" vertical="top" wrapText="1"/>
    </xf>
    <xf numFmtId="0" fontId="15" fillId="0" borderId="2" xfId="0" applyFont="1" applyBorder="1" applyAlignment="1">
      <alignment horizontal="left" vertical="center"/>
    </xf>
    <xf numFmtId="164" fontId="0" fillId="0" borderId="1" xfId="0" applyNumberFormat="1" applyBorder="1"/>
    <xf numFmtId="0" fontId="5" fillId="2" borderId="4" xfId="0" quotePrefix="1" applyFont="1" applyFill="1" applyBorder="1" applyAlignment="1">
      <alignment horizontal="center" vertical="center" wrapText="1"/>
    </xf>
    <xf numFmtId="0" fontId="0" fillId="0" borderId="27" xfId="0" applyBorder="1" applyAlignment="1">
      <alignment horizontal="center" vertical="top" wrapText="1"/>
    </xf>
    <xf numFmtId="1" fontId="30" fillId="0" borderId="27" xfId="0" applyNumberFormat="1" applyFont="1" applyBorder="1" applyAlignment="1">
      <alignment horizontal="center" vertical="center" wrapText="1"/>
    </xf>
    <xf numFmtId="0" fontId="1" fillId="0" borderId="2" xfId="0" applyFont="1" applyBorder="1" applyAlignment="1">
      <alignment vertical="center"/>
    </xf>
    <xf numFmtId="0" fontId="45" fillId="2" borderId="1" xfId="0" quotePrefix="1" applyFont="1" applyFill="1" applyBorder="1" applyAlignment="1">
      <alignment horizontal="center" vertical="center" wrapText="1"/>
    </xf>
    <xf numFmtId="0" fontId="43" fillId="0" borderId="2" xfId="0" applyFont="1" applyBorder="1" applyAlignment="1">
      <alignment vertical="top" wrapText="1"/>
    </xf>
    <xf numFmtId="0" fontId="43" fillId="0" borderId="0" xfId="0" applyFont="1" applyAlignment="1">
      <alignment vertical="top" wrapText="1"/>
    </xf>
    <xf numFmtId="0" fontId="47" fillId="2" borderId="1" xfId="1" applyFont="1" applyFill="1" applyBorder="1" applyAlignment="1">
      <alignment horizontal="center" vertical="center" wrapText="1" readingOrder="1"/>
    </xf>
    <xf numFmtId="0" fontId="45" fillId="2" borderId="1" xfId="0" applyFont="1" applyFill="1" applyBorder="1" applyAlignment="1">
      <alignment horizontal="center" vertical="center" wrapText="1"/>
    </xf>
    <xf numFmtId="164" fontId="41" fillId="0" borderId="7" xfId="0" applyNumberFormat="1" applyFont="1" applyBorder="1" applyAlignment="1">
      <alignment horizontal="center" vertical="center"/>
    </xf>
    <xf numFmtId="0" fontId="11" fillId="2" borderId="7" xfId="0" applyFont="1" applyFill="1" applyBorder="1" applyAlignment="1">
      <alignment horizontal="center" vertical="center" wrapText="1"/>
    </xf>
    <xf numFmtId="0" fontId="10" fillId="2" borderId="7" xfId="1" applyFont="1" applyFill="1" applyBorder="1" applyAlignment="1">
      <alignment horizontal="center" vertical="center" wrapText="1"/>
    </xf>
    <xf numFmtId="0" fontId="11" fillId="2" borderId="7" xfId="0" applyFont="1" applyFill="1" applyBorder="1" applyAlignment="1">
      <alignment horizontal="left" vertical="center" wrapText="1"/>
    </xf>
    <xf numFmtId="15" fontId="0" fillId="0" borderId="4" xfId="0" applyNumberFormat="1" applyBorder="1" applyAlignment="1">
      <alignment horizontal="center"/>
    </xf>
    <xf numFmtId="0" fontId="45" fillId="2" borderId="1" xfId="0" applyFont="1" applyFill="1" applyBorder="1" applyAlignment="1">
      <alignment horizontal="left" vertical="center" wrapText="1"/>
    </xf>
    <xf numFmtId="164" fontId="15" fillId="0" borderId="1" xfId="0" applyNumberFormat="1" applyFont="1" applyBorder="1" applyAlignment="1">
      <alignment horizontal="center" vertical="center"/>
    </xf>
    <xf numFmtId="0" fontId="15" fillId="2" borderId="1" xfId="0" applyFont="1" applyFill="1" applyBorder="1" applyAlignment="1">
      <alignment horizontal="left" vertical="top" wrapText="1"/>
    </xf>
    <xf numFmtId="0" fontId="6" fillId="0" borderId="5" xfId="0" applyFont="1" applyBorder="1" applyAlignment="1">
      <alignment horizontal="left" vertical="center"/>
    </xf>
    <xf numFmtId="17" fontId="0" fillId="2" borderId="5" xfId="0" applyNumberFormat="1" applyFill="1" applyBorder="1" applyAlignment="1">
      <alignment horizontal="center" vertical="top" wrapText="1"/>
    </xf>
    <xf numFmtId="0" fontId="0" fillId="0" borderId="11" xfId="0" applyBorder="1" applyAlignment="1">
      <alignment vertical="center"/>
    </xf>
    <xf numFmtId="0" fontId="0" fillId="0" borderId="22" xfId="0" applyBorder="1" applyAlignment="1">
      <alignment horizontal="left" vertical="center"/>
    </xf>
    <xf numFmtId="17" fontId="0" fillId="0" borderId="22" xfId="0" applyNumberFormat="1" applyBorder="1" applyAlignment="1">
      <alignment horizontal="center" vertical="center"/>
    </xf>
    <xf numFmtId="0" fontId="0" fillId="0" borderId="24" xfId="0" applyBorder="1" applyAlignment="1">
      <alignment vertical="center"/>
    </xf>
    <xf numFmtId="15" fontId="0" fillId="0" borderId="7" xfId="0" applyNumberFormat="1" applyBorder="1" applyAlignment="1">
      <alignment horizontal="center"/>
    </xf>
    <xf numFmtId="0" fontId="6" fillId="0" borderId="3" xfId="0" applyFont="1" applyBorder="1" applyAlignment="1">
      <alignment horizontal="left" vertical="center"/>
    </xf>
    <xf numFmtId="17" fontId="0" fillId="2" borderId="3" xfId="0" applyNumberFormat="1" applyFill="1" applyBorder="1" applyAlignment="1">
      <alignment horizontal="center" vertical="top" wrapText="1"/>
    </xf>
    <xf numFmtId="0" fontId="0" fillId="0" borderId="8" xfId="0" applyBorder="1" applyAlignment="1">
      <alignment vertical="center"/>
    </xf>
    <xf numFmtId="0" fontId="0" fillId="0" borderId="3" xfId="0" applyBorder="1" applyAlignment="1">
      <alignment horizontal="left" vertical="center"/>
    </xf>
    <xf numFmtId="17" fontId="0" fillId="0" borderId="3" xfId="0" applyNumberFormat="1" applyBorder="1" applyAlignment="1">
      <alignment horizontal="center" vertical="center"/>
    </xf>
    <xf numFmtId="0" fontId="18" fillId="2" borderId="6" xfId="1" applyFont="1" applyFill="1" applyBorder="1"/>
    <xf numFmtId="0" fontId="0" fillId="0" borderId="8" xfId="0" applyBorder="1" applyAlignment="1">
      <alignment horizontal="left" vertical="center" wrapText="1"/>
    </xf>
    <xf numFmtId="15" fontId="0" fillId="0" borderId="2" xfId="0" applyNumberFormat="1" applyBorder="1" applyAlignment="1">
      <alignment vertical="top"/>
    </xf>
    <xf numFmtId="15" fontId="0" fillId="0" borderId="2" xfId="0" applyNumberFormat="1" applyBorder="1" applyAlignment="1">
      <alignment horizontal="center" vertical="top"/>
    </xf>
    <xf numFmtId="0" fontId="14" fillId="0" borderId="8" xfId="0" applyFont="1" applyBorder="1" applyAlignment="1">
      <alignment wrapText="1"/>
    </xf>
    <xf numFmtId="0" fontId="49" fillId="0" borderId="1" xfId="0" applyFont="1" applyBorder="1" applyAlignment="1">
      <alignment vertical="center"/>
    </xf>
    <xf numFmtId="0" fontId="5" fillId="0" borderId="1" xfId="0" applyFont="1" applyBorder="1" applyAlignment="1">
      <alignment horizontal="left" vertical="center"/>
    </xf>
    <xf numFmtId="0" fontId="5" fillId="0" borderId="3" xfId="0" applyFont="1" applyBorder="1" applyAlignment="1">
      <alignment horizontal="left" vertical="center"/>
    </xf>
    <xf numFmtId="17" fontId="15" fillId="0" borderId="3" xfId="0" applyNumberFormat="1" applyFont="1" applyBorder="1" applyAlignment="1">
      <alignment horizontal="center" vertical="center"/>
    </xf>
    <xf numFmtId="0" fontId="15" fillId="0" borderId="8" xfId="0" applyFont="1" applyBorder="1" applyAlignment="1">
      <alignment vertical="center" wrapText="1"/>
    </xf>
    <xf numFmtId="1" fontId="0" fillId="0" borderId="1" xfId="0" quotePrefix="1" applyNumberFormat="1" applyBorder="1" applyAlignment="1">
      <alignment horizontal="center" vertical="center"/>
    </xf>
    <xf numFmtId="0" fontId="3" fillId="2" borderId="1" xfId="1" applyFill="1" applyBorder="1" applyAlignment="1">
      <alignment horizontal="left" vertical="center"/>
    </xf>
    <xf numFmtId="0" fontId="5" fillId="2" borderId="1" xfId="0" applyFont="1" applyFill="1" applyBorder="1" applyAlignment="1">
      <alignment horizontal="left" vertical="center"/>
    </xf>
    <xf numFmtId="0" fontId="8" fillId="0" borderId="3" xfId="0" applyFont="1" applyBorder="1" applyAlignment="1">
      <alignment horizontal="left" vertical="center"/>
    </xf>
    <xf numFmtId="17" fontId="6" fillId="0" borderId="3" xfId="0" applyNumberFormat="1" applyFont="1" applyBorder="1" applyAlignment="1">
      <alignment horizontal="center" vertical="center"/>
    </xf>
    <xf numFmtId="15" fontId="0" fillId="0" borderId="12" xfId="0" applyNumberFormat="1" applyBorder="1" applyAlignment="1">
      <alignment horizontal="center" vertical="center"/>
    </xf>
    <xf numFmtId="0" fontId="6" fillId="0" borderId="9" xfId="0" applyFont="1" applyBorder="1" applyAlignment="1">
      <alignment horizontal="left" vertical="center"/>
    </xf>
    <xf numFmtId="17" fontId="6" fillId="0" borderId="9" xfId="0" applyNumberFormat="1" applyFont="1" applyBorder="1" applyAlignment="1">
      <alignment horizontal="center" vertical="center"/>
    </xf>
    <xf numFmtId="0" fontId="0" fillId="0" borderId="10" xfId="0" applyBorder="1" applyAlignment="1">
      <alignment vertical="center"/>
    </xf>
    <xf numFmtId="0" fontId="50" fillId="0" borderId="1" xfId="0" applyFont="1" applyBorder="1" applyAlignment="1">
      <alignment vertical="center"/>
    </xf>
    <xf numFmtId="0" fontId="6" fillId="0" borderId="22" xfId="0" applyFont="1" applyBorder="1" applyAlignment="1">
      <alignment horizontal="left" vertical="center"/>
    </xf>
    <xf numFmtId="17" fontId="6" fillId="0" borderId="22" xfId="0" applyNumberFormat="1" applyFont="1" applyBorder="1" applyAlignment="1">
      <alignment horizontal="center" vertical="center"/>
    </xf>
    <xf numFmtId="1" fontId="0" fillId="0" borderId="7" xfId="0" applyNumberFormat="1" applyBorder="1" applyAlignment="1">
      <alignment horizontal="center" vertical="center" wrapText="1"/>
    </xf>
    <xf numFmtId="0" fontId="47" fillId="0" borderId="1" xfId="1" applyFont="1" applyBorder="1" applyAlignment="1">
      <alignment horizontal="center" vertical="center"/>
    </xf>
    <xf numFmtId="17" fontId="0" fillId="2" borderId="9" xfId="0" applyNumberFormat="1" applyFill="1" applyBorder="1" applyAlignment="1">
      <alignment horizontal="center" vertical="top" wrapText="1"/>
    </xf>
    <xf numFmtId="0" fontId="13" fillId="0" borderId="1" xfId="0" applyFont="1" applyBorder="1" applyAlignment="1">
      <alignment horizontal="left" vertical="center"/>
    </xf>
    <xf numFmtId="14" fontId="0" fillId="0" borderId="1" xfId="0" applyNumberFormat="1" applyBorder="1" applyAlignment="1">
      <alignment horizontal="center" vertical="center" wrapText="1"/>
    </xf>
    <xf numFmtId="0" fontId="7" fillId="0" borderId="1" xfId="1" applyFont="1" applyBorder="1" applyAlignment="1">
      <alignment horizontal="center" vertical="center"/>
    </xf>
    <xf numFmtId="0" fontId="3" fillId="0" borderId="1" xfId="1" applyBorder="1" applyAlignment="1">
      <alignment horizontal="center" vertical="center"/>
    </xf>
    <xf numFmtId="0" fontId="21" fillId="0" borderId="1" xfId="0" applyFont="1" applyBorder="1" applyAlignment="1">
      <alignment horizontal="left" vertical="center"/>
    </xf>
    <xf numFmtId="0" fontId="0" fillId="0" borderId="1" xfId="0" applyBorder="1"/>
    <xf numFmtId="0" fontId="14" fillId="0" borderId="10" xfId="0" applyFont="1" applyBorder="1" applyAlignment="1">
      <alignment horizontal="left" vertical="center"/>
    </xf>
    <xf numFmtId="0" fontId="6" fillId="0" borderId="2" xfId="0" applyFont="1" applyBorder="1" applyAlignment="1">
      <alignment horizontal="center" vertical="center"/>
    </xf>
    <xf numFmtId="0" fontId="47" fillId="0" borderId="2" xfId="1" applyFont="1" applyBorder="1" applyAlignment="1">
      <alignment horizontal="center" vertical="center"/>
    </xf>
    <xf numFmtId="0" fontId="47" fillId="0" borderId="1" xfId="1" applyFont="1" applyBorder="1" applyAlignment="1">
      <alignment horizontal="left" vertical="center"/>
    </xf>
    <xf numFmtId="0" fontId="0" fillId="10" borderId="0" xfId="0" applyFill="1" applyAlignment="1">
      <alignment horizontal="left" vertical="top" wrapText="1"/>
    </xf>
    <xf numFmtId="0" fontId="19" fillId="2" borderId="4" xfId="0" applyFont="1" applyFill="1" applyBorder="1" applyAlignment="1">
      <alignment horizontal="center" vertical="center"/>
    </xf>
    <xf numFmtId="0" fontId="3" fillId="2" borderId="4" xfId="1" applyFill="1" applyBorder="1" applyAlignment="1">
      <alignment horizontal="center" vertical="center"/>
    </xf>
    <xf numFmtId="15" fontId="0" fillId="0" borderId="4" xfId="0" applyNumberFormat="1" applyBorder="1" applyAlignment="1">
      <alignment horizontal="left" vertical="center" wrapText="1"/>
    </xf>
    <xf numFmtId="15" fontId="3" fillId="0" borderId="4" xfId="1" applyNumberFormat="1" applyBorder="1" applyAlignment="1">
      <alignment horizontal="left" vertical="center" wrapText="1"/>
    </xf>
    <xf numFmtId="0" fontId="19" fillId="0" borderId="1" xfId="0" applyFont="1" applyBorder="1" applyAlignment="1">
      <alignment horizontal="left" vertical="center"/>
    </xf>
    <xf numFmtId="0" fontId="47" fillId="2" borderId="2" xfId="1" applyFont="1" applyFill="1" applyBorder="1" applyAlignment="1">
      <alignment horizontal="center" vertical="center"/>
    </xf>
    <xf numFmtId="0" fontId="0" fillId="0" borderId="10" xfId="0" applyBorder="1" applyAlignment="1">
      <alignment horizontal="left" vertical="center" wrapText="1"/>
    </xf>
    <xf numFmtId="0" fontId="3" fillId="0" borderId="10" xfId="1" applyBorder="1" applyAlignment="1">
      <alignment horizontal="left" vertical="center" wrapText="1"/>
    </xf>
    <xf numFmtId="0" fontId="8" fillId="0" borderId="4" xfId="0" applyFont="1" applyBorder="1" applyAlignment="1">
      <alignment vertical="top" wrapText="1"/>
    </xf>
    <xf numFmtId="0" fontId="6" fillId="2" borderId="4" xfId="0" applyFont="1" applyFill="1" applyBorder="1" applyAlignment="1">
      <alignment horizontal="center" vertical="center"/>
    </xf>
    <xf numFmtId="0" fontId="8" fillId="0" borderId="4" xfId="0" applyFont="1" applyBorder="1" applyAlignment="1">
      <alignment horizontal="left" vertical="center"/>
    </xf>
    <xf numFmtId="0" fontId="7" fillId="2" borderId="2" xfId="1"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2" borderId="1" xfId="0" applyFill="1" applyBorder="1" applyAlignment="1">
      <alignment vertical="top"/>
    </xf>
    <xf numFmtId="0" fontId="3" fillId="2" borderId="1" xfId="1" applyFill="1" applyBorder="1" applyAlignment="1">
      <alignment vertical="top"/>
    </xf>
    <xf numFmtId="0" fontId="14" fillId="0" borderId="2" xfId="0" applyFont="1" applyBorder="1" applyAlignment="1">
      <alignment horizontal="left" vertical="top" wrapText="1"/>
    </xf>
    <xf numFmtId="0" fontId="4" fillId="0" borderId="2" xfId="0" applyFont="1" applyBorder="1" applyAlignment="1">
      <alignment horizontal="left" vertical="center"/>
    </xf>
    <xf numFmtId="0" fontId="0" fillId="0" borderId="10" xfId="0" applyBorder="1" applyAlignment="1">
      <alignment horizontal="left" vertical="top"/>
    </xf>
    <xf numFmtId="0" fontId="0" fillId="0" borderId="12" xfId="0" applyBorder="1" applyAlignment="1">
      <alignment horizontal="left" vertical="center"/>
    </xf>
    <xf numFmtId="17" fontId="6" fillId="0" borderId="4" xfId="0" applyNumberFormat="1" applyFont="1" applyBorder="1" applyAlignment="1">
      <alignment horizontal="center" vertical="center"/>
    </xf>
    <xf numFmtId="0" fontId="43" fillId="0" borderId="4" xfId="0" applyFont="1" applyBorder="1"/>
    <xf numFmtId="0" fontId="0" fillId="0" borderId="28" xfId="0" applyBorder="1" applyAlignment="1">
      <alignment horizontal="center" vertical="center"/>
    </xf>
    <xf numFmtId="1" fontId="0" fillId="0" borderId="29" xfId="0" applyNumberFormat="1" applyBorder="1" applyAlignment="1">
      <alignment horizontal="center" vertical="center"/>
    </xf>
    <xf numFmtId="0" fontId="6" fillId="0" borderId="12" xfId="0" applyFont="1" applyBorder="1" applyAlignment="1">
      <alignment horizontal="left" vertical="center"/>
    </xf>
    <xf numFmtId="0" fontId="12" fillId="2" borderId="6" xfId="0" applyFont="1" applyFill="1" applyBorder="1" applyAlignment="1">
      <alignment horizontal="center" vertical="center" wrapText="1"/>
    </xf>
    <xf numFmtId="0" fontId="7" fillId="2" borderId="6" xfId="1" applyFont="1" applyFill="1" applyBorder="1" applyAlignment="1">
      <alignment horizontal="center" vertical="center"/>
    </xf>
    <xf numFmtId="0" fontId="12" fillId="2" borderId="6" xfId="0" applyFont="1" applyFill="1" applyBorder="1" applyAlignment="1">
      <alignment horizontal="center" vertical="center"/>
    </xf>
    <xf numFmtId="0" fontId="45" fillId="2" borderId="2" xfId="0" applyFont="1" applyFill="1" applyBorder="1" applyAlignment="1">
      <alignment horizontal="center" vertical="center"/>
    </xf>
    <xf numFmtId="0" fontId="5" fillId="2" borderId="2" xfId="0" applyFont="1" applyFill="1" applyBorder="1" applyAlignment="1">
      <alignment horizontal="left" vertical="center"/>
    </xf>
    <xf numFmtId="0" fontId="45" fillId="2" borderId="2" xfId="0" applyFont="1" applyFill="1" applyBorder="1" applyAlignment="1">
      <alignment horizontal="left" vertical="center"/>
    </xf>
    <xf numFmtId="0" fontId="7" fillId="2" borderId="2" xfId="1" applyFont="1" applyFill="1" applyBorder="1" applyAlignment="1">
      <alignment horizontal="center" vertical="center"/>
    </xf>
    <xf numFmtId="0" fontId="5" fillId="0" borderId="2" xfId="0" applyFont="1" applyBorder="1" applyAlignment="1">
      <alignment horizontal="left" vertical="center"/>
    </xf>
    <xf numFmtId="164" fontId="15" fillId="0" borderId="2" xfId="0" applyNumberFormat="1" applyFont="1" applyBorder="1" applyAlignment="1">
      <alignment horizontal="center" vertical="center"/>
    </xf>
    <xf numFmtId="0" fontId="8" fillId="0" borderId="2" xfId="0" applyFont="1" applyBorder="1" applyAlignment="1">
      <alignment vertical="top" wrapText="1"/>
    </xf>
    <xf numFmtId="0" fontId="5" fillId="0" borderId="2" xfId="0" applyFont="1" applyBorder="1" applyAlignment="1">
      <alignment horizontal="left" vertical="top" wrapText="1"/>
    </xf>
    <xf numFmtId="2" fontId="0" fillId="0" borderId="0" xfId="0" applyNumberFormat="1"/>
    <xf numFmtId="0" fontId="0" fillId="0" borderId="0" xfId="0" applyAlignment="1">
      <alignment horizontal="left" wrapText="1"/>
    </xf>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vertical="top"/>
    </xf>
    <xf numFmtId="0" fontId="2" fillId="0" borderId="0" xfId="0" applyFont="1" applyAlignment="1">
      <alignment vertical="top"/>
    </xf>
    <xf numFmtId="0" fontId="9" fillId="0" borderId="1" xfId="0" applyFont="1" applyBorder="1" applyAlignment="1">
      <alignment vertical="top" wrapText="1"/>
    </xf>
    <xf numFmtId="0" fontId="6" fillId="0" borderId="1" xfId="0" applyFont="1" applyBorder="1" applyAlignment="1">
      <alignment vertical="top" wrapText="1"/>
    </xf>
    <xf numFmtId="17" fontId="6" fillId="0" borderId="1" xfId="0" applyNumberFormat="1" applyFont="1" applyBorder="1" applyAlignment="1">
      <alignment horizontal="left" vertical="center" wrapText="1"/>
    </xf>
    <xf numFmtId="0" fontId="6" fillId="0" borderId="1" xfId="0" applyFont="1" applyBorder="1" applyAlignment="1">
      <alignment vertical="center" wrapText="1"/>
    </xf>
    <xf numFmtId="0" fontId="9" fillId="0" borderId="1" xfId="0" applyFont="1" applyBorder="1" applyAlignment="1">
      <alignment vertical="center" wrapText="1"/>
    </xf>
    <xf numFmtId="0" fontId="7" fillId="0" borderId="1" xfId="1" applyFont="1" applyFill="1" applyBorder="1" applyAlignment="1">
      <alignment horizontal="left" vertical="center" wrapText="1" readingOrder="1"/>
    </xf>
    <xf numFmtId="0" fontId="6" fillId="0" borderId="1" xfId="0" applyFont="1" applyBorder="1" applyAlignment="1">
      <alignment horizontal="left" vertical="top" wrapText="1"/>
    </xf>
    <xf numFmtId="0" fontId="6" fillId="0" borderId="1" xfId="0" applyFont="1" applyBorder="1" applyAlignment="1">
      <alignment vertical="center" wrapText="1" readingOrder="1"/>
    </xf>
    <xf numFmtId="0" fontId="7" fillId="0" borderId="1" xfId="1" applyFont="1" applyFill="1" applyBorder="1" applyAlignment="1">
      <alignment horizontal="center" vertical="center" wrapText="1" readingOrder="1"/>
    </xf>
    <xf numFmtId="0" fontId="6" fillId="0" borderId="7" xfId="0" applyFont="1" applyBorder="1" applyAlignment="1">
      <alignment horizontal="center" vertical="center" wrapText="1"/>
    </xf>
    <xf numFmtId="15" fontId="6" fillId="0" borderId="7" xfId="0" applyNumberFormat="1" applyFont="1" applyBorder="1" applyAlignment="1">
      <alignment horizontal="center" vertical="center" wrapText="1"/>
    </xf>
    <xf numFmtId="0" fontId="13" fillId="0" borderId="1" xfId="0" applyFont="1" applyBorder="1" applyAlignment="1">
      <alignment vertical="top" wrapText="1"/>
    </xf>
    <xf numFmtId="0" fontId="8" fillId="2" borderId="1" xfId="0" applyFont="1" applyFill="1" applyBorder="1" applyAlignment="1">
      <alignment vertical="center" wrapText="1"/>
    </xf>
    <xf numFmtId="0" fontId="7" fillId="2" borderId="1" xfId="1" applyFont="1" applyFill="1" applyBorder="1" applyAlignment="1">
      <alignment horizontal="left" vertical="center" wrapText="1"/>
    </xf>
    <xf numFmtId="0" fontId="8" fillId="2" borderId="1" xfId="0" applyFont="1" applyFill="1" applyBorder="1" applyAlignment="1">
      <alignment horizontal="left" vertical="top" wrapText="1"/>
    </xf>
    <xf numFmtId="0" fontId="13" fillId="2" borderId="1" xfId="0" applyFont="1" applyFill="1" applyBorder="1" applyAlignment="1">
      <alignment vertical="center" wrapText="1"/>
    </xf>
    <xf numFmtId="0" fontId="51" fillId="2" borderId="1" xfId="0" applyFont="1" applyFill="1" applyBorder="1" applyAlignment="1">
      <alignment horizontal="left" vertical="center" wrapText="1"/>
    </xf>
    <xf numFmtId="0" fontId="10" fillId="2" borderId="1" xfId="1" applyNumberFormat="1" applyFont="1" applyFill="1" applyBorder="1" applyAlignment="1">
      <alignment horizontal="left" vertical="center" wrapText="1"/>
    </xf>
    <xf numFmtId="0" fontId="51" fillId="2" borderId="1" xfId="0" quotePrefix="1" applyFont="1" applyFill="1" applyBorder="1" applyAlignment="1">
      <alignment horizontal="left" vertical="top" wrapText="1"/>
    </xf>
    <xf numFmtId="15" fontId="6" fillId="0" borderId="1" xfId="0" applyNumberFormat="1" applyFont="1" applyBorder="1" applyAlignment="1">
      <alignment horizontal="center" vertical="center" wrapText="1"/>
    </xf>
    <xf numFmtId="0" fontId="7" fillId="0" borderId="1" xfId="1" applyFont="1" applyFill="1" applyBorder="1" applyAlignment="1">
      <alignment horizontal="left" vertical="center" wrapText="1"/>
    </xf>
    <xf numFmtId="0" fontId="8" fillId="0" borderId="1" xfId="0" applyFont="1" applyBorder="1" applyAlignment="1">
      <alignment horizontal="left" vertical="top" wrapText="1"/>
    </xf>
    <xf numFmtId="0" fontId="8" fillId="0" borderId="1" xfId="0" applyFont="1" applyBorder="1" applyAlignment="1">
      <alignment vertical="center" wrapText="1"/>
    </xf>
    <xf numFmtId="0" fontId="7" fillId="0" borderId="1" xfId="1" applyFont="1" applyFill="1" applyBorder="1" applyAlignment="1">
      <alignment horizontal="center" vertical="center" wrapText="1"/>
    </xf>
    <xf numFmtId="0" fontId="7" fillId="2" borderId="1" xfId="1" applyFont="1" applyFill="1" applyBorder="1" applyAlignment="1">
      <alignment horizontal="left" vertical="center" wrapText="1" readingOrder="1"/>
    </xf>
    <xf numFmtId="0" fontId="6" fillId="2" borderId="1" xfId="0" applyFont="1" applyFill="1" applyBorder="1" applyAlignment="1">
      <alignment horizontal="left" vertical="top" wrapText="1" readingOrder="1"/>
    </xf>
    <xf numFmtId="0" fontId="6" fillId="2" borderId="1" xfId="0" applyFont="1" applyFill="1" applyBorder="1" applyAlignment="1">
      <alignment vertical="center" wrapText="1" readingOrder="1"/>
    </xf>
    <xf numFmtId="0" fontId="7" fillId="2" borderId="1" xfId="1" applyFont="1" applyFill="1" applyBorder="1" applyAlignment="1">
      <alignment horizontal="center" vertical="center" wrapText="1" readingOrder="1"/>
    </xf>
    <xf numFmtId="0" fontId="6" fillId="2" borderId="1" xfId="0" applyFont="1" applyFill="1" applyBorder="1" applyAlignment="1">
      <alignment vertical="center" wrapText="1"/>
    </xf>
    <xf numFmtId="0" fontId="6" fillId="2" borderId="1" xfId="0" applyFont="1" applyFill="1" applyBorder="1" applyAlignment="1">
      <alignment horizontal="left" vertical="top" wrapText="1"/>
    </xf>
    <xf numFmtId="0" fontId="52" fillId="2" borderId="1" xfId="0" applyFont="1" applyFill="1" applyBorder="1" applyAlignment="1">
      <alignment vertical="center" wrapText="1"/>
    </xf>
    <xf numFmtId="0" fontId="53" fillId="2" borderId="1" xfId="0" applyFont="1" applyFill="1" applyBorder="1" applyAlignment="1">
      <alignment horizontal="left" vertical="top" wrapText="1"/>
    </xf>
    <xf numFmtId="17" fontId="6" fillId="0" borderId="1" xfId="0" applyNumberFormat="1" applyFont="1" applyBorder="1" applyAlignment="1">
      <alignment horizontal="left" vertical="top" wrapText="1"/>
    </xf>
    <xf numFmtId="0" fontId="8" fillId="2" borderId="1" xfId="0" applyFont="1" applyFill="1" applyBorder="1" applyAlignment="1">
      <alignment vertical="top" wrapText="1"/>
    </xf>
    <xf numFmtId="0" fontId="7" fillId="2" borderId="1" xfId="1" applyFont="1" applyFill="1" applyBorder="1" applyAlignment="1">
      <alignment horizontal="left" vertical="top" wrapText="1"/>
    </xf>
    <xf numFmtId="0" fontId="10" fillId="2" borderId="6" xfId="1" applyNumberFormat="1" applyFont="1" applyFill="1" applyBorder="1" applyAlignment="1">
      <alignment horizontal="left" vertical="center" wrapText="1"/>
    </xf>
    <xf numFmtId="0" fontId="53" fillId="2" borderId="6" xfId="0" quotePrefix="1" applyFont="1" applyFill="1" applyBorder="1" applyAlignment="1">
      <alignment horizontal="left" vertical="top" wrapText="1"/>
    </xf>
    <xf numFmtId="0" fontId="0" fillId="2" borderId="1" xfId="0" applyFill="1" applyBorder="1" applyAlignment="1">
      <alignment vertical="top" wrapText="1"/>
    </xf>
    <xf numFmtId="0" fontId="6" fillId="0" borderId="2" xfId="0" applyFont="1" applyBorder="1" applyAlignment="1">
      <alignment vertical="center" wrapText="1"/>
    </xf>
    <xf numFmtId="0" fontId="52" fillId="2" borderId="1" xfId="0" applyFont="1" applyFill="1" applyBorder="1" applyAlignment="1">
      <alignment horizontal="left" vertical="top" wrapText="1"/>
    </xf>
    <xf numFmtId="0" fontId="51" fillId="2" borderId="1" xfId="0" applyFont="1" applyFill="1" applyBorder="1" applyAlignment="1">
      <alignment horizontal="left" vertical="top" wrapText="1"/>
    </xf>
    <xf numFmtId="0" fontId="54" fillId="0" borderId="1" xfId="0" applyFont="1" applyBorder="1" applyAlignment="1">
      <alignment vertical="center" wrapText="1"/>
    </xf>
    <xf numFmtId="0" fontId="55" fillId="2" borderId="1" xfId="0" applyFont="1" applyFill="1" applyBorder="1" applyAlignment="1">
      <alignment horizontal="left" vertical="top" wrapText="1" readingOrder="1"/>
    </xf>
    <xf numFmtId="0" fontId="7" fillId="0" borderId="1" xfId="1" applyFont="1" applyBorder="1" applyAlignment="1">
      <alignment horizontal="center" vertical="center" wrapText="1"/>
    </xf>
    <xf numFmtId="0" fontId="56" fillId="2" borderId="1" xfId="0" applyFont="1" applyFill="1" applyBorder="1" applyAlignment="1">
      <alignment horizontal="left" vertical="top" wrapText="1"/>
    </xf>
    <xf numFmtId="0" fontId="6" fillId="0" borderId="6" xfId="0" applyFont="1" applyBorder="1" applyAlignment="1">
      <alignment horizontal="left" vertical="center" wrapText="1"/>
    </xf>
    <xf numFmtId="0" fontId="6" fillId="0" borderId="6" xfId="0" applyFont="1" applyBorder="1" applyAlignment="1">
      <alignment horizontal="left" vertical="top" wrapText="1"/>
    </xf>
    <xf numFmtId="0" fontId="54" fillId="0" borderId="1" xfId="0" applyFont="1" applyBorder="1" applyAlignment="1">
      <alignment horizontal="left" vertical="top" wrapText="1"/>
    </xf>
    <xf numFmtId="0" fontId="7" fillId="12" borderId="1" xfId="1" applyFont="1" applyFill="1" applyBorder="1" applyAlignment="1">
      <alignment horizontal="center" vertical="center" wrapText="1"/>
    </xf>
    <xf numFmtId="0" fontId="57" fillId="0" borderId="1" xfId="0" applyFont="1" applyBorder="1" applyAlignment="1">
      <alignment horizontal="left" vertical="center" wrapText="1"/>
    </xf>
    <xf numFmtId="0" fontId="57" fillId="0" borderId="1" xfId="0" applyFont="1" applyBorder="1" applyAlignment="1">
      <alignment horizontal="center" vertical="center" wrapText="1"/>
    </xf>
    <xf numFmtId="0" fontId="12" fillId="0" borderId="1" xfId="0" applyFont="1" applyBorder="1" applyAlignment="1">
      <alignment horizontal="left" vertical="top" wrapText="1"/>
    </xf>
    <xf numFmtId="0" fontId="12" fillId="0" borderId="1" xfId="0" applyFont="1" applyBorder="1" applyAlignment="1">
      <alignment vertical="center" wrapText="1"/>
    </xf>
    <xf numFmtId="0" fontId="54" fillId="0" borderId="1" xfId="0" applyFont="1" applyBorder="1" applyAlignment="1">
      <alignment horizontal="center" vertical="center" wrapText="1"/>
    </xf>
    <xf numFmtId="0" fontId="10" fillId="2" borderId="1" xfId="1" applyFont="1" applyFill="1" applyBorder="1" applyAlignment="1">
      <alignment horizontal="center" vertical="center" wrapText="1"/>
    </xf>
    <xf numFmtId="17" fontId="0" fillId="2" borderId="1" xfId="0" applyNumberFormat="1" applyFill="1" applyBorder="1" applyAlignment="1">
      <alignment horizontal="left" vertical="top" wrapText="1"/>
    </xf>
    <xf numFmtId="0" fontId="0" fillId="2" borderId="1" xfId="0" applyFill="1" applyBorder="1" applyAlignment="1">
      <alignment horizontal="left" vertical="top" wrapText="1"/>
    </xf>
    <xf numFmtId="0" fontId="6" fillId="0" borderId="3" xfId="0" applyFont="1" applyBorder="1" applyAlignment="1">
      <alignment vertical="center" wrapText="1"/>
    </xf>
    <xf numFmtId="0" fontId="54" fillId="0" borderId="1" xfId="0" applyFont="1" applyBorder="1" applyAlignment="1">
      <alignment horizontal="left" vertical="center" wrapText="1"/>
    </xf>
    <xf numFmtId="0" fontId="6" fillId="2" borderId="3" xfId="0" applyFont="1" applyFill="1" applyBorder="1" applyAlignment="1">
      <alignment vertical="center" wrapText="1"/>
    </xf>
    <xf numFmtId="0" fontId="7" fillId="0" borderId="1" xfId="1" applyFont="1" applyBorder="1" applyAlignment="1">
      <alignment horizontal="left" vertical="center" wrapText="1"/>
    </xf>
    <xf numFmtId="0" fontId="8" fillId="2" borderId="3" xfId="0" applyFont="1" applyFill="1" applyBorder="1" applyAlignment="1">
      <alignment vertical="center" wrapText="1"/>
    </xf>
    <xf numFmtId="0" fontId="6" fillId="0" borderId="0" xfId="0" applyFont="1" applyAlignment="1">
      <alignment vertical="center" wrapText="1"/>
    </xf>
    <xf numFmtId="0" fontId="12" fillId="0" borderId="3" xfId="0" applyFont="1" applyBorder="1" applyAlignment="1">
      <alignment vertical="center" wrapText="1"/>
    </xf>
    <xf numFmtId="0" fontId="8" fillId="0" borderId="1" xfId="0" applyFont="1" applyBorder="1" applyAlignment="1">
      <alignment horizontal="left" vertical="center" wrapText="1"/>
    </xf>
    <xf numFmtId="0" fontId="6" fillId="2" borderId="1" xfId="0" applyFont="1" applyFill="1" applyBorder="1" applyAlignment="1">
      <alignment horizontal="left" vertical="center" wrapText="1" readingOrder="1"/>
    </xf>
    <xf numFmtId="0" fontId="54" fillId="0" borderId="3" xfId="0" applyFont="1" applyBorder="1" applyAlignment="1">
      <alignment horizontal="left" vertical="top" wrapText="1"/>
    </xf>
    <xf numFmtId="0" fontId="54" fillId="0" borderId="3" xfId="0" applyFont="1" applyBorder="1" applyAlignment="1">
      <alignment vertical="center" wrapText="1"/>
    </xf>
    <xf numFmtId="0" fontId="19" fillId="2" borderId="1" xfId="0" applyFont="1" applyFill="1" applyBorder="1" applyAlignment="1">
      <alignment vertical="top" wrapText="1"/>
    </xf>
    <xf numFmtId="0" fontId="19" fillId="2" borderId="1" xfId="0" applyFont="1" applyFill="1" applyBorder="1" applyAlignment="1">
      <alignment horizontal="left" vertical="top" wrapText="1"/>
    </xf>
    <xf numFmtId="0" fontId="60" fillId="2" borderId="1" xfId="0" applyFont="1" applyFill="1" applyBorder="1" applyAlignment="1">
      <alignment vertical="top" wrapText="1"/>
    </xf>
    <xf numFmtId="0" fontId="19" fillId="2" borderId="3" xfId="0" applyFont="1" applyFill="1" applyBorder="1" applyAlignment="1">
      <alignment vertical="top" wrapText="1"/>
    </xf>
    <xf numFmtId="0" fontId="3" fillId="2" borderId="1" xfId="1" applyFill="1" applyBorder="1" applyAlignment="1">
      <alignment horizontal="left" vertical="top" wrapText="1"/>
    </xf>
    <xf numFmtId="0" fontId="20" fillId="2" borderId="1" xfId="0" applyFont="1" applyFill="1" applyBorder="1" applyAlignment="1">
      <alignment horizontal="left" vertical="top" wrapText="1"/>
    </xf>
    <xf numFmtId="0" fontId="18" fillId="2" borderId="1" xfId="1" applyFont="1" applyFill="1" applyBorder="1" applyAlignment="1">
      <alignment horizontal="left" vertical="top" wrapText="1"/>
    </xf>
    <xf numFmtId="0" fontId="13" fillId="0" borderId="2" xfId="0" applyFont="1" applyBorder="1" applyAlignment="1">
      <alignment vertical="top" wrapText="1"/>
    </xf>
    <xf numFmtId="0" fontId="6" fillId="0" borderId="2" xfId="0" applyFont="1" applyBorder="1" applyAlignment="1">
      <alignment horizontal="center" vertical="center" wrapText="1"/>
    </xf>
    <xf numFmtId="0" fontId="51" fillId="2" borderId="2" xfId="0" applyFont="1" applyFill="1" applyBorder="1" applyAlignment="1">
      <alignment horizontal="left" vertical="center" wrapText="1"/>
    </xf>
    <xf numFmtId="0" fontId="6" fillId="0" borderId="2" xfId="0" applyFont="1" applyBorder="1" applyAlignment="1">
      <alignment vertical="top" wrapText="1"/>
    </xf>
    <xf numFmtId="0" fontId="8" fillId="2" borderId="2" xfId="0" applyFont="1" applyFill="1" applyBorder="1" applyAlignment="1">
      <alignment horizontal="left" vertical="center" wrapText="1"/>
    </xf>
    <xf numFmtId="0" fontId="8" fillId="2" borderId="2" xfId="0" applyFont="1" applyFill="1" applyBorder="1" applyAlignment="1">
      <alignment vertical="center" wrapText="1"/>
    </xf>
    <xf numFmtId="0" fontId="6" fillId="0" borderId="2" xfId="0" applyFont="1" applyBorder="1" applyAlignment="1">
      <alignment horizontal="left" vertical="center" wrapText="1"/>
    </xf>
    <xf numFmtId="0" fontId="6" fillId="0" borderId="2" xfId="0" applyFont="1" applyBorder="1" applyAlignment="1">
      <alignment horizontal="left" vertical="top" wrapText="1"/>
    </xf>
    <xf numFmtId="0" fontId="0" fillId="0" borderId="1" xfId="0" applyBorder="1" applyAlignment="1">
      <alignment wrapText="1"/>
    </xf>
    <xf numFmtId="0" fontId="53" fillId="2" borderId="1" xfId="0" applyFont="1" applyFill="1" applyBorder="1" applyAlignment="1">
      <alignment horizontal="left" vertical="center" wrapText="1"/>
    </xf>
    <xf numFmtId="0" fontId="7" fillId="0" borderId="1" xfId="1" applyFont="1" applyBorder="1" applyAlignment="1">
      <alignment horizontal="left" vertical="center" wrapText="1" readingOrder="1"/>
    </xf>
    <xf numFmtId="0" fontId="6" fillId="0" borderId="1" xfId="0" applyFont="1" applyBorder="1" applyAlignment="1">
      <alignment horizontal="left" vertical="top" wrapText="1" readingOrder="1"/>
    </xf>
    <xf numFmtId="0" fontId="61" fillId="0" borderId="1" xfId="0" applyFont="1" applyBorder="1" applyAlignment="1">
      <alignment vertical="center" wrapText="1" readingOrder="1"/>
    </xf>
    <xf numFmtId="0" fontId="7" fillId="0" borderId="1" xfId="1" applyFont="1" applyBorder="1" applyAlignment="1">
      <alignment horizontal="center" vertical="center" wrapText="1" readingOrder="1"/>
    </xf>
    <xf numFmtId="0" fontId="8" fillId="2" borderId="1" xfId="0" quotePrefix="1" applyFont="1" applyFill="1" applyBorder="1" applyAlignment="1">
      <alignment horizontal="left" vertical="top" wrapText="1"/>
    </xf>
    <xf numFmtId="0" fontId="6" fillId="2" borderId="1" xfId="0" applyFont="1" applyFill="1" applyBorder="1" applyAlignment="1">
      <alignment vertical="top" wrapText="1"/>
    </xf>
    <xf numFmtId="0" fontId="6" fillId="0" borderId="1" xfId="0" applyFont="1" applyBorder="1" applyAlignment="1">
      <alignment horizontal="center" vertical="top" wrapText="1"/>
    </xf>
    <xf numFmtId="0" fontId="11" fillId="0" borderId="1" xfId="0" applyFont="1" applyBorder="1" applyAlignment="1">
      <alignment vertical="center" wrapText="1"/>
    </xf>
    <xf numFmtId="0" fontId="9" fillId="0" borderId="2" xfId="0" applyFont="1" applyBorder="1" applyAlignment="1">
      <alignment vertical="center" wrapText="1"/>
    </xf>
    <xf numFmtId="0" fontId="10" fillId="2" borderId="2" xfId="1" applyFont="1" applyFill="1" applyBorder="1" applyAlignment="1">
      <alignment horizontal="center" vertical="center" wrapText="1" readingOrder="1"/>
    </xf>
    <xf numFmtId="17" fontId="6" fillId="0" borderId="2" xfId="0" applyNumberFormat="1" applyFont="1" applyBorder="1" applyAlignment="1">
      <alignment horizontal="left" vertical="center" wrapText="1"/>
    </xf>
    <xf numFmtId="0" fontId="7" fillId="0" borderId="2" xfId="1" applyFont="1" applyFill="1" applyBorder="1" applyAlignment="1">
      <alignment horizontal="left" vertical="center" wrapText="1"/>
    </xf>
    <xf numFmtId="0" fontId="7" fillId="0" borderId="2" xfId="1" applyFont="1" applyFill="1" applyBorder="1" applyAlignment="1">
      <alignment horizontal="center" vertical="center" wrapText="1"/>
    </xf>
    <xf numFmtId="0" fontId="6" fillId="0" borderId="2" xfId="0" applyFont="1" applyBorder="1" applyAlignment="1">
      <alignment horizontal="center" vertical="center" wrapText="1" readingOrder="1"/>
    </xf>
    <xf numFmtId="0" fontId="6" fillId="2" borderId="2" xfId="0" applyFont="1" applyFill="1" applyBorder="1" applyAlignment="1">
      <alignment horizontal="left" vertical="center" wrapText="1"/>
    </xf>
    <xf numFmtId="0" fontId="7" fillId="2" borderId="2" xfId="1" applyFont="1" applyFill="1" applyBorder="1" applyAlignment="1">
      <alignment horizontal="left" vertical="center" wrapText="1"/>
    </xf>
    <xf numFmtId="0" fontId="6" fillId="2" borderId="2" xfId="0" applyFont="1" applyFill="1" applyBorder="1" applyAlignment="1">
      <alignment horizontal="left" vertical="top" wrapText="1"/>
    </xf>
    <xf numFmtId="0" fontId="8" fillId="2" borderId="2" xfId="0" applyFont="1" applyFill="1" applyBorder="1" applyAlignment="1">
      <alignment horizontal="left" vertical="top" wrapText="1"/>
    </xf>
    <xf numFmtId="0" fontId="10" fillId="2" borderId="2" xfId="1" applyNumberFormat="1" applyFont="1" applyFill="1" applyBorder="1" applyAlignment="1">
      <alignment horizontal="left" vertical="center" wrapText="1"/>
    </xf>
    <xf numFmtId="0" fontId="51" fillId="2" borderId="2" xfId="0" applyFont="1" applyFill="1" applyBorder="1" applyAlignment="1">
      <alignment horizontal="left" vertical="top" wrapText="1"/>
    </xf>
    <xf numFmtId="0" fontId="6" fillId="0" borderId="4" xfId="0" applyFont="1" applyBorder="1" applyAlignment="1">
      <alignment vertical="center" wrapText="1"/>
    </xf>
    <xf numFmtId="0" fontId="52" fillId="2" borderId="2" xfId="0" applyFont="1" applyFill="1" applyBorder="1" applyAlignment="1">
      <alignment horizontal="left" vertical="top" wrapText="1"/>
    </xf>
    <xf numFmtId="0" fontId="52" fillId="2" borderId="2" xfId="0" applyFont="1" applyFill="1" applyBorder="1" applyAlignment="1">
      <alignment vertical="center" wrapText="1"/>
    </xf>
    <xf numFmtId="0" fontId="53" fillId="2" borderId="2" xfId="0" applyFont="1" applyFill="1" applyBorder="1" applyAlignment="1">
      <alignment horizontal="left" vertical="center" wrapText="1"/>
    </xf>
  </cellXfs>
  <cellStyles count="3">
    <cellStyle name="Hyperlink" xfId="1" builtinId="8"/>
    <cellStyle name="Normal" xfId="0" builtinId="0"/>
    <cellStyle name="Percent" xfId="2" builtinId="5"/>
  </cellStyles>
  <dxfs count="136">
    <dxf>
      <font>
        <name val="Aptos Display"/>
        <scheme val="major"/>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numFmt numFmtId="0" formatCode="Genera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numFmt numFmtId="0" formatCode="Genera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numFmt numFmtId="0" formatCode="Genera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numFmt numFmtId="0" formatCode="Genera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vertAlign val="baseline"/>
        <name val="Aptos Display"/>
        <scheme val="major"/>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ptos Display"/>
        <scheme val="major"/>
      </font>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border>
    </dxf>
    <dxf>
      <font>
        <name val="Aptos Display"/>
        <scheme val="major"/>
      </font>
      <fill>
        <patternFill patternType="none">
          <fgColor indexed="64"/>
          <bgColor auto="1"/>
        </patternFill>
      </fill>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1"/>
        <color theme="1"/>
        <name val="Aptos Display"/>
        <scheme val="major"/>
      </font>
      <fill>
        <patternFill patternType="none">
          <fgColor indexed="64"/>
          <bgColor auto="1"/>
        </patternFill>
      </fill>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numFmt numFmtId="22" formatCode="mmm/yy"/>
      <fill>
        <patternFill patternType="none">
          <fgColor indexed="64"/>
          <bgColor indexed="65"/>
        </patternFill>
      </fil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Aptos Display"/>
        <family val="2"/>
        <scheme val="major"/>
      </font>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name val="Aptos Display"/>
        <scheme val="major"/>
      </font>
      <fill>
        <patternFill patternType="none">
          <fgColor indexed="64"/>
          <bgColor auto="1"/>
        </patternFill>
      </fill>
      <alignment horizontal="general"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name val="Aptos Display"/>
        <scheme val="maj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Aptos Narrow"/>
        <family val="2"/>
        <scheme val="minor"/>
      </font>
      <numFmt numFmtId="164" formatCode="dd/mmm/yyyy"/>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Display"/>
        <family val="2"/>
        <scheme val="major"/>
      </font>
      <fill>
        <patternFill patternType="none">
          <fgColor indexed="64"/>
          <bgColor indexed="65"/>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Display"/>
        <family val="2"/>
        <scheme val="major"/>
      </font>
      <fill>
        <patternFill patternType="none">
          <fgColor indexed="64"/>
          <bgColor indexed="65"/>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Display"/>
        <family val="2"/>
        <scheme val="major"/>
      </font>
      <fill>
        <patternFill patternType="none">
          <fgColor indexed="64"/>
          <bgColor indexed="65"/>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Display"/>
        <family val="2"/>
        <scheme val="major"/>
      </font>
      <fill>
        <patternFill patternType="none">
          <fgColor indexed="64"/>
          <bgColor indexed="65"/>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Display"/>
        <family val="2"/>
        <scheme val="major"/>
      </font>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Display"/>
        <family val="2"/>
        <scheme val="major"/>
      </font>
      <fill>
        <patternFill patternType="none">
          <fgColor indexed="64"/>
          <bgColor indexed="65"/>
        </patternFill>
      </fill>
      <alignment horizontal="center" vertical="center" textRotation="0" wrapText="0"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Display"/>
        <family val="2"/>
        <scheme val="major"/>
      </font>
      <fill>
        <patternFill patternType="none">
          <fgColor indexed="64"/>
          <bgColor indexed="65"/>
        </patternFill>
      </fill>
      <alignment horizontal="center" vertical="center" textRotation="0" wrapText="0"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Display"/>
        <family val="2"/>
        <scheme val="major"/>
      </font>
      <fill>
        <patternFill patternType="none">
          <fgColor indexed="64"/>
          <bgColor indexed="65"/>
        </patternFill>
      </fill>
      <alignment horizontal="center" vertical="center" textRotation="0" wrapText="1"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Display"/>
        <family val="2"/>
        <scheme val="major"/>
      </font>
      <fill>
        <patternFill patternType="none">
          <fgColor indexed="64"/>
          <bgColor indexed="65"/>
        </patternFill>
      </fill>
      <alignment horizontal="center" vertical="center" textRotation="0" wrapText="1"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indent="0" justifyLastLine="0" shrinkToFit="0"/>
    </dxf>
    <dxf>
      <font>
        <b/>
        <i val="0"/>
        <strike val="0"/>
        <condense val="0"/>
        <extend val="0"/>
        <outline val="0"/>
        <shadow val="0"/>
        <u val="none"/>
        <vertAlign val="baseline"/>
        <sz val="11"/>
        <color theme="0"/>
        <name val="Aptos Display"/>
        <scheme val="major"/>
      </font>
      <fill>
        <patternFill patternType="none">
          <fgColor indexed="64"/>
          <bgColor indexed="65"/>
        </patternFill>
      </fill>
      <alignment horizontal="center" vertical="center" textRotation="0" wrapText="0" indent="0" justifyLastLine="0" shrinkToFit="0" readingOrder="0"/>
    </dxf>
    <dxf>
      <numFmt numFmtId="164" formatCode="dd/mmm/yyyy"/>
      <alignment horizontal="center" vertical="center" textRotation="0" wrapText="0" indent="0" justifyLastLine="0" shrinkToFit="0" readingOrder="0"/>
    </dxf>
    <dxf>
      <numFmt numFmtId="164" formatCode="dd/mmm/yyyy"/>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 formatCode="0"/>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auto="1"/>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0" formatCode="dd/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d/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4" formatCode="dd/mmm/yyyy"/>
      <fill>
        <patternFill patternType="none">
          <fgColor indexed="64"/>
          <bgColor auto="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20" formatCode="dd/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auto="1"/>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none"/>
      </font>
      <numFmt numFmtId="166" formatCode="m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Display"/>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alignment horizontal="center" vertical="center" wrapText="1"/>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family val="2"/>
        <scheme val="none"/>
      </font>
      <numFmt numFmtId="0" formatCode="General"/>
      <fill>
        <patternFill patternType="none">
          <fgColor indexed="64"/>
          <bgColor auto="1"/>
        </patternFill>
      </fill>
      <alignment horizontal="center" vertical="center" wrapText="1"/>
    </dxf>
    <dxf>
      <font>
        <b val="0"/>
        <i val="0"/>
        <strike val="0"/>
        <condense val="0"/>
        <extend val="0"/>
        <outline val="0"/>
        <shadow val="0"/>
        <u val="none"/>
        <vertAlign val="baseline"/>
        <sz val="11"/>
        <color auto="1"/>
        <name val="Aptos"/>
        <family val="2"/>
        <scheme val="none"/>
      </font>
      <numFmt numFmtId="0" formatCode="General"/>
      <fill>
        <patternFill patternType="none">
          <fgColor indexed="64"/>
          <bgColor auto="1"/>
        </patternFill>
      </fill>
      <alignment horizontal="center" vertical="center" wrapText="1"/>
    </dxf>
    <dxf>
      <font>
        <b val="0"/>
        <i val="0"/>
        <strike val="0"/>
        <condense val="0"/>
        <extend val="0"/>
        <outline val="0"/>
        <shadow val="0"/>
        <u val="none"/>
        <vertAlign val="baseline"/>
        <sz val="11"/>
        <color auto="1"/>
        <name val="Aptos"/>
        <family val="2"/>
        <scheme val="none"/>
      </font>
      <numFmt numFmtId="164" formatCode="dd/mmm/yyyy"/>
      <fill>
        <patternFill patternType="none">
          <fgColor indexed="64"/>
          <bgColor auto="1"/>
        </patternFill>
      </fill>
      <alignment horizontal="center" vertical="center" wrapText="1"/>
    </dxf>
    <dxf>
      <font>
        <b val="0"/>
        <i val="0"/>
        <strike val="0"/>
        <condense val="0"/>
        <extend val="0"/>
        <outline val="0"/>
        <shadow val="0"/>
        <u val="none"/>
        <vertAlign val="baseline"/>
        <sz val="11"/>
        <color auto="1"/>
        <name val="Aptos"/>
        <family val="2"/>
        <scheme val="none"/>
      </font>
      <numFmt numFmtId="1" formatCode="0"/>
      <fill>
        <patternFill patternType="none">
          <fgColor indexed="64"/>
          <bgColor auto="1"/>
        </patternFill>
      </fill>
      <alignment horizontal="center" vertical="center" wrapText="1"/>
    </dxf>
    <dxf>
      <font>
        <b val="0"/>
        <i val="0"/>
        <strike val="0"/>
        <condense val="0"/>
        <extend val="0"/>
        <outline val="0"/>
        <shadow val="0"/>
        <u val="none"/>
        <vertAlign val="baseline"/>
        <sz val="11"/>
        <color auto="1"/>
        <name val="Aptos"/>
        <family val="2"/>
        <scheme val="none"/>
      </font>
      <numFmt numFmtId="0" formatCode="General"/>
      <fill>
        <patternFill patternType="none">
          <fgColor indexed="64"/>
          <bgColor indexed="65"/>
        </patternFill>
      </fill>
      <alignment horizontal="center" vertical="top" textRotation="0" wrapText="1" indent="0" justifyLastLine="0" shrinkToFit="0" readingOrder="0"/>
      <border outline="0">
        <left style="thin">
          <color rgb="FF000000"/>
        </left>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numFmt numFmtId="0" formatCode="General"/>
      <fill>
        <patternFill patternType="none">
          <fgColor indexed="64"/>
          <bgColor auto="1"/>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family val="2"/>
        <scheme val="none"/>
      </font>
      <numFmt numFmtId="0" formatCode="General"/>
      <fill>
        <patternFill patternType="none">
          <fgColor indexed="64"/>
          <bgColor auto="1"/>
        </patternFill>
      </fill>
      <alignment horizontal="center"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numFmt numFmtId="0" formatCode="General"/>
      <fill>
        <patternFill patternType="none">
          <fgColor indexed="64"/>
          <bgColor auto="1"/>
        </patternFill>
      </fill>
      <alignment horizontal="left" vertical="top" textRotation="0" wrapText="1" indent="0" justifyLastLine="0" shrinkToFit="0" readingOrder="0"/>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left" vertical="top"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numFmt numFmtId="15" formatCode="0.00E+00"/>
      <fill>
        <patternFill patternType="none">
          <fgColor indexed="64"/>
          <bgColor auto="1"/>
        </patternFill>
      </fill>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lef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numFmt numFmtId="164" formatCode="dd/mmm/yyyy"/>
      <fill>
        <patternFill patternType="none">
          <fgColor indexed="64"/>
          <bgColor auto="1"/>
        </patternFill>
      </fill>
      <alignment horizontal="center" vertical="center" wrapText="1"/>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numFmt numFmtId="15" formatCode="0.00E+00"/>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family val="2"/>
        <scheme val="none"/>
      </font>
      <numFmt numFmtId="15" formatCode="0.00E+00"/>
      <fill>
        <patternFill patternType="none">
          <fgColor indexed="64"/>
          <bgColor auto="1"/>
        </patternFill>
      </fill>
      <alignment horizontal="center" vertical="center" wrapText="1"/>
      <border outline="0">
        <left style="thin">
          <color rgb="FF000000"/>
        </left>
        <right style="thin">
          <color rgb="FF000000"/>
        </right>
        <top style="thin">
          <color rgb="FF000000"/>
        </top>
        <bottom style="thin">
          <color rgb="FF000000"/>
        </bottom>
      </border>
    </dxf>
    <dxf>
      <border outline="0">
        <top style="thin">
          <color rgb="FFA6A6A6"/>
        </top>
      </border>
    </dxf>
    <dxf>
      <font>
        <b val="0"/>
        <i val="0"/>
        <strike val="0"/>
        <condense val="0"/>
        <extend val="0"/>
        <outline val="0"/>
        <shadow val="0"/>
        <u val="none"/>
        <vertAlign val="baseline"/>
        <sz val="11"/>
        <color auto="1"/>
        <name val="Aptos"/>
        <family val="2"/>
        <scheme val="none"/>
      </font>
      <fill>
        <patternFill patternType="none">
          <fgColor indexed="64"/>
          <bgColor auto="1"/>
        </patternFill>
      </fill>
      <alignment horizontal="center" vertical="center" wrapText="1"/>
    </dxf>
    <dxf>
      <border outline="0">
        <bottom style="thin">
          <color rgb="FFA6A6A6"/>
        </bottom>
      </border>
    </dxf>
    <dxf>
      <font>
        <b val="0"/>
        <i val="0"/>
        <strike val="0"/>
        <condense val="0"/>
        <extend val="0"/>
        <outline val="0"/>
        <shadow val="0"/>
        <u val="none"/>
        <vertAlign val="baseline"/>
        <sz val="11"/>
        <color theme="0"/>
        <name val="Aptos"/>
        <family val="2"/>
        <scheme val="none"/>
      </font>
      <fill>
        <patternFill patternType="none">
          <fgColor indexed="64"/>
          <bgColor auto="1"/>
        </patternFill>
      </fill>
      <border diagonalUp="0" diagonalDown="0" outline="0">
        <left style="thin">
          <color rgb="FFA6A6A6"/>
        </left>
        <right style="thin">
          <color rgb="FFA6A6A6"/>
        </right>
        <top/>
        <bottom/>
      </border>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3FA8CF16-FC8B-48D0-B6AC-936175205B22}">
    <Anchor>
      <Comment id="{FB5AA12A-D4EB-4AC0-9E30-61CC3B900E94}"/>
    </Anchor>
    <History>
      <Event time="2026-03-20T04:51:19.13" id="{10B212BB-23D0-43CC-A7F1-DD57AAB7DE31}">
        <Attribution userId="S::meenakshi.singh@wadhwanifoundation.org::a6aa2af3-2606-42a8-a972-87cbd90423d2" userName="Meenakshi Singh" userProvider="AD"/>
        <Anchor>
          <Comment id="{CFB5919D-7726-497C-BDFE-D5C5A7C78072}"/>
        </Anchor>
        <Create/>
      </Event>
      <Event time="2026-03-20T04:51:19.13" id="{85561500-7056-4292-B60C-91FEC4C15286}">
        <Attribution userId="S::meenakshi.singh@wadhwanifoundation.org::a6aa2af3-2606-42a8-a972-87cbd90423d2" userName="Meenakshi Singh" userProvider="AD"/>
        <Anchor>
          <Comment id="{CFB5919D-7726-497C-BDFE-D5C5A7C78072}"/>
        </Anchor>
        <Assign userId="S::vaibhav.mattas@wadhwanifoundation.org::74e6afe6-3119-458e-99ee-f008b5116c38" userName="Vaibhav Mattas - Consultant" userProvider="AD"/>
      </Event>
      <Event time="2026-03-20T04:51:19.13" id="{6043C106-8CCD-4408-BF9D-A02A2BB843CC}">
        <Attribution userId="S::meenakshi.singh@wadhwanifoundation.org::a6aa2af3-2606-42a8-a972-87cbd90423d2" userName="Meenakshi Singh" userProvider="AD"/>
        <Anchor>
          <Comment id="{CFB5919D-7726-497C-BDFE-D5C5A7C78072}"/>
        </Anchor>
        <SetTitle title="Hi @Vaibhav, We can suggest this mentor to HMs"/>
      </Event>
    </History>
  </Task>
  <Task id="{DD024E83-94F9-4474-A910-49B895EA3EC4}">
    <Anchor>
      <Comment id="{ABD67745-23B6-43C1-8239-E0B8FE0E56C3}"/>
    </Anchor>
    <History>
      <Event time="2026-03-26T09:16:51.54" id="{83D8E924-8647-416C-B4F0-D5C60FFACAEB}">
        <Attribution userId="S::vaibhav.mattas@wadhwanifoundation.org::74e6afe6-3119-458e-99ee-f008b5116c38" userName="Vaibhav Mattas - Consultant" userProvider="AD"/>
        <Anchor>
          <Comment id="{ABD67745-23B6-43C1-8239-E0B8FE0E56C3}"/>
        </Anchor>
        <Create/>
      </Event>
      <Event time="2026-03-26T09:16:51.54" id="{2A543C46-92B0-4E3F-9B89-761A2C018BDB}">
        <Attribution userId="S::vaibhav.mattas@wadhwanifoundation.org::74e6afe6-3119-458e-99ee-f008b5116c38" userName="Vaibhav Mattas - Consultant" userProvider="AD"/>
        <Anchor>
          <Comment id="{ABD67745-23B6-43C1-8239-E0B8FE0E56C3}"/>
        </Anchor>
        <Assign userId="S::meenakshi.singh@wadhwanifoundation.org::a6aa2af3-2606-42a8-a972-87cbd90423d2" userName="Meenakshi Singh" userProvider="AD"/>
      </Event>
      <Event time="2026-03-26T09:16:51.54" id="{A458950D-488E-4C10-8EC2-95615AB6D682}">
        <Attribution userId="S::vaibhav.mattas@wadhwanifoundation.org::74e6afe6-3119-458e-99ee-f008b5116c38" userName="Vaibhav Mattas - Consultant" userProvider="AD"/>
        <Anchor>
          <Comment id="{ABD67745-23B6-43C1-8239-E0B8FE0E56C3}"/>
        </Anchor>
        <SetTitle title="Hi @Meenakshi, suggested new set of mentor for fundrasing ask. Please check and confirm."/>
      </Event>
    </History>
  </Task>
  <Task id="{C19ECBBF-4329-4A7F-93AC-F1E898B66AB3}">
    <Anchor>
      <Comment id="{0A311BC3-39BD-4195-9433-B86245C988C3}"/>
    </Anchor>
    <History>
      <Event time="2026-03-20T04:51:53.26" id="{CC71DEE1-5DF6-4375-8680-B5A86F8EA47A}">
        <Attribution userId="S::meenakshi.singh@wadhwanifoundation.org::a6aa2af3-2606-42a8-a972-87cbd90423d2" userName="Meenakshi Singh" userProvider="AD"/>
        <Anchor>
          <Comment id="{007863F9-2247-46E2-9BB3-C706ED5DE094}"/>
        </Anchor>
        <Create/>
      </Event>
      <Event time="2026-03-20T04:51:53.26" id="{569B8C02-3129-46E3-B6E3-7180105AC513}">
        <Attribution userId="S::meenakshi.singh@wadhwanifoundation.org::a6aa2af3-2606-42a8-a972-87cbd90423d2" userName="Meenakshi Singh" userProvider="AD"/>
        <Anchor>
          <Comment id="{007863F9-2247-46E2-9BB3-C706ED5DE094}"/>
        </Anchor>
        <Assign userId="S::vaibhav.mattas@wadhwanifoundation.org::74e6afe6-3119-458e-99ee-f008b5116c38" userName="Vaibhav Mattas - Consultant" userProvider="AD"/>
      </Event>
      <Event time="2026-03-20T04:51:53.26" id="{5E3DA33A-2574-4B66-A102-8F4C58D420EF}">
        <Attribution userId="S::meenakshi.singh@wadhwanifoundation.org::a6aa2af3-2606-42a8-a972-87cbd90423d2" userName="Meenakshi Singh" userProvider="AD"/>
        <Anchor>
          <Comment id="{007863F9-2247-46E2-9BB3-C706ED5DE094}"/>
        </Anchor>
        <SetTitle title="Hi @Vaibhav We can suggest these mentor to HMs "/>
      </Event>
    </History>
  </Task>
</Tasks>
</file>

<file path=xl/externalLinks/_rels/externalLink1.xml.rels><?xml version="1.0" encoding="UTF-8" standalone="yes"?>
<Relationships xmlns="http://schemas.openxmlformats.org/package/2006/relationships"><Relationship Id="rId3" Type="http://schemas.openxmlformats.org/officeDocument/2006/relationships/externalLinkPath" Target="../Accelerate/Accelerate%20Mentor%20Connect%20Tracker%202026.xlsx" TargetMode="External"/><Relationship Id="rId2" Type="http://schemas.openxmlformats.org/officeDocument/2006/relationships/externalLinkPath" Target="https://wadhwanifoundation-my.sharepoint.com/personal/meenakshi_singh_wadhwanifoundation_org/Documents/04.%20Advisors/2026/Accelerate/Accelerate%20Mentor%20Connect%20Tracker%202026.xlsx" TargetMode="External"/><Relationship Id="rId1" Type="http://schemas.openxmlformats.org/officeDocument/2006/relationships/externalLinkPath" Target="/personal/meenakshi_singh_wadhwanifoundation_org/Documents/04.%20Advisors/2026/Accelerate/Accelerate%20Mentor%20Connect%20Tracker%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igar venture Analysis"/>
      <sheetName val="Pivot"/>
      <sheetName val="Mentors Utilized"/>
      <sheetName val="Ventures"/>
      <sheetName val="Venture Feedback Remarks"/>
      <sheetName val="Sheet5"/>
      <sheetName val="Mentor Connects"/>
      <sheetName val="Feedback from Founders"/>
      <sheetName val="Shortlisted Mentors"/>
      <sheetName val="Feedback from Mentor"/>
      <sheetName val="Sheet2"/>
      <sheetName val="Panelist"/>
      <sheetName val="VP Calls"/>
      <sheetName val="Trainings"/>
      <sheetName val="Hub Managers"/>
      <sheetName val="Mentor Feedbacks by HMs"/>
      <sheetName val="From Sanskriti"/>
      <sheetName val="Sheet1"/>
      <sheetName val="Incidences"/>
      <sheetName val="Lookup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Vaibhav" id="{FE604955-B659-4BA7-A366-D122BB530342}" userId="vaibhav.mattas@wadhwanifoundation.org" providerId="PeoplePicker"/>
  <person displayName="Meenakshi Singh" id="{6334DE5C-688D-48D4-8EF0-49B1F7459515}" userId="meenakshi.singh@wadhwanifoundation.org" providerId="PeoplePicker"/>
  <person displayName="Vaibhav Mattas - Consultant" id="{D0D0E684-46F5-4EB1-AE9F-A250076F047E}" userId="S::vaibhav.mattas@wadhwanifoundation.org::74e6afe6-3119-458e-99ee-f008b5116c38" providerId="AD"/>
  <person displayName="Meenakshi Singh" id="{1286E10A-349E-4AAC-BC5C-C75B79B1FF43}" userId="S::meenakshi.singh@wadhwanifoundation.org::a6aa2af3-2606-42a8-a972-87cbd90423d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8388E18-4FEA-4A0E-A20E-53A18BC44329}" name="Table12" displayName="Table12" ref="A1:K34" totalsRowShown="0" headerRowDxfId="104" dataDxfId="103" tableBorderDxfId="102">
  <autoFilter ref="A1:K34" xr:uid="{C943868D-DF01-4BFF-99A6-8EB8BC6FFD52}">
    <filterColumn colId="0">
      <filters>
        <filter val="Manufyx"/>
      </filters>
    </filterColumn>
  </autoFilter>
  <tableColumns count="11">
    <tableColumn id="1" xr3:uid="{80D28C98-EC15-411D-B7D6-77DA49E6A347}" name="Venture Name" dataDxfId="101"/>
    <tableColumn id="2" xr3:uid="{9BD73142-1A76-4ED7-BC5E-E49942A10CC0}" name="Mentor Name " dataDxfId="100"/>
    <tableColumn id="3" xr3:uid="{2C121EF9-4B6B-4DC7-8C65-5646A26307C8}" name="Month" dataDxfId="99">
      <calculatedColumnFormula>VLOOKUP(Table12[[#This Row],[Venture Name]],#REF!,3,FALSE)</calculatedColumnFormula>
    </tableColumn>
    <tableColumn id="4" xr3:uid="{1D4E212F-43C6-449B-8806-662ACF4B2802}" name="Ask" dataDxfId="98"/>
    <tableColumn id="10" xr3:uid="{FDB8D861-20F9-4C2E-A009-9669CBCF079C}" name="Venture satisfied either partly or replied No for next actionable steps" dataDxfId="97"/>
    <tableColumn id="11" xr3:uid="{5564AB95-05A8-4D3C-8779-8321586C8BAE}" name="How useful was this mentor session according to venture" dataDxfId="96"/>
    <tableColumn id="5" xr3:uid="{96596CCE-7771-4254-8861-D777F3570AB6}" name="RN Remarks" dataDxfId="95"/>
    <tableColumn id="6" xr3:uid="{790985E7-25B8-4DFF-922B-13E710B20160}" name="Category" dataDxfId="94"/>
    <tableColumn id="9" xr3:uid="{7E57DBA1-F516-4E9E-8D70-693C8BA7BC19}" name="Connected By Us?" dataDxfId="93"/>
    <tableColumn id="7" xr3:uid="{DBD3574A-81D8-4C2B-8DC6-E5D877F143E8}" name="Response Status" dataDxfId="92"/>
    <tableColumn id="8" xr3:uid="{A9FDD477-07F4-4517-8FCD-ABC85780DA0B}" name="Categpry-2" dataDxfId="9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F088BA-7C2A-4BC0-A6DE-FF686EC4C334}" name="VenturesList" displayName="VenturesList" ref="A1:P179" totalsRowShown="0" headerRowDxfId="17" dataDxfId="16">
  <autoFilter ref="A1:P179" xr:uid="{6696F539-7A96-4576-A8A6-EB1E96B290EE}">
    <filterColumn colId="0">
      <filters>
        <filter val="Green Era Recyclers"/>
        <filter val="Green Pods"/>
      </filters>
    </filterColumn>
  </autoFilter>
  <tableColumns count="16">
    <tableColumn id="3" xr3:uid="{56175466-503B-45F0-8C11-0F67BEF0479F}" name="Venture Name" dataDxfId="15"/>
    <tableColumn id="8" xr3:uid="{65A59CB3-FE70-4F75-89CC-5E8B2A483CC1}" name="Program" dataDxfId="14"/>
    <tableColumn id="2" xr3:uid="{F08BE2D8-299D-4AEC-B377-94E7EAFC579A}" name="Month" dataDxfId="13"/>
    <tableColumn id="4" xr3:uid="{B0BF6276-D457-4C1A-B262-8D8442ADA914}" name="Hub" dataDxfId="12"/>
    <tableColumn id="5" xr3:uid="{058F875E-3C77-444C-A36C-7722A0719572}" name="Hub Manager" dataDxfId="11"/>
    <tableColumn id="9" xr3:uid="{71D5768B-C867-497C-97C4-77337DA3A92F}" name="Domain" dataDxfId="10"/>
    <tableColumn id="18" xr3:uid="{030EA17C-49C4-402C-9B7F-51DF18C61C72}" name="Website" dataDxfId="9"/>
    <tableColumn id="17" xr3:uid="{87F0AD68-EB76-4E91-80B5-B68DC6582939}" name="Brief" dataDxfId="8"/>
    <tableColumn id="21" xr3:uid="{ED2084E4-D488-441A-A0BA-20DB3E890398}" name="Sector" dataDxfId="7"/>
    <tableColumn id="20" xr3:uid="{6D8884F9-A213-47F0-9517-21FF1907E771}" name="Stage" dataDxfId="6"/>
    <tableColumn id="19" xr3:uid="{247E3762-14F8-4BC5-8746-0E6B6920A3C1}" name="Pitch Deck" dataDxfId="5"/>
    <tableColumn id="1" xr3:uid="{B5870985-490C-439A-8917-246FCE34F7CE}" name="Founder Name" dataDxfId="4"/>
    <tableColumn id="6" xr3:uid="{267086D7-C93C-481E-A9FD-A33FF4886E7F}" name="Email ID" dataDxfId="3"/>
    <tableColumn id="7" xr3:uid="{8FB915A6-E85E-477E-AD26-0ADA6EA16C5E}" name="Phone No." dataDxfId="2"/>
    <tableColumn id="10" xr3:uid="{3A398F42-3493-4B63-8CBA-B0E3C52E935E}" name="Venture Stage" dataDxfId="1"/>
    <tableColumn id="11" xr3:uid="{1F49612D-8005-4DA0-BF8A-676AB01BECFB}" name="Transferred On" dataDxfId="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A2212C-2436-4B2D-B17F-8E0C729E3A67}" name="Mentor_Connect" displayName="Mentor_Connect" ref="A1:AK300" totalsRowShown="0" headerRowDxfId="90" dataDxfId="88" headerRowBorderDxfId="89" tableBorderDxfId="87">
  <autoFilter ref="A1:AK300" xr:uid="{C9BA69FC-BADE-4087-82E7-5F52CC882938}"/>
  <tableColumns count="37">
    <tableColumn id="3" xr3:uid="{044A7E31-8E84-46DC-BDDE-E68BD43990B5}" name="Venture Name" dataDxfId="86"/>
    <tableColumn id="19" xr3:uid="{27EBC2F4-9B26-47A2-B7FC-BE9F95A50BD1}" name="Program" dataDxfId="85">
      <calculatedColumnFormula>VLOOKUP(Mentor_Connect[[#This Row],[Venture Name]],[1]!VenturesList[#All],2,FALSE)</calculatedColumnFormula>
    </tableColumn>
    <tableColumn id="2" xr3:uid="{4547372C-5459-45D8-A9E9-872D9E211197}" name="Month" dataDxfId="84">
      <calculatedColumnFormula>VLOOKUP(Mentor_Connect[[#This Row],[Venture Name]],[1]!VenturesList[#All],3,FALSE)</calculatedColumnFormula>
    </tableColumn>
    <tableColumn id="5" xr3:uid="{106D24DF-3D2C-421E-93D9-B20BB290CD93}" name="Hub Manager" dataDxfId="83">
      <calculatedColumnFormula>VLOOKUP(Mentor_Connect[[#This Row],[Venture Name]],[1]!VenturesList[#All],5,FALSE)</calculatedColumnFormula>
    </tableColumn>
    <tableColumn id="6" xr3:uid="{9AB4B595-8CCD-49BC-8A57-2ADA4661F483}" name="Mentor Name" dataDxfId="82"/>
    <tableColumn id="7" xr3:uid="{17CCFE87-6455-4EB0-80F1-20D0EB96547F}" name="Meeting Status" dataDxfId="81"/>
    <tableColumn id="21" xr3:uid="{B69296F1-F345-44CD-9E6E-D6AB25FBA395}" name="Requested for Mentors On" dataDxfId="80"/>
    <tableColumn id="25" xr3:uid="{D6C1E460-7AC1-4C80-9248-45DC0E2A2FEC}" name="Shortlisted Mentors On" dataDxfId="79"/>
    <tableColumn id="23" xr3:uid="{252879AA-AB3E-4B05-9D64-FEDDDE96161B}" name="Suggested Mentors On" dataDxfId="78"/>
    <tableColumn id="24" xr3:uid="{1BCD64C9-16AD-48CE-96E1-3B2F4B1C4CDB}" name="Preferred Mentor Selected On" dataDxfId="77"/>
    <tableColumn id="11" xr3:uid="{3A352023-EEBE-4905-8851-3DEEB5521C4D}" name="Meeting Date" dataDxfId="76"/>
    <tableColumn id="20" xr3:uid="{32557899-38CD-4C56-94DA-FDF17E36DC81}" name="Before Preferred Mentor Stage" dataDxfId="75"/>
    <tableColumn id="22" xr3:uid="{9420268D-841E-408D-85AB-4035D20F32B8}" name="New Preferred Mentor Selected On" dataDxfId="74"/>
    <tableColumn id="8" xr3:uid="{223A6DDC-8031-4491-B082-21B9231732FD}" name="Reason of selecting" dataDxfId="73"/>
    <tableColumn id="10" xr3:uid="{CEAEF65A-F8EB-45DD-9A79-AEC529498E21}" name="RN Remarks" dataDxfId="72"/>
    <tableColumn id="15" xr3:uid="{BE51E972-42D9-49C1-8096-73463FD326A7}" name="Reach out for Mentor Session Feedback" dataDxfId="71"/>
    <tableColumn id="29" xr3:uid="{06BD6E56-1DFB-4ADC-BA30-91B4E923D193}" name="Feedback ID" dataDxfId="70"/>
    <tableColumn id="9" xr3:uid="{FFD2C08B-1815-42EB-B25C-9CB462749623}" name="Feedback Status" dataDxfId="69"/>
    <tableColumn id="14" xr3:uid="{9A94AAC1-CCDE-4DBB-9CE8-BEF8630A0A0C}" name="Founder" dataDxfId="68"/>
    <tableColumn id="12" xr3:uid="{A154CEB4-7AAA-4F5E-9183-EAEEF2A4099E}" name="Email ID" dataDxfId="67"/>
    <tableColumn id="13" xr3:uid="{589F77B9-29F8-4BA1-B0FA-85A828AFB276}" name="PhoneNo." dataDxfId="66"/>
    <tableColumn id="16" xr3:uid="{E9DB6A6D-5B4A-4BCF-AE7A-E601B6154676}" name="Feedback Remarks" dataDxfId="65"/>
    <tableColumn id="37" xr3:uid="{57D0D54C-763C-4652-BEBF-1AF83AACDA15}" name="NoteLM Remarks" dataDxfId="64"/>
    <tableColumn id="30" xr3:uid="{A4A04C26-A4A8-4D05-8A41-521B3EE9E242}" name="Meeting Recordings" dataDxfId="63"/>
    <tableColumn id="31" xr3:uid="{35EADE35-B260-4C52-A75F-91FE677B7B61}" name="Meeting Transcripts" dataDxfId="62"/>
    <tableColumn id="4" xr3:uid="{613E8CB3-1665-4887-BD47-B2ACD2E2BEC2}" name="Responsibility" dataDxfId="61"/>
    <tableColumn id="17" xr3:uid="{F8679BC1-F63B-45D7-A3FC-306A5A179DDC}" name="Invoice Status" dataDxfId="60"/>
    <tableColumn id="18" xr3:uid="{CB0DB632-24C2-498D-9398-5B8A865F732C}" name="Invoice Shared by Mentor On" dataDxfId="59"/>
    <tableColumn id="34" xr3:uid="{1126F176-2C7F-4B38-A177-4C9A7E70C16E}" name="Invoice Shared with Program Team On" dataDxfId="58"/>
    <tableColumn id="36" xr3:uid="{A3D01123-302E-41DD-96AB-DED6D8E04352}" name="Approved by Program Team" dataDxfId="57"/>
    <tableColumn id="35" xr3:uid="{49B0A5A5-F587-42FF-84EE-CF39FD086583}" name="Invoice Shared with Finance Team On" dataDxfId="56"/>
    <tableColumn id="27" xr3:uid="{C46428A8-22EF-411C-BE45-BBF83809A493}" name="Paid On" dataDxfId="55"/>
    <tableColumn id="28" xr3:uid="{8DEEEB06-1403-4265-9CBB-3384ABE3FE7E}" name="Invoice Number" dataDxfId="54"/>
    <tableColumn id="33" xr3:uid="{6946E62B-6598-48C4-839F-F279286D1A9D}" name="Invoice related Remarks" dataDxfId="53"/>
    <tableColumn id="26" xr3:uid="{2C9A51FE-19A4-4259-B8F7-61A28326EFC1}" name="Paid or Probono" dataDxfId="52"/>
    <tableColumn id="1" xr3:uid="{FCD84E16-5252-4E16-8966-EB026B9EFB9A}" name="Start of Week (Meeting)" dataDxfId="51">
      <calculatedColumnFormula>IF(ISBLANK(Mentor_Connect[[#This Row],[Meeting Date]]),"",Mentor_Connect[[#This Row],[Meeting Date]]-WEEKDAY(Mentor_Connect[[#This Row],[Meeting Date]],2)+1)</calculatedColumnFormula>
    </tableColumn>
    <tableColumn id="32" xr3:uid="{E073247B-7D2B-4532-B583-4657C51679A3}" name="Start of Week (Preferred Mentor Selected On" dataDxfId="50">
      <calculatedColumnFormula>IF(ISBLANK(Mentor_Connect[[#This Row],[Preferred Mentor Selected On]]),"",Mentor_Connect[[#This Row],[Preferred Mentor Selected On]]-WEEKDAY(Mentor_Connect[[#This Row],[Preferred Mentor Selected On]],2)+1)</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A45C62A-587A-41B9-B434-25A0DB6F8CA3}" name="FeedbackFrmFounders" displayName="FeedbackFrmFounders" ref="A1:AB104" totalsRowShown="0" headerRowDxfId="135" dataDxfId="133" headerRowBorderDxfId="134" tableBorderDxfId="132">
  <autoFilter ref="A1:AB104" xr:uid="{1A45C62A-587A-41B9-B434-25A0DB6F8CA3}"/>
  <tableColumns count="28">
    <tableColumn id="1" xr3:uid="{91C4E1B1-7F69-4353-A594-3FB80C334841}" name="Respondent ID" dataDxfId="131"/>
    <tableColumn id="2" xr3:uid="{269944B8-A787-4B30-9C5F-9CC2B3CF95AA}" name="Collector ID" dataDxfId="130"/>
    <tableColumn id="3" xr3:uid="{9560B75E-B64A-4D9F-9E57-4E9ED7851DE6}" name="Start Date" dataDxfId="129"/>
    <tableColumn id="4" xr3:uid="{3ECCD17D-8453-474B-B918-5079AD387F40}" name="End Date" dataDxfId="128"/>
    <tableColumn id="5" xr3:uid="{D8860C65-76A7-4F5E-BBAD-927B7B7567D5}" name="IP Address" dataDxfId="127"/>
    <tableColumn id="6" xr3:uid="{159B24BF-3ADC-4E8C-BB23-85DA0F07B264}" name="Email Address" dataDxfId="126"/>
    <tableColumn id="7" xr3:uid="{4B6D9A2D-3F5B-4AEC-AAED-84BA7576CB41}" name="First Name" dataDxfId="125"/>
    <tableColumn id="8" xr3:uid="{9D6F7236-9448-4130-9ED7-67A137828FFE}" name="Last Name" dataDxfId="124"/>
    <tableColumn id="9" xr3:uid="{6105F649-3DC9-420F-92FF-8142C57BC2A0}" name="Custom Data 1" dataDxfId="123"/>
    <tableColumn id="10" xr3:uid="{B48673EE-6DBE-4338-8DBA-77FEFCCF9E72}" name="language" dataDxfId="122"/>
    <tableColumn id="11" xr3:uid="{F1BA090C-18C8-445C-8D2F-5268A5A41D9A}" name="Name" dataDxfId="121"/>
    <tableColumn id="12" xr3:uid="{846072C8-56E4-4E78-AA13-1CC5D7478665}" name="Venture Name" dataDxfId="120"/>
    <tableColumn id="13" xr3:uid="{61BF9E99-FBA9-41ED-8702-C2D284B0F926}" name="Registered Email ID" dataDxfId="119"/>
    <tableColumn id="14" xr3:uid="{D96606C1-F103-472A-9A0A-CA2FA729A583}" name="Contact Number" dataDxfId="118"/>
    <tableColumn id="30" xr3:uid="{D9491974-3A17-47FD-8207-FF5E90DF0B26}" name="Ask"/>
    <tableColumn id="15" xr3:uid="{5BE245C6-DB79-4B95-AAC8-2460F87CF15E}" name="1. Who was your mentor for this session?" dataDxfId="117"/>
    <tableColumn id="16" xr3:uid="{CB728DF0-63D4-4167-8AE4-608684FF81D5}" name="2. How useful was this mentor session for your current business priorities?" dataDxfId="116"/>
    <tableColumn id="17" xr3:uid="{CB5FC4EF-A4CE-495A-9DC6-56D60EA171E1}" name="3. Did this session help you identify clear actionable next steps?" dataDxfId="115"/>
    <tableColumn id="18" xr3:uid="{6E30162A-BC60-465B-9EE0-B578F14343CA}" name="4. Do you need to meet this mentor again to discuss your current business priorities?" dataDxfId="114"/>
    <tableColumn id="19" xr3:uid="{DC2AC3BA-E061-4BED-B77F-DF3B2923F67E}" name="5. Anything you’d like to share about your experience in this session? " dataDxfId="113"/>
    <tableColumn id="20" xr3:uid="{9D3593BD-302F-4006-86EC-D9CF2199ABD2}" name="RN Remarks" dataDxfId="112"/>
    <tableColumn id="21" xr3:uid="{9EF829F3-B992-4E54-B1AC-1AEB855B45CD}" name="Category" dataDxfId="111"/>
    <tableColumn id="22" xr3:uid="{6E96972F-D2D1-4E86-B2AD-35D4DEAA3735}" name="Response Status" dataDxfId="110"/>
    <tableColumn id="24" xr3:uid="{12380789-476B-40D2-A279-142F4996C03F}" name="Connected by Us" dataDxfId="109"/>
    <tableColumn id="23" xr3:uid="{E0774450-6410-42C2-9A8C-8DD3BF884428}" name="Start of Week " dataDxfId="108">
      <calculatedColumnFormula>IF(ISBLANK(FeedbackFrmFounders[[#This Row],[Start Date]]),"",FeedbackFrmFounders[[#This Row],[Start Date]]-WEEKDAY(FeedbackFrmFounders[[#This Row],[Start Date]],2)+1)</calculatedColumnFormula>
    </tableColumn>
    <tableColumn id="26" xr3:uid="{3F2389B4-962B-486F-8DA3-84464BA87917}" name="Round" dataDxfId="107">
      <calculatedColumnFormula>TRUNC(FeedbackFrmFounders[[#This Row],[Start of Week ]],)</calculatedColumnFormula>
    </tableColumn>
    <tableColumn id="25" xr3:uid="{F13BA4E4-1D55-4DD2-9CDB-C8CFB8D4C8CE}" name="Program" dataDxfId="106">
      <calculatedColumnFormula>VLOOKUP(FeedbackFrmFounders[[#This Row],[Venture Name]],#REF!,2,FALSE)</calculatedColumnFormula>
    </tableColumn>
    <tableColumn id="27" xr3:uid="{04D03A0C-B8D1-40D6-A198-D9460CBADFAA}" name="Hub" dataDxfId="105">
      <calculatedColumnFormula>VLOOKUP(FeedbackFrmFounders[[#This Row],[Venture Name]],#REF!,4,FALSE)</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3660AD-AAFB-401D-8568-CA7664363846}" name="FeedbackFrmMentor" displayName="FeedbackFrmMentor" ref="A1:AB32" totalsRowShown="0" headerRowDxfId="49" dataDxfId="48">
  <autoFilter ref="A1:AB32" xr:uid="{7C3660AD-AAFB-401D-8568-CA7664363846}">
    <filterColumn colId="12">
      <filters>
        <filter val="Not Relevant"/>
      </filters>
    </filterColumn>
  </autoFilter>
  <tableColumns count="28">
    <tableColumn id="1" xr3:uid="{49870129-A1FA-4678-9A47-C6F88111EC32}" name="Respondent ID" dataDxfId="47"/>
    <tableColumn id="2" xr3:uid="{6E93D977-10A6-42E6-892A-1CE5715C288E}" name="Collector ID" dataDxfId="46"/>
    <tableColumn id="3" xr3:uid="{5BAF2805-3226-41E5-9B73-F3485A4E8F38}" name="Start Date" dataDxfId="45"/>
    <tableColumn id="4" xr3:uid="{BE24D882-D5EC-476A-9970-F1D7BEE38F23}" name="End Date" dataDxfId="44"/>
    <tableColumn id="5" xr3:uid="{4E2C736A-E4D9-4CE9-A387-A1A786B9980D}" name="IP Address" dataDxfId="43"/>
    <tableColumn id="6" xr3:uid="{6D9846D2-DCC4-422B-8BDC-5210DD869B48}" name="Email Address" dataDxfId="42"/>
    <tableColumn id="7" xr3:uid="{E9DB8DFF-B557-48E4-9471-6B87327F0798}" name="First Name" dataDxfId="41"/>
    <tableColumn id="8" xr3:uid="{21841B12-3DB9-42E1-AB09-AF2F03C86F0A}" name="Last Name" dataDxfId="40"/>
    <tableColumn id="9" xr3:uid="{13ACD11A-3B4B-40AD-9537-70C855DAF969}" name="Custom Data 1" dataDxfId="39"/>
    <tableColumn id="10" xr3:uid="{C9488870-1F57-4F8C-BFF4-68E9190A88D4}" name="Your Name" dataDxfId="38"/>
    <tableColumn id="11" xr3:uid="{2EDE0B3D-4803-4517-8D20-341A4693AE5A}" name="Venture Name" dataDxfId="37"/>
    <tableColumn id="12" xr3:uid="{EE1ED7DB-7D50-48B9-857B-7CABCFB66C32}" name="Mentee Name" dataDxfId="36"/>
    <tableColumn id="13" xr3:uid="{D9A50D46-348A-466E-A98C-E8562FC552AE}" name="1. Was the session agenda relevant to the startup’s current stage and specific needs?" dataDxfId="35"/>
    <tableColumn id="14" xr3:uid="{D5983684-2FCA-4A41-9894-EF4E08022BF3}" name="2. Did the session agenda help you prepare effectively for the discussion?" dataDxfId="34"/>
    <tableColumn id="15" xr3:uid="{78D9026E-03DD-4C94-8AC6-B311C4F016F8}" name="3. Was the startup’s problem statement or request clearly articulated in the agenda?" dataDxfId="33"/>
    <tableColumn id="16" xr3:uid="{BE5C463A-7526-4C93-B4E8-5CDE5EF506CD}" name="4. Do you have any suggestions to improve the quality or format of the agenda or recommendations?" dataDxfId="32"/>
    <tableColumn id="17" xr3:uid="{D15A4F63-0D61-426E-9DEC-0EF1004C5B39}" name="5. How prepared and organized was your mentee for the session?" dataDxfId="31"/>
    <tableColumn id="18" xr3:uid="{778BF4A8-F9E6-45CA-AD95-4EF97599E0BE}" name="6. How engaged is your mentee during mentoring sessions, in terms of active participation and willingness to discuss challenges?" dataDxfId="30"/>
    <tableColumn id="19" xr3:uid="{BB201999-0B54-4001-8DE0-6E823D1A0D97}" name="7. Is there anything the venture (or platform) could have done better to make this session more effective?" dataDxfId="29"/>
    <tableColumn id="20" xr3:uid="{B55E5840-4E4E-476D-9C25-64C3C69B0530}" name="8. How would you like to rate the session?" dataDxfId="28"/>
    <tableColumn id="21" xr3:uid="{5773F210-B7BB-42A0-93E8-E9578EBD3753}" name="9. How relevant were the recommended action items to the discussion during your session?" dataDxfId="27"/>
    <tableColumn id="22" xr3:uid="{5D55D1AF-323E-4C2A-8AEC-1436E0B79117}" name="10. Were the suggested resources and tools aligned with the session topic and helpful for your next steps?" dataDxfId="26"/>
    <tableColumn id="23" xr3:uid="{2D41D2B2-0558-486E-9187-57EA4E7C6AF0}" name="11. Is there any additional critical information you believe should be included in the post-session recommendations?" dataDxfId="25"/>
    <tableColumn id="24" xr3:uid="{B3C749E0-717E-4E2E-BAC1-C35564E00DE5}" name="RN Remarks" dataDxfId="24"/>
    <tableColumn id="25" xr3:uid="{D98E5754-C289-45B3-89BC-111BE66B7C97}" name="Category" dataDxfId="23"/>
    <tableColumn id="26" xr3:uid="{5BED3C1D-CD86-4519-A5AE-7D62EE564FE8}" name="Response Status" dataDxfId="22"/>
    <tableColumn id="27" xr3:uid="{84A164DC-F96A-45ED-9BB3-8026F55E7FE9}" name="Start of Week" dataDxfId="21">
      <calculatedColumnFormula>IF(ISBLANK(FeedbackFrmMentor[[#This Row],[Start Date]]),"",FeedbackFrmMentor[[#This Row],[Start Date]]-WEEKDAY(FeedbackFrmMentor[[#This Row],[Start Date]],2)+1)</calculatedColumnFormula>
    </tableColumn>
    <tableColumn id="28" xr3:uid="{9354C095-17A8-402C-BF61-22F32F640688}" name="Trunc" dataDxfId="20">
      <calculatedColumnFormula>TRUNC(FeedbackFrmMentor[[#This Row],[Start of Week]],0)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9" dT="2025-12-15T05:56:21.48" personId="{D0D0E684-46F5-4EB1-AE9F-A250076F047E}" id="{CC45846C-CB6D-49B8-9816-9150E6781D86}">
    <text>@Meenakshi Singh taking this venture</text>
    <mentions>
      <mention mentionpersonId="{6334DE5C-688D-48D4-8EF0-49B1F7459515}" mentionId="{AEF669F9-694D-49A9-B3FD-B5680631F3BD}" startIndex="0" length="16"/>
    </mentions>
  </threadedComment>
  <threadedComment ref="A34" dT="2025-12-16T10:59:42.42" personId="{D0D0E684-46F5-4EB1-AE9F-A250076F047E}" id="{DE269066-AE78-4BB5-9D46-58E0C83B7AB7}">
    <text>@Meenakshi Singh suggested the mentors</text>
    <mentions>
      <mention mentionpersonId="{6334DE5C-688D-48D4-8EF0-49B1F7459515}" mentionId="{2DF3A447-682A-4F5E-BC2D-6430890A6B4C}" startIndex="0" length="16"/>
    </mentions>
  </threadedComment>
  <threadedComment ref="A53" dT="2025-12-10T10:38:08.99" personId="{D0D0E684-46F5-4EB1-AE9F-A250076F047E}" id="{AD4EF33E-3AFA-498E-AFD5-2E0185D64018}">
    <text>@Meenakshi Singh working on thi</text>
    <mentions>
      <mention mentionpersonId="{6334DE5C-688D-48D4-8EF0-49B1F7459515}" mentionId="{D4FA7FF8-1219-4DFB-86BF-C25D3A00C20B}" startIndex="0" length="16"/>
    </mentions>
  </threadedComment>
  <threadedComment ref="A60" dT="2025-12-10T10:37:41.63" personId="{D0D0E684-46F5-4EB1-AE9F-A250076F047E}" id="{6E90F630-B57F-4EE2-BFD3-5C790C108A0D}">
    <text>@Meenakshi Singh working on thi</text>
    <mentions>
      <mention mentionpersonId="{6334DE5C-688D-48D4-8EF0-49B1F7459515}" mentionId="{4358BB80-9B1A-44E0-B755-EF9B6E74172F}" startIndex="0" length="16"/>
    </mentions>
  </threadedComment>
  <threadedComment ref="A60" dT="2025-12-17T07:45:39.09" personId="{D0D0E684-46F5-4EB1-AE9F-A250076F047E}" id="{65298F73-C191-43EC-B4D9-EEBFFEB29C7E}" parentId="{6E90F630-B57F-4EE2-BFD3-5C790C108A0D}">
    <text>@Meenakshi Singh suggested the mentors</text>
    <mentions>
      <mention mentionpersonId="{6334DE5C-688D-48D4-8EF0-49B1F7459515}" mentionId="{A92C46C2-F33C-47AD-86B8-B8A41C91178B}" startIndex="0" length="16"/>
    </mentions>
  </threadedComment>
  <threadedComment ref="A120" dT="2025-12-10T10:38:17.52" personId="{D0D0E684-46F5-4EB1-AE9F-A250076F047E}" id="{86E295F8-F14A-4D25-B4F4-80B2DD3FD132}">
    <text>@Meenakshi Singh working on this</text>
    <mentions>
      <mention mentionpersonId="{6334DE5C-688D-48D4-8EF0-49B1F7459515}" mentionId="{EC720B06-8EAB-40AA-A582-0220A508BBB2}" startIndex="0" length="16"/>
    </mentions>
  </threadedComment>
  <threadedComment ref="A136" dT="2025-12-17T04:08:11.16" personId="{D0D0E684-46F5-4EB1-AE9F-A250076F047E}" id="{B64EE734-3E91-47E8-8BD4-88524F5E3ECC}">
    <text xml:space="preserve">@Meenakshi Singh taking this venture
</text>
    <mentions>
      <mention mentionpersonId="{6334DE5C-688D-48D4-8EF0-49B1F7459515}" mentionId="{4A5AC0DC-0586-4546-B52F-FB0607D863AD}" startIndex="0" length="16"/>
    </mentions>
  </threadedComment>
  <threadedComment ref="A136" dT="2025-12-17T06:26:28.02" personId="{D0D0E684-46F5-4EB1-AE9F-A250076F047E}" id="{97E80C98-E6B7-441F-A59B-1FE320ED64F3}" parentId="{B64EE734-3E91-47E8-8BD4-88524F5E3ECC}">
    <text>@Meenakshi Singh suggested the mentors</text>
    <mentions>
      <mention mentionpersonId="{6334DE5C-688D-48D4-8EF0-49B1F7459515}" mentionId="{95622DC7-44B2-45ED-B99C-C3D6CC6FAC82}"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29" dT="2026-01-16T08:42:51.72" personId="{D0D0E684-46F5-4EB1-AE9F-A250076F047E}" id="{9C079CA5-12A0-4BEA-A41A-7643D7C81230}">
    <text>@Meenakshi Singh suggested more mentors like Mr. Nilesh</text>
    <mentions>
      <mention mentionpersonId="{6334DE5C-688D-48D4-8EF0-49B1F7459515}" mentionId="{C3BACFE8-CEBB-427E-AF01-FE286E5B1A33}" startIndex="0" length="16"/>
    </mentions>
  </threadedComment>
  <threadedComment ref="A29" dT="2026-02-10T05:00:57.97" personId="{D0D0E684-46F5-4EB1-AE9F-A250076F047E}" id="{C66ACE66-D5EB-436D-9C9D-A9B5FD8D037B}" parentId="{9C079CA5-12A0-4BEA-A41A-7643D7C81230}">
    <text xml:space="preserve"> @Meenakshi Singh suggested mentors</text>
    <mentions>
      <mention mentionpersonId="{6334DE5C-688D-48D4-8EF0-49B1F7459515}" mentionId="{BF5ABED6-76B3-4374-ACEB-86A51645E3AA}" startIndex="1" length="16"/>
    </mentions>
  </threadedComment>
  <threadedComment ref="A30" dT="2026-01-16T08:42:51.72" personId="{D0D0E684-46F5-4EB1-AE9F-A250076F047E}" id="{4A1C8510-007D-411B-8098-FCA3D2C74A02}">
    <text>@Meenakshi Singh suggested more mentors like Mr. Nilesh</text>
    <mentions>
      <mention mentionpersonId="{6334DE5C-688D-48D4-8EF0-49B1F7459515}" mentionId="{4D96F322-1D7F-4F43-AEBF-9B4B50C18156}" startIndex="0" length="16"/>
    </mentions>
  </threadedComment>
  <threadedComment ref="A73" dT="2026-03-19T13:24:22.62" personId="{D0D0E684-46F5-4EB1-AE9F-A250076F047E}" id="{FB5AA12A-D4EB-4AC0-9E30-61CC3B900E94}">
    <text xml:space="preserve"> Hi @Meenakshi, suggested new mentors. Please check</text>
    <mentions>
      <mention mentionpersonId="{6334DE5C-688D-48D4-8EF0-49B1F7459515}" mentionId="{2E61035C-7155-421F-AA49-9D7A6074C31B}" startIndex="4" length="10"/>
    </mentions>
  </threadedComment>
  <threadedComment ref="A73" dT="2026-03-20T04:51:19.14" personId="{1286E10A-349E-4AAC-BC5C-C75B79B1FF43}" id="{CFB5919D-7726-497C-BDFE-D5C5A7C78072}" parentId="{FB5AA12A-D4EB-4AC0-9E30-61CC3B900E94}">
    <text>Hi @Vaibhav, 
We can suggest this mentor to HMs</text>
    <mentions>
      <mention mentionpersonId="{FE604955-B659-4BA7-A366-D122BB530342}" mentionId="{C73A7DB4-C682-4E13-B136-5ED11EF4A92A}" startIndex="3" length="8"/>
    </mentions>
  </threadedComment>
  <threadedComment ref="A73" dT="2026-03-20T04:52:25.94" personId="{D0D0E684-46F5-4EB1-AE9F-A250076F047E}" id="{972ECF72-F3E1-43E8-8EB0-D9FCAF22A673}" parentId="{FB5AA12A-D4EB-4AC0-9E30-61CC3B900E94}">
    <text>ok@Meenakshi</text>
    <mentions>
      <mention mentionpersonId="{6334DE5C-688D-48D4-8EF0-49B1F7459515}" mentionId="{D1B0F9CD-BC0F-47B3-9FF7-D28C6FDD07D8}" startIndex="2" length="10"/>
    </mentions>
  </threadedComment>
  <threadedComment ref="A105" dT="2026-01-27T08:37:24.89" personId="{D0D0E684-46F5-4EB1-AE9F-A250076F047E}" id="{E69FF2BB-638B-4F41-9B26-CF1CB9A2CCCF}">
    <text xml:space="preserve"> @Meenakshi Singh suggested new mentor</text>
    <mentions>
      <mention mentionpersonId="{6334DE5C-688D-48D4-8EF0-49B1F7459515}" mentionId="{F3F806D1-7CED-4871-8CD7-6049497262AE}" startIndex="1" length="16"/>
    </mentions>
  </threadedComment>
  <threadedComment ref="A159" dT="2026-04-07T06:29:42.21" personId="{D0D0E684-46F5-4EB1-AE9F-A250076F047E}" id="{86C7DB21-E54D-4229-BCA5-1D970E0C48EA}">
    <text>Hi @Meenakshi, suggesting mentor for ask 5</text>
    <mentions>
      <mention mentionpersonId="{6334DE5C-688D-48D4-8EF0-49B1F7459515}" mentionId="{D6A6B17B-85F0-4F16-A9A4-7A89660DE811}" startIndex="3" length="10"/>
    </mentions>
  </threadedComment>
  <threadedComment ref="A216" dT="2026-03-26T09:16:51.66" personId="{D0D0E684-46F5-4EB1-AE9F-A250076F047E}" id="{ABD67745-23B6-43C1-8239-E0B8FE0E56C3}">
    <text>Hi @Meenakshi, suggested new set of mentor for fundrasing ask. Please check and confirm.</text>
    <mentions>
      <mention mentionpersonId="{6334DE5C-688D-48D4-8EF0-49B1F7459515}" mentionId="{FDB7DD76-C932-4775-A44A-975EE21C2842}" startIndex="3" length="10"/>
    </mentions>
  </threadedComment>
  <threadedComment ref="A217" dT="2026-03-03T09:11:59.04" personId="{D0D0E684-46F5-4EB1-AE9F-A250076F047E}" id="{8B30CD47-5DD6-47AA-822F-61E48726DBD9}">
    <text xml:space="preserve">@Meenakshi Singh Suggesting mentors
</text>
    <mentions>
      <mention mentionpersonId="{6334DE5C-688D-48D4-8EF0-49B1F7459515}" mentionId="{9CF0ADAD-0F0B-455A-8E75-101CBDB6F033}" startIndex="0" length="16"/>
    </mentions>
  </threadedComment>
  <threadedComment ref="A217" dT="2026-03-03T10:27:34.44" personId="{D0D0E684-46F5-4EB1-AE9F-A250076F047E}" id="{A6D0EDB0-7427-4A7E-8F73-0168F03EE2A8}" parentId="{8B30CD47-5DD6-47AA-822F-61E48726DBD9}">
    <text xml:space="preserve">@Meenakshi Singh suggested mentors. Please check
</text>
    <mentions>
      <mention mentionpersonId="{6334DE5C-688D-48D4-8EF0-49B1F7459515}" mentionId="{93D8A07C-58E1-4AB1-ADB2-47A35AC8F861}" startIndex="0" length="16"/>
    </mentions>
  </threadedComment>
  <threadedComment ref="A260" dT="2026-03-19T11:31:19.86" personId="{D0D0E684-46F5-4EB1-AE9F-A250076F047E}" id="{0A311BC3-39BD-4195-9433-B86245C988C3}">
    <text xml:space="preserve">Hi @Meenakshi, suggested new mentors. Please check
</text>
    <mentions>
      <mention mentionpersonId="{6334DE5C-688D-48D4-8EF0-49B1F7459515}" mentionId="{512D6F2F-AE91-4CFA-8369-D5F93B2BA4C5}" startIndex="3" length="10"/>
    </mentions>
  </threadedComment>
  <threadedComment ref="A260" dT="2026-03-20T04:51:53.26" personId="{1286E10A-349E-4AAC-BC5C-C75B79B1FF43}" id="{007863F9-2247-46E2-9BB3-C706ED5DE094}" parentId="{0A311BC3-39BD-4195-9433-B86245C988C3}">
    <text xml:space="preserve">Hi @Vaibhav 
We can suggest these mentor to HMs
</text>
    <mentions>
      <mention mentionpersonId="{FE604955-B659-4BA7-A366-D122BB530342}" mentionId="{6598F3AB-7F90-4E21-84E5-E522686AA620}" startIndex="3" length="8"/>
    </mentions>
  </threadedComment>
  <threadedComment ref="A260" dT="2026-03-20T05:03:20.41" personId="{D0D0E684-46F5-4EB1-AE9F-A250076F047E}" id="{1260E6A0-744B-4172-8CE9-B84167F0FCC6}" parentId="{0A311BC3-39BD-4195-9433-B86245C988C3}">
    <text>okay @Meenakshi</text>
    <mentions>
      <mention mentionpersonId="{6334DE5C-688D-48D4-8EF0-49B1F7459515}" mentionId="{5EF44653-AD0E-4F06-810D-27148642FEBD}" startIndex="5" length="10"/>
    </mentions>
  </threadedComment>
  <threadedComment ref="A269" dT="2026-02-12T04:21:18.46" personId="{D0D0E684-46F5-4EB1-AE9F-A250076F047E}" id="{6CF0A4F0-F7CF-4549-A34D-125C17324CBE}">
    <text xml:space="preserve"> @Meenakshi Singh suggesting mentors</text>
    <mentions>
      <mention mentionpersonId="{6334DE5C-688D-48D4-8EF0-49B1F7459515}" mentionId="{FC9FD0AA-DF13-4CC5-B2CF-3F1768DA9B71}" startIndex="1" length="16"/>
    </mentions>
  </threadedComment>
  <threadedComment ref="A269" dT="2026-02-12T11:27:35.97" personId="{D0D0E684-46F5-4EB1-AE9F-A250076F047E}" id="{80AD0AB7-7919-4B38-A9B5-03DE95D90A32}" parentId="{6CF0A4F0-F7CF-4549-A34D-125C17324CBE}">
    <text xml:space="preserve"> @Meenakshi Singh suggested mentors</text>
    <mentions>
      <mention mentionpersonId="{6334DE5C-688D-48D4-8EF0-49B1F7459515}" mentionId="{FAAF0FE7-C75B-4D92-ACD9-5FE815000ADC}" startIndex="1" length="16"/>
    </mentions>
  </threadedComment>
  <threadedComment ref="A270" dT="2026-02-12T04:21:18.46" personId="{D0D0E684-46F5-4EB1-AE9F-A250076F047E}" id="{3CD11A92-F7D4-4A3B-AA66-632657B9D2C6}">
    <text xml:space="preserve"> @Meenakshi Singh suggesting mentors</text>
    <mentions>
      <mention mentionpersonId="{6334DE5C-688D-48D4-8EF0-49B1F7459515}" mentionId="{79BA27B8-1CC4-483D-BBFC-B32AF082AFF0}" startIndex="1" length="16"/>
    </mentions>
  </threadedComment>
  <threadedComment ref="A270" dT="2026-02-12T11:27:35.97" personId="{D0D0E684-46F5-4EB1-AE9F-A250076F047E}" id="{161F384E-974B-46B1-9130-0F89678C8128}" parentId="{3CD11A92-F7D4-4A3B-AA66-632657B9D2C6}">
    <text xml:space="preserve"> @Meenakshi Singh suggested mentors</text>
    <mentions>
      <mention mentionpersonId="{6334DE5C-688D-48D4-8EF0-49B1F7459515}" mentionId="{1270DB31-0165-494B-99C6-D5F07DADFC7F}" startIndex="1" length="16"/>
    </mentions>
  </threadedComment>
  <threadedComment ref="A272" dT="2026-02-02T13:00:01.91" personId="{D0D0E684-46F5-4EB1-AE9F-A250076F047E}" id="{05452641-A4A0-41EE-AEF8-FC6780446F23}">
    <text xml:space="preserve">@Meenakshi Singh taking this venture
</text>
    <mentions>
      <mention mentionpersonId="{6334DE5C-688D-48D4-8EF0-49B1F7459515}" mentionId="{1A4427E5-D06A-4813-8587-79C6BD046DA5}" startIndex="0" length="16"/>
    </mentions>
  </threadedComment>
  <threadedComment ref="A272" dT="2026-02-02T15:00:22.75" personId="{D0D0E684-46F5-4EB1-AE9F-A250076F047E}" id="{72E2275B-A609-4A97-8C60-CBFF6D9B104F}" parentId="{05452641-A4A0-41EE-AEF8-FC6780446F23}">
    <text xml:space="preserve">@Meenakshi Singh suggested mentors. Please check
</text>
    <mentions>
      <mention mentionpersonId="{6334DE5C-688D-48D4-8EF0-49B1F7459515}" mentionId="{3261623E-42EE-416A-AE23-B3FC8F4B7669}" startIndex="0" length="16"/>
    </mentions>
  </threadedComment>
  <threadedComment ref="A273" dT="2026-02-03T04:03:30.94" personId="{D0D0E684-46F5-4EB1-AE9F-A250076F047E}" id="{07CDBEDA-E9DB-4A99-8BC0-E11B9FA7EE55}">
    <text xml:space="preserve"> @Meenakshi Singh suggesting mentors </text>
    <mentions>
      <mention mentionpersonId="{6334DE5C-688D-48D4-8EF0-49B1F7459515}" mentionId="{A76967E7-CCE4-4248-8913-B08C1B781FA0}" startIndex="1" length="16"/>
    </mentions>
  </threadedComment>
  <threadedComment ref="A273" dT="2026-02-03T09:20:07.12" personId="{D0D0E684-46F5-4EB1-AE9F-A250076F047E}" id="{AF2F894F-551D-40C9-9824-C023A4A1AC1A}" parentId="{07CDBEDA-E9DB-4A99-8BC0-E11B9FA7EE55}">
    <text xml:space="preserve">  @Meenakshi Singh suggested mentors</text>
    <mentions>
      <mention mentionpersonId="{6334DE5C-688D-48D4-8EF0-49B1F7459515}" mentionId="{E6942A3C-7492-4B2C-BA76-AE770D1E54F4}" startIndex="2" length="16"/>
    </mentions>
  </threadedComment>
  <threadedComment ref="A274" dT="2026-02-02T07:56:43.04" personId="{D0D0E684-46F5-4EB1-AE9F-A250076F047E}" id="{47C964EC-02C5-4801-8C13-BA67CD2C1FCB}">
    <text xml:space="preserve"> @Meenakshi Singh taking this venture 
</text>
    <mentions>
      <mention mentionpersonId="{6334DE5C-688D-48D4-8EF0-49B1F7459515}" mentionId="{99D1211E-ED7F-480E-9530-53554F9CEC2C}" startIndex="1" length="16"/>
    </mentions>
  </threadedComment>
  <threadedComment ref="A274" dT="2026-02-02T12:57:34.14" personId="{D0D0E684-46F5-4EB1-AE9F-A250076F047E}" id="{817BC6C3-E2E3-4F11-97EC-5FE35C1C3EF9}" parentId="{47C964EC-02C5-4801-8C13-BA67CD2C1FCB}">
    <text xml:space="preserve"> @Meenakshi Singh Suggested mentors
</text>
    <mentions>
      <mention mentionpersonId="{6334DE5C-688D-48D4-8EF0-49B1F7459515}" mentionId="{08936B6D-BD52-403E-B6FB-0B3B1B0A5FEB}" startIndex="1" length="16"/>
    </mentions>
  </threadedComment>
  <threadedComment ref="A283" dT="2026-02-23T05:55:58.66" personId="{D0D0E684-46F5-4EB1-AE9F-A250076F047E}" id="{8760CF8C-CB90-4A26-B920-75A909802566}">
    <text xml:space="preserve">@Meenakshi Singh suggesting mentors
</text>
    <mentions>
      <mention mentionpersonId="{6334DE5C-688D-48D4-8EF0-49B1F7459515}" mentionId="{B5B4E6FF-99F3-45BA-B2C3-B99A9B494317}" startIndex="0" length="16"/>
    </mentions>
  </threadedComment>
  <threadedComment ref="A287" dT="2026-02-16T04:29:02.58" personId="{D0D0E684-46F5-4EB1-AE9F-A250076F047E}" id="{203F63DB-4969-4719-B3B1-33DECA9A5973}">
    <text xml:space="preserve"> @Meenakshi Singh Suggesting mentors</text>
    <mentions>
      <mention mentionpersonId="{6334DE5C-688D-48D4-8EF0-49B1F7459515}" mentionId="{CE0D622C-49B9-4052-B79E-53FD80A00663}" startIndex="1" length="16"/>
    </mentions>
  </threadedComment>
  <threadedComment ref="A287" dT="2026-02-17T05:18:55.01" personId="{D0D0E684-46F5-4EB1-AE9F-A250076F047E}" id="{634304FD-72E6-4189-A8A1-B1DD4B725F3C}" parentId="{203F63DB-4969-4719-B3B1-33DECA9A5973}">
    <text xml:space="preserve"> @Meenakshi Singh suggested mentors</text>
    <mentions>
      <mention mentionpersonId="{6334DE5C-688D-48D4-8EF0-49B1F7459515}" mentionId="{C2B8EB42-8165-4D98-88DE-DDFD8D6119AF}" startIndex="1" length="16"/>
    </mentions>
  </threadedComment>
  <threadedComment ref="A288" dT="2026-02-16T07:10:42.29" personId="{D0D0E684-46F5-4EB1-AE9F-A250076F047E}" id="{C2BF15A5-5C8E-49A6-80F7-D0B86CBC828A}">
    <text xml:space="preserve"> @Meenakshi Singh Suggesting mentors</text>
    <mentions>
      <mention mentionpersonId="{6334DE5C-688D-48D4-8EF0-49B1F7459515}" mentionId="{8C287F34-7C65-42DC-B33B-0229948E46EE}" startIndex="1" length="16"/>
    </mentions>
  </threadedComment>
  <threadedComment ref="A288" dT="2026-02-16T09:04:17.96" personId="{D0D0E684-46F5-4EB1-AE9F-A250076F047E}" id="{15A0BC4D-D548-4200-B3F0-8AFE3643C6BD}" parentId="{C2BF15A5-5C8E-49A6-80F7-D0B86CBC828A}">
    <text xml:space="preserve"> @Meenakshi Singh suggested mentors
</text>
    <mentions>
      <mention mentionpersonId="{6334DE5C-688D-48D4-8EF0-49B1F7459515}" mentionId="{30334BBD-E608-409B-AC11-15F089F390C3}" startIndex="1" length="16"/>
    </mentions>
  </threadedComment>
  <threadedComment ref="A292" dT="2026-03-17T13:54:22.87" personId="{D0D0E684-46F5-4EB1-AE9F-A250076F047E}" id="{DE9C8EC9-EBF2-41C9-AF61-C5B78BDC1DF5}">
    <text xml:space="preserve">@Meenakshi Singh suggested mentors. Please check
</text>
    <mentions>
      <mention mentionpersonId="{6334DE5C-688D-48D4-8EF0-49B1F7459515}" mentionId="{32CE75D3-E85E-45EE-B81E-F458034B23DC}" startIndex="0" length="16"/>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b:/s/WadhwaniAccelerate/EUajhJMgPJtEhvV-K3x-Y4MBTUI3SRZC8CQ37S5X_6YzfA?e=0uFdV4" TargetMode="External"/><Relationship Id="rId21" Type="http://schemas.openxmlformats.org/officeDocument/2006/relationships/hyperlink" Target="../../../../:b:/s/WadhwaniAccelerate/EYxaWy54s1FCpd-AOKCNomgB-gL7_2G8ZtMjWjqa3zyp9Q?e=92XPbr" TargetMode="External"/><Relationship Id="rId42" Type="http://schemas.openxmlformats.org/officeDocument/2006/relationships/hyperlink" Target="../../../../../../:b:/g/personal/vignesh_radhakrishnan_wadhwanifoundation_org/EQ8G9sHzQ0dLq-SY1jfOdd4BLQpNyY8YRI7IPNl1DGpy8A?e=NAyJu2" TargetMode="External"/><Relationship Id="rId63" Type="http://schemas.openxmlformats.org/officeDocument/2006/relationships/hyperlink" Target="https://www.cleanelectric.in/" TargetMode="External"/><Relationship Id="rId84" Type="http://schemas.openxmlformats.org/officeDocument/2006/relationships/hyperlink" Target="https://bnborganics.com/" TargetMode="External"/><Relationship Id="rId138" Type="http://schemas.openxmlformats.org/officeDocument/2006/relationships/hyperlink" Target="https://www.stridessoftware.com/" TargetMode="External"/><Relationship Id="rId159" Type="http://schemas.openxmlformats.org/officeDocument/2006/relationships/hyperlink" Target="mailto:divyajit@bullagritech.in" TargetMode="External"/><Relationship Id="rId170" Type="http://schemas.openxmlformats.org/officeDocument/2006/relationships/hyperlink" Target="mailto:dhruv@dalnex.com" TargetMode="External"/><Relationship Id="rId107" Type="http://schemas.openxmlformats.org/officeDocument/2006/relationships/hyperlink" Target="../../../../:b:/s/WadhwaniAccelerate/EblNzSx2Bh5MuM3R48js3AEBGiXjmr4muIxkO6PBzGj2pw?e=23m2N3" TargetMode="External"/><Relationship Id="rId11" Type="http://schemas.openxmlformats.org/officeDocument/2006/relationships/hyperlink" Target="https://jajalmedical.com/" TargetMode="External"/><Relationship Id="rId32" Type="http://schemas.openxmlformats.org/officeDocument/2006/relationships/hyperlink" Target="https://rapteehv.com/" TargetMode="External"/><Relationship Id="rId53" Type="http://schemas.openxmlformats.org/officeDocument/2006/relationships/hyperlink" Target="https://foodnest.co.in/" TargetMode="External"/><Relationship Id="rId74" Type="http://schemas.openxmlformats.org/officeDocument/2006/relationships/hyperlink" Target="../../../../../../:b:/g/personal/sanskriti_jhaveri_wadhwanifoundation_org/EZUrvHcUjfRInBL6ySCzabMBrnzrPg8HCU2yaMVdiUeh1w?e=xYTfR5" TargetMode="External"/><Relationship Id="rId128" Type="http://schemas.openxmlformats.org/officeDocument/2006/relationships/hyperlink" Target="https://serigenmed.com/" TargetMode="External"/><Relationship Id="rId149" Type="http://schemas.openxmlformats.org/officeDocument/2006/relationships/hyperlink" Target="https://www.futr.ag/" TargetMode="External"/><Relationship Id="rId5" Type="http://schemas.openxmlformats.org/officeDocument/2006/relationships/hyperlink" Target="https://www.uravulabs.com/" TargetMode="External"/><Relationship Id="rId95" Type="http://schemas.openxmlformats.org/officeDocument/2006/relationships/hyperlink" Target="https://www.keepsakeautomation.com/" TargetMode="External"/><Relationship Id="rId160" Type="http://schemas.openxmlformats.org/officeDocument/2006/relationships/hyperlink" Target="mailto:Pragya@evify.co.in,%20dev@evify.co.in" TargetMode="External"/><Relationship Id="rId181" Type="http://schemas.openxmlformats.org/officeDocument/2006/relationships/hyperlink" Target="https://www.gowatr.com/" TargetMode="External"/><Relationship Id="rId22" Type="http://schemas.openxmlformats.org/officeDocument/2006/relationships/hyperlink" Target="https://www.linkmiles.com/" TargetMode="External"/><Relationship Id="rId43" Type="http://schemas.openxmlformats.org/officeDocument/2006/relationships/hyperlink" Target="../../../../../../:b:/g/personal/jigar_jiwani_wadhwanifoundation_org/Ef-RaSqA_kNOinior-BFnx4B7PE3cpBcbG6cFA3N-egLyA?e=pU3tlA" TargetMode="External"/><Relationship Id="rId64" Type="http://schemas.openxmlformats.org/officeDocument/2006/relationships/hyperlink" Target="https://www.vedsanjeevani.com/?country=IN" TargetMode="External"/><Relationship Id="rId118" Type="http://schemas.openxmlformats.org/officeDocument/2006/relationships/hyperlink" Target="../../../../:b:/s/WadhwaniAccelerate/EXVeXXkbE-1DgSjqn5o1p2UBgEZTbg9E_P-ckW5ngFMI6Q?e=M8CXES" TargetMode="External"/><Relationship Id="rId139" Type="http://schemas.openxmlformats.org/officeDocument/2006/relationships/hyperlink" Target="https://www.tightthenut.com/" TargetMode="External"/><Relationship Id="rId85" Type="http://schemas.openxmlformats.org/officeDocument/2006/relationships/hyperlink" Target="https://nanobee.in/" TargetMode="External"/><Relationship Id="rId150" Type="http://schemas.openxmlformats.org/officeDocument/2006/relationships/hyperlink" Target="https://www.wegot.in/" TargetMode="External"/><Relationship Id="rId171" Type="http://schemas.openxmlformats.org/officeDocument/2006/relationships/hyperlink" Target="mailto:hemant.apah@gmail.com" TargetMode="External"/><Relationship Id="rId12" Type="http://schemas.openxmlformats.org/officeDocument/2006/relationships/hyperlink" Target="../../../../../../:b:/g/personal/abhimanyu_shah_wadhwanifoundation_org/EeMhAx9cL39EkjdssB1iVbEB2Aomk2QPNylqSfqF5zCQlw?e=62MYaI" TargetMode="External"/><Relationship Id="rId33" Type="http://schemas.openxmlformats.org/officeDocument/2006/relationships/hyperlink" Target="https://drive.google.com/file/d/1ugifx4awTonkFZY8LSbRJCmFknOSi5xQ/view?usp=drive_link" TargetMode="External"/><Relationship Id="rId108" Type="http://schemas.openxmlformats.org/officeDocument/2006/relationships/hyperlink" Target="../../../../:b:/s/WadhwaniAccelerate/EUuxJ4rUzFlPoJM1lvhb2fsBikuTHb_BaS2YwkzBlbeonQ?e=LYHFxg" TargetMode="External"/><Relationship Id="rId129" Type="http://schemas.openxmlformats.org/officeDocument/2006/relationships/hyperlink" Target="https://www.linkedin.com/in/hunnybhagchandani/" TargetMode="External"/><Relationship Id="rId54" Type="http://schemas.openxmlformats.org/officeDocument/2006/relationships/hyperlink" Target="https://dhobig.com/" TargetMode="External"/><Relationship Id="rId75" Type="http://schemas.openxmlformats.org/officeDocument/2006/relationships/hyperlink" Target="../../../../:b:/s/WadhwaniAccelerate/EW3dUHFy3ptJltcWY-8-Z18B9Wbz7uxXPUJSADV6d8UDFg?e=3L7l5I" TargetMode="External"/><Relationship Id="rId96" Type="http://schemas.openxmlformats.org/officeDocument/2006/relationships/hyperlink" Target="https://askeva.in/" TargetMode="External"/><Relationship Id="rId140" Type="http://schemas.openxmlformats.org/officeDocument/2006/relationships/hyperlink" Target="https://www.eswasthya.in/" TargetMode="External"/><Relationship Id="rId161" Type="http://schemas.openxmlformats.org/officeDocument/2006/relationships/hyperlink" Target="mailto:chirag@bebeburp.com,%20founders@bebeburp.com" TargetMode="External"/><Relationship Id="rId182" Type="http://schemas.openxmlformats.org/officeDocument/2006/relationships/hyperlink" Target="mailto:delzad@zeusengitech.com" TargetMode="External"/><Relationship Id="rId6" Type="http://schemas.openxmlformats.org/officeDocument/2006/relationships/hyperlink" Target="https://docs.google.com/presentation/d/1Rvv7wS3mBP6CUOtd8F9iFNk0q-KrCEZlukeE7nS2SV8/edit?slide=id.g3371b67b069_3_87" TargetMode="External"/><Relationship Id="rId23" Type="http://schemas.openxmlformats.org/officeDocument/2006/relationships/hyperlink" Target="../../../../../../:b:/g/personal/vignesh_radhakrishnan_wadhwanifoundation_org/EbJbXngE7A1BrfWV45kp35gB2W0O3MPXibUk0OBXy5r2iA?e=5ymI8l" TargetMode="External"/><Relationship Id="rId119" Type="http://schemas.openxmlformats.org/officeDocument/2006/relationships/hyperlink" Target="../../../../:b:/s/WadhwaniAccelerate/EVgwj65cuedEsgyFgixs5AgBLULwz_eHxXG-SlG5hbJ2mg?e=ufTifL" TargetMode="External"/><Relationship Id="rId44" Type="http://schemas.openxmlformats.org/officeDocument/2006/relationships/hyperlink" Target="../../../../../../:b:/g/personal/jigar_jiwani_wadhwanifoundation_org/EbJC0iEW0ixJkGJVlh8z8m8BeRcMz6S51j9QCFr0BYRIDA?e=gFTSj7" TargetMode="External"/><Relationship Id="rId65" Type="http://schemas.openxmlformats.org/officeDocument/2006/relationships/hyperlink" Target="../../../../../../:b:/g/personal/jigar_jiwani_wadhwanifoundation_org/EYnHCU2UX2NGgEw1Uca9S7kBI38dbNdUdKbjUuDbR_UcZA?e=U8qZoQ" TargetMode="External"/><Relationship Id="rId86" Type="http://schemas.openxmlformats.org/officeDocument/2006/relationships/hyperlink" Target="https://www.padcarelabs.com/" TargetMode="External"/><Relationship Id="rId130" Type="http://schemas.openxmlformats.org/officeDocument/2006/relationships/hyperlink" Target="https://vastraapp.com/" TargetMode="External"/><Relationship Id="rId151" Type="http://schemas.openxmlformats.org/officeDocument/2006/relationships/hyperlink" Target="https://cloudbankin.com/" TargetMode="External"/><Relationship Id="rId172" Type="http://schemas.openxmlformats.org/officeDocument/2006/relationships/hyperlink" Target="mailto:aballabh@theextraaedge.com" TargetMode="External"/><Relationship Id="rId13" Type="http://schemas.openxmlformats.org/officeDocument/2006/relationships/hyperlink" Target="https://alpino.store/pages/aavi-jao-2025" TargetMode="External"/><Relationship Id="rId18" Type="http://schemas.openxmlformats.org/officeDocument/2006/relationships/hyperlink" Target="../../../../:b:/s/WadhwaniAccelerate/Ebz9hYdy9ztGrYksW7dQf-cBPlcTWVn9NcAZ7GXBc3IcMA?e=r1BQGL" TargetMode="External"/><Relationship Id="rId39" Type="http://schemas.openxmlformats.org/officeDocument/2006/relationships/hyperlink" Target="../../../../../../:b:/g/personal/vignesh_radhakrishnan_wadhwanifoundation_org/EdNOlxszEGVMjAvnBYJwLx0B6u3hVmAJFOVxChFg07YKkg?e=gNxbQx" TargetMode="External"/><Relationship Id="rId109" Type="http://schemas.openxmlformats.org/officeDocument/2006/relationships/hyperlink" Target="../../../../../../:b:/g/personal/jigar_jiwani_wadhwanifoundation_org/EfJajQnmTwpMijf-OiHU0GABlb6U2UTX_EOrh6GHJChsHQ?e=uERmCd" TargetMode="External"/><Relationship Id="rId34" Type="http://schemas.openxmlformats.org/officeDocument/2006/relationships/hyperlink" Target="https://powertree.co.in/" TargetMode="External"/><Relationship Id="rId50" Type="http://schemas.openxmlformats.org/officeDocument/2006/relationships/hyperlink" Target="https://swipeloan.in/" TargetMode="External"/><Relationship Id="rId55" Type="http://schemas.openxmlformats.org/officeDocument/2006/relationships/hyperlink" Target="https://www.tamilpreneur.in/" TargetMode="External"/><Relationship Id="rId76" Type="http://schemas.openxmlformats.org/officeDocument/2006/relationships/hyperlink" Target="../../../../:b:/s/WadhwaniAccelerate/EZjt8I2N35ZOqSVY-hIHljEB6eqfnSWXbOpVQ8PyLVU6kA?e=whvMxT" TargetMode="External"/><Relationship Id="rId97" Type="http://schemas.openxmlformats.org/officeDocument/2006/relationships/hyperlink" Target="https://www.botminds.ai/" TargetMode="External"/><Relationship Id="rId104" Type="http://schemas.openxmlformats.org/officeDocument/2006/relationships/hyperlink" Target="https://drive.google.com/open?id=1b06RbmxD-aXPqQj-gr5CvUcHdRdckNee" TargetMode="External"/><Relationship Id="rId120" Type="http://schemas.openxmlformats.org/officeDocument/2006/relationships/hyperlink" Target="https://www.expositarvr.com/" TargetMode="External"/><Relationship Id="rId125" Type="http://schemas.openxmlformats.org/officeDocument/2006/relationships/hyperlink" Target="https://www.airmedlabs.com/" TargetMode="External"/><Relationship Id="rId141" Type="http://schemas.openxmlformats.org/officeDocument/2006/relationships/hyperlink" Target="https://www.bullagritech.in/" TargetMode="External"/><Relationship Id="rId146" Type="http://schemas.openxmlformats.org/officeDocument/2006/relationships/hyperlink" Target="https://www.chimertech.com/" TargetMode="External"/><Relationship Id="rId167" Type="http://schemas.openxmlformats.org/officeDocument/2006/relationships/hyperlink" Target="mailto:rajah@cloudbankin.com" TargetMode="External"/><Relationship Id="rId7" Type="http://schemas.openxmlformats.org/officeDocument/2006/relationships/hyperlink" Target="../../../../:b:/s/WadhwaniAccelerate/ETnrEw-WvMVKn4yYd3HFLeIBj8gA8hXTNHcHyT1R5yXBjg?e=AXcDGX" TargetMode="External"/><Relationship Id="rId71" Type="http://schemas.openxmlformats.org/officeDocument/2006/relationships/hyperlink" Target="../../../../../../:b:/g/personal/rishabh_singh_wadhwanifoundation_org/EcYSAW6Xv2hNr1SsyEkr-GABbGRqcDGNfcrbzgaDbDqOWw?e=207dpO" TargetMode="External"/><Relationship Id="rId92" Type="http://schemas.openxmlformats.org/officeDocument/2006/relationships/hyperlink" Target="https://milletsnow.com/" TargetMode="External"/><Relationship Id="rId162" Type="http://schemas.openxmlformats.org/officeDocument/2006/relationships/hyperlink" Target="mailto:Satya@roompe.co.in" TargetMode="External"/><Relationship Id="rId183" Type="http://schemas.openxmlformats.org/officeDocument/2006/relationships/hyperlink" Target="mailto:vikash.rajpurohit@vastraapp.com" TargetMode="External"/><Relationship Id="rId2" Type="http://schemas.openxmlformats.org/officeDocument/2006/relationships/hyperlink" Target="https://drive.google.com/file/d/1te5_splLIsKnhTSAs7XOhCqLpDmFPBoT/view?usp=drive_link" TargetMode="External"/><Relationship Id="rId29" Type="http://schemas.openxmlformats.org/officeDocument/2006/relationships/hyperlink" Target="https://drive.google.com/file/d/1mrYIbNBb-wg6RtAtxhpRxOpAEtZYmJ_C/view?usp=drive_link" TargetMode="External"/><Relationship Id="rId24" Type="http://schemas.openxmlformats.org/officeDocument/2006/relationships/hyperlink" Target="https://www.eventbeep.com/" TargetMode="External"/><Relationship Id="rId40" Type="http://schemas.openxmlformats.org/officeDocument/2006/relationships/hyperlink" Target="../../../../:p:/s/WadhwaniAccelerate/EbvWpPHhAY5Lg96mBZWj9nsB95LHUMiWHo3-HUTnCtof0Q?e=PLa9XE" TargetMode="External"/><Relationship Id="rId45" Type="http://schemas.openxmlformats.org/officeDocument/2006/relationships/hyperlink" Target="https://rawpharmabiz.com/?srsltid=AfmBOopCbN3d0CVikkZ1qTVSXa-o2LL1yZSeLND7-G6btv8sUc6ZhEd_" TargetMode="External"/><Relationship Id="rId66" Type="http://schemas.openxmlformats.org/officeDocument/2006/relationships/hyperlink" Target="../../../../../../:b:/g/personal/jigar_jiwani_wadhwanifoundation_org/EfhlxkmPMjZDmkArlGfNLU0BfFKLnnaEeMVyBH3ynA8IKw?e=z1Qg8Y" TargetMode="External"/><Relationship Id="rId87" Type="http://schemas.openxmlformats.org/officeDocument/2006/relationships/hyperlink" Target="https://www.hreedanlifestyle.com/" TargetMode="External"/><Relationship Id="rId110" Type="http://schemas.openxmlformats.org/officeDocument/2006/relationships/hyperlink" Target="../../../../../../:b:/g/personal/jigar_jiwani_wadhwanifoundation_org/EQiCqS0CXK9JloE8Y4exivwBKGu0kIQdN3JqwG91I2o6Ew?e=XKVRmC" TargetMode="External"/><Relationship Id="rId115" Type="http://schemas.openxmlformats.org/officeDocument/2006/relationships/hyperlink" Target="../../../../:b:/s/WadhwaniAccelerate/ETZY28Ea9NdAhdLbNVNf_2kBMdmEyKQVGLdPpTEAMVy-Gg?e=rTMHBt" TargetMode="External"/><Relationship Id="rId131" Type="http://schemas.openxmlformats.org/officeDocument/2006/relationships/hyperlink" Target="https://www.vyndo.in/" TargetMode="External"/><Relationship Id="rId136" Type="http://schemas.openxmlformats.org/officeDocument/2006/relationships/hyperlink" Target="https://tikitoro.com/" TargetMode="External"/><Relationship Id="rId157" Type="http://schemas.openxmlformats.org/officeDocument/2006/relationships/hyperlink" Target="https://voldenergy.in/" TargetMode="External"/><Relationship Id="rId178" Type="http://schemas.openxmlformats.org/officeDocument/2006/relationships/hyperlink" Target="../../../../../../:b:/g/personal/jigar_jiwani_wadhwanifoundation_org/EX8Oyi0DwaJInDNf9zn8picB1gPHCryCQ3kBe5dBkGeQ_Q?e=a40ahJ" TargetMode="External"/><Relationship Id="rId61" Type="http://schemas.openxmlformats.org/officeDocument/2006/relationships/hyperlink" Target="https://esandhai.in/" TargetMode="External"/><Relationship Id="rId82" Type="http://schemas.openxmlformats.org/officeDocument/2006/relationships/hyperlink" Target="https://ayusynk.ai/" TargetMode="External"/><Relationship Id="rId152" Type="http://schemas.openxmlformats.org/officeDocument/2006/relationships/hyperlink" Target="https://www.sprint6.com/" TargetMode="External"/><Relationship Id="rId173" Type="http://schemas.openxmlformats.org/officeDocument/2006/relationships/hyperlink" Target="mailto:salil@cleanergy.co.in" TargetMode="External"/><Relationship Id="rId19" Type="http://schemas.openxmlformats.org/officeDocument/2006/relationships/hyperlink" Target="../../../../../../:b:/g/personal/vignesh_radhakrishnan_wadhwanifoundation_org/EbDHv3cXHzNGjh7gnl0LFJsBZpbUqopQLaUKDUbxCe2Ejg?e=u2Mi51" TargetMode="External"/><Relationship Id="rId14" Type="http://schemas.openxmlformats.org/officeDocument/2006/relationships/hyperlink" Target="../../../../../../:b:/g/personal/abhimanyu_shah_wadhwanifoundation_org/EZd0CHnD6JxCnZ2ICy3JaskBVSDHM7R9yas4C0r0UM24aQ?e=NGORhB" TargetMode="External"/><Relationship Id="rId30" Type="http://schemas.openxmlformats.org/officeDocument/2006/relationships/hyperlink" Target="https://startoonlabs.com/" TargetMode="External"/><Relationship Id="rId35" Type="http://schemas.openxmlformats.org/officeDocument/2006/relationships/hyperlink" Target="https://qpiai.tech/" TargetMode="External"/><Relationship Id="rId56" Type="http://schemas.openxmlformats.org/officeDocument/2006/relationships/hyperlink" Target="https://terrablu.life/" TargetMode="External"/><Relationship Id="rId77" Type="http://schemas.openxmlformats.org/officeDocument/2006/relationships/hyperlink" Target="../../../../../../my?id=%2Fpersonal%2Frishabh%5Fsingh%5Fwadhwanifoundation%5Forg%2FDocuments%2FAttachments%2FQNu%20Intro%20Deck%20%2D%20Sept25%2Epdf&amp;parent=%2Fpersonal%2Frishabh%5Fsingh%5Fwadhwanifoundation%5Forg%2FDocuments%2FAttachments" TargetMode="External"/><Relationship Id="rId100" Type="http://schemas.openxmlformats.org/officeDocument/2006/relationships/hyperlink" Target="../../../../../../:b:/g/personal/rishabh_singh_wadhwanifoundation_org/EUtX_Dl7GBFPoFO9fvR1w-8Bs_sXK-IO_lhnvtMmyCrCZQ?e=eo2Bok" TargetMode="External"/><Relationship Id="rId105" Type="http://schemas.openxmlformats.org/officeDocument/2006/relationships/hyperlink" Target="../../../../../../:b:/g/personal/rishabh_singh_wadhwanifoundation_org/EbLUFw39OJpOlCyD-OsEwfgBWiA0pBameZVfmkYlbwgtnw?e=7B12XE" TargetMode="External"/><Relationship Id="rId126" Type="http://schemas.openxmlformats.org/officeDocument/2006/relationships/hyperlink" Target="https://biziverse.com/" TargetMode="External"/><Relationship Id="rId147" Type="http://schemas.openxmlformats.org/officeDocument/2006/relationships/hyperlink" Target="https://dailygurus.com/" TargetMode="External"/><Relationship Id="rId168" Type="http://schemas.openxmlformats.org/officeDocument/2006/relationships/hyperlink" Target="mailto:kali@sprint6.com" TargetMode="External"/><Relationship Id="rId8" Type="http://schemas.openxmlformats.org/officeDocument/2006/relationships/hyperlink" Target="https://www.jidokatech.com/" TargetMode="External"/><Relationship Id="rId51" Type="http://schemas.openxmlformats.org/officeDocument/2006/relationships/hyperlink" Target="https://www.hogist.com/" TargetMode="External"/><Relationship Id="rId72" Type="http://schemas.openxmlformats.org/officeDocument/2006/relationships/hyperlink" Target="../../../../:b:/s/WadhwaniAccelerate/ERFKSjmL7hlKsk1Lqixa-9ABWMMBpjmbDwPGrm9Exbfwtg?e=VfW1wR" TargetMode="External"/><Relationship Id="rId93" Type="http://schemas.openxmlformats.org/officeDocument/2006/relationships/hyperlink" Target="https://www.thedivinefoods.com/" TargetMode="External"/><Relationship Id="rId98" Type="http://schemas.openxmlformats.org/officeDocument/2006/relationships/hyperlink" Target="https://inspacco.com/" TargetMode="External"/><Relationship Id="rId121" Type="http://schemas.openxmlformats.org/officeDocument/2006/relationships/hyperlink" Target="https://www.agriown.com/" TargetMode="External"/><Relationship Id="rId142" Type="http://schemas.openxmlformats.org/officeDocument/2006/relationships/hyperlink" Target="https://www.evify.co.in/" TargetMode="External"/><Relationship Id="rId163" Type="http://schemas.openxmlformats.org/officeDocument/2006/relationships/hyperlink" Target="mailto:ragul.paramasivam@chimertech.com" TargetMode="External"/><Relationship Id="rId184" Type="http://schemas.openxmlformats.org/officeDocument/2006/relationships/vmlDrawing" Target="../drawings/vmlDrawing1.vml"/><Relationship Id="rId3" Type="http://schemas.openxmlformats.org/officeDocument/2006/relationships/hyperlink" Target="https://www.fortytwolabs.com/" TargetMode="External"/><Relationship Id="rId25" Type="http://schemas.openxmlformats.org/officeDocument/2006/relationships/hyperlink" Target="https://drive.google.com/file/d/1te5_splLIsKnhTSAs7XOhCqLpDmFPBoT/view?usp=drive_link" TargetMode="External"/><Relationship Id="rId46" Type="http://schemas.openxmlformats.org/officeDocument/2006/relationships/hyperlink" Target="https://www.nuutjob.com/pages/about-us?srsltid=AfmBOopE55LS67-C6ANgo72Bz2ag3x7XGcx-6zSC2AVaW51albUxH7-0" TargetMode="External"/><Relationship Id="rId67" Type="http://schemas.openxmlformats.org/officeDocument/2006/relationships/hyperlink" Target="https://drive.google.com/open?id=1TV3xWrtI2r8JRRWlaWNp5b19RBCRKQug" TargetMode="External"/><Relationship Id="rId116" Type="http://schemas.openxmlformats.org/officeDocument/2006/relationships/hyperlink" Target="../../../../:b:/s/WadhwaniAccelerate/EULKnUby8ClHqlfCiLXxAgMBGo-td5FCi0MlhSdjdeESgQ?e=IFwx0f" TargetMode="External"/><Relationship Id="rId137" Type="http://schemas.openxmlformats.org/officeDocument/2006/relationships/hyperlink" Target="https://www.source.one/" TargetMode="External"/><Relationship Id="rId158" Type="http://schemas.openxmlformats.org/officeDocument/2006/relationships/hyperlink" Target="mailto:Yash@eshs.in" TargetMode="External"/><Relationship Id="rId20" Type="http://schemas.openxmlformats.org/officeDocument/2006/relationships/hyperlink" Target="https://evascalpcooling.co.in/" TargetMode="External"/><Relationship Id="rId41" Type="http://schemas.openxmlformats.org/officeDocument/2006/relationships/hyperlink" Target="../../../../:p:/s/WadhwaniAccelerate/EbvWpPHhAY5Lg96mBZWj9nsB95LHUMiWHo3-HUTnCtof0Q?e=PLa9XE" TargetMode="External"/><Relationship Id="rId62" Type="http://schemas.openxmlformats.org/officeDocument/2006/relationships/hyperlink" Target="https://www.atreyainnovations.com/" TargetMode="External"/><Relationship Id="rId83" Type="http://schemas.openxmlformats.org/officeDocument/2006/relationships/hyperlink" Target="https://www.stembotix.in/" TargetMode="External"/><Relationship Id="rId88" Type="http://schemas.openxmlformats.org/officeDocument/2006/relationships/hyperlink" Target="https://jivikahealthcare.com/" TargetMode="External"/><Relationship Id="rId111" Type="http://schemas.openxmlformats.org/officeDocument/2006/relationships/hyperlink" Target="../../../../:b:/s/WadhwaniAccelerate/ESGVOBM_DaFHopgt6x-_ZxgBakCSUV49GCJnR1lE_il7VQ?e=heE2eP" TargetMode="External"/><Relationship Id="rId132" Type="http://schemas.openxmlformats.org/officeDocument/2006/relationships/hyperlink" Target="https://www.sarumam.com/shop" TargetMode="External"/><Relationship Id="rId153" Type="http://schemas.openxmlformats.org/officeDocument/2006/relationships/hyperlink" Target="https://dalnex.com/" TargetMode="External"/><Relationship Id="rId174" Type="http://schemas.openxmlformats.org/officeDocument/2006/relationships/hyperlink" Target="mailto:voldenergydrink@gmail.com" TargetMode="External"/><Relationship Id="rId179" Type="http://schemas.openxmlformats.org/officeDocument/2006/relationships/hyperlink" Target="https://www.truscholar.io/" TargetMode="External"/><Relationship Id="rId15" Type="http://schemas.openxmlformats.org/officeDocument/2006/relationships/hyperlink" Target="https://univia.in/" TargetMode="External"/><Relationship Id="rId36" Type="http://schemas.openxmlformats.org/officeDocument/2006/relationships/hyperlink" Target="../../../../../../:b:/g/personal/abhimanyu_shah_wadhwanifoundation_org/EUTSgyhKEApMnyPxp7Y6wjUBwFn-zW0C7_ITLKHoJw1DaA?e=QcBuqo" TargetMode="External"/><Relationship Id="rId57" Type="http://schemas.openxmlformats.org/officeDocument/2006/relationships/hyperlink" Target="https://blueisland.in/" TargetMode="External"/><Relationship Id="rId106" Type="http://schemas.openxmlformats.org/officeDocument/2006/relationships/hyperlink" Target="../../../../:b:/s/WadhwaniAccelerate/EdUtjHCL6vRAk8t-FzoLDE4Bjk7xf3Y-SKL6hivW0B_bnQ?e=avdLLS" TargetMode="External"/><Relationship Id="rId127" Type="http://schemas.openxmlformats.org/officeDocument/2006/relationships/hyperlink" Target="https://www.insyspay.com/" TargetMode="External"/><Relationship Id="rId10" Type="http://schemas.openxmlformats.org/officeDocument/2006/relationships/hyperlink" Target="../../../../../../:b:/g/personal/vignesh_radhakrishnan_wadhwanifoundation_org/ESrLM7ja0MNMsNPlkkZGxnAB568OzNjk6t7pTZTshs7S3A?e=lVIcDQ" TargetMode="External"/><Relationship Id="rId31" Type="http://schemas.openxmlformats.org/officeDocument/2006/relationships/hyperlink" Target="https://drive.google.com/file/d/11SWwR0YCVqI9NTZ7GcK5k1zkXuQAAN7p/view?usp=drive_link" TargetMode="External"/><Relationship Id="rId52" Type="http://schemas.openxmlformats.org/officeDocument/2006/relationships/hyperlink" Target="https://dingg.app/" TargetMode="External"/><Relationship Id="rId73" Type="http://schemas.openxmlformats.org/officeDocument/2006/relationships/hyperlink" Target="https://drive.google.com/file/d/1908ajOguTg14cJYCoMKKExwiIL-N7F-5/view?usp=sharing" TargetMode="External"/><Relationship Id="rId78" Type="http://schemas.openxmlformats.org/officeDocument/2006/relationships/hyperlink" Target="../../../../:b:/s/WadhwaniAccelerate/Edoe8MwP_OhMhbuSXOFiUmABqqIKolhstqVAo-iPUeJ0gg?e=Jygz6C" TargetMode="External"/><Relationship Id="rId94" Type="http://schemas.openxmlformats.org/officeDocument/2006/relationships/hyperlink" Target="https://www.servercake.in/" TargetMode="External"/><Relationship Id="rId99" Type="http://schemas.openxmlformats.org/officeDocument/2006/relationships/hyperlink" Target="https://schooldiary.me/" TargetMode="External"/><Relationship Id="rId101" Type="http://schemas.openxmlformats.org/officeDocument/2006/relationships/hyperlink" Target="../../../../../../:b:/g/personal/vamshi_shaga_wadhwanifoundation_org/EQ0sDZGXCCVMhcrKkwM-bKkB2_NA7Ur9l9U3KgjLlBrtbw?e=J167mJ" TargetMode="External"/><Relationship Id="rId122" Type="http://schemas.openxmlformats.org/officeDocument/2006/relationships/hyperlink" Target="https://qarmatek.com/" TargetMode="External"/><Relationship Id="rId143" Type="http://schemas.openxmlformats.org/officeDocument/2006/relationships/hyperlink" Target="https://bebeburp.com/?srsltid=AfmBOop_RD-dVvDXoM8RsKHpgvrRKH-6weU8Hw0cor09R7zkPfeOfBez" TargetMode="External"/><Relationship Id="rId148" Type="http://schemas.openxmlformats.org/officeDocument/2006/relationships/hyperlink" Target="https://growyourfarms.com/" TargetMode="External"/><Relationship Id="rId164" Type="http://schemas.openxmlformats.org/officeDocument/2006/relationships/hyperlink" Target="mailto:rajesh@dailygurus.com" TargetMode="External"/><Relationship Id="rId169" Type="http://schemas.openxmlformats.org/officeDocument/2006/relationships/hyperlink" Target="mailto:kugan@scybers.com" TargetMode="External"/><Relationship Id="rId185" Type="http://schemas.openxmlformats.org/officeDocument/2006/relationships/table" Target="../tables/table2.xml"/><Relationship Id="rId4" Type="http://schemas.openxmlformats.org/officeDocument/2006/relationships/hyperlink" Target="https://culturex.ai/" TargetMode="External"/><Relationship Id="rId9" Type="http://schemas.openxmlformats.org/officeDocument/2006/relationships/hyperlink" Target="https://mangopoint.in/" TargetMode="External"/><Relationship Id="rId180" Type="http://schemas.openxmlformats.org/officeDocument/2006/relationships/hyperlink" Target="../../../../:b:/s/WadhwaniAccelerate/EacClh3DwlFIlsMiJUY1g8UBzo1rbbbHG-DG5h41XT12nA?e=iNQMoG" TargetMode="External"/><Relationship Id="rId26" Type="http://schemas.openxmlformats.org/officeDocument/2006/relationships/hyperlink" Target="https://ngearsafe.com/" TargetMode="External"/><Relationship Id="rId47" Type="http://schemas.openxmlformats.org/officeDocument/2006/relationships/hyperlink" Target="https://www.velaanmart.com/" TargetMode="External"/><Relationship Id="rId68" Type="http://schemas.openxmlformats.org/officeDocument/2006/relationships/hyperlink" Target="../../../../../../:b:/g/personal/jigar_jiwani_wadhwanifoundation_org/EfU8UAbuAG5LvFFYdC3QZL0BoOkwUkZj8Aj5l6v0TgAgAQ?e=ebfPtm" TargetMode="External"/><Relationship Id="rId89" Type="http://schemas.openxmlformats.org/officeDocument/2006/relationships/hyperlink" Target="https://jeevitam.com/" TargetMode="External"/><Relationship Id="rId112" Type="http://schemas.openxmlformats.org/officeDocument/2006/relationships/hyperlink" Target="../../../../:b:/s/WadhwaniAccelerate/EWU-vEEJFCFHp0wFu9bUAKsBs3GEVOEHo4KR5k_I6JUNtw?e=MzfZ8j" TargetMode="External"/><Relationship Id="rId133" Type="http://schemas.openxmlformats.org/officeDocument/2006/relationships/hyperlink" Target="https://www.tvasta.construction/" TargetMode="External"/><Relationship Id="rId154" Type="http://schemas.openxmlformats.org/officeDocument/2006/relationships/hyperlink" Target="https://apah.org.in/" TargetMode="External"/><Relationship Id="rId175" Type="http://schemas.openxmlformats.org/officeDocument/2006/relationships/hyperlink" Target="mailto:sanjeeviraja@manufyx.co.in" TargetMode="External"/><Relationship Id="rId16" Type="http://schemas.openxmlformats.org/officeDocument/2006/relationships/hyperlink" Target="../../../../../../:b:/g/personal/ankit_machhar_wadhwanifoundation_org/ETXLOuDrp1lMhh8ht0GyZ7gBV7uJn5VWpPvLCpUEAwXb5g?e=xPDrm3" TargetMode="External"/><Relationship Id="rId37" Type="http://schemas.openxmlformats.org/officeDocument/2006/relationships/hyperlink" Target="https://www.videosdk.live/" TargetMode="External"/><Relationship Id="rId58" Type="http://schemas.openxmlformats.org/officeDocument/2006/relationships/hyperlink" Target="https://myharvestfarms.com/" TargetMode="External"/><Relationship Id="rId79" Type="http://schemas.openxmlformats.org/officeDocument/2006/relationships/hyperlink" Target="../../../../:b:/s/WadhwaniAccelerate/EeTJU-zFtvBFjbEphSrrVkQBxdk9pD67NcxcXjTzTqDE_A?e=Zltryd" TargetMode="External"/><Relationship Id="rId102" Type="http://schemas.openxmlformats.org/officeDocument/2006/relationships/hyperlink" Target="../../../../../../:b:/g/personal/jigar_jiwani_wadhwanifoundation_org/EfGKMroRfchDpbhNfjjNnCIBpaVGct68UIwbqokV46vQUg?e=JQ4kFO" TargetMode="External"/><Relationship Id="rId123" Type="http://schemas.openxmlformats.org/officeDocument/2006/relationships/hyperlink" Target="https://www.stroom.in/" TargetMode="External"/><Relationship Id="rId144" Type="http://schemas.openxmlformats.org/officeDocument/2006/relationships/hyperlink" Target="https://mealpe.app/" TargetMode="External"/><Relationship Id="rId90" Type="http://schemas.openxmlformats.org/officeDocument/2006/relationships/hyperlink" Target="https://micob.in/" TargetMode="External"/><Relationship Id="rId165" Type="http://schemas.openxmlformats.org/officeDocument/2006/relationships/hyperlink" Target="mailto:arun@growyourfarms.com;%20varadharajan@growyourfarms.com" TargetMode="External"/><Relationship Id="rId186" Type="http://schemas.openxmlformats.org/officeDocument/2006/relationships/comments" Target="../comments1.xml"/><Relationship Id="rId27" Type="http://schemas.openxmlformats.org/officeDocument/2006/relationships/hyperlink" Target="https://drive.google.com/file/d/1mivP5Wz0txEPRwgGvpci81riZEhLcz24/view?usp=drive_link" TargetMode="External"/><Relationship Id="rId48" Type="http://schemas.openxmlformats.org/officeDocument/2006/relationships/hyperlink" Target="https://indian-drivers.com/" TargetMode="External"/><Relationship Id="rId69" Type="http://schemas.openxmlformats.org/officeDocument/2006/relationships/hyperlink" Target="https://drive.google.com/open?id=13cKMF3chkh7nsHWUEJyf8d_Rv9QldREI" TargetMode="External"/><Relationship Id="rId113" Type="http://schemas.openxmlformats.org/officeDocument/2006/relationships/hyperlink" Target="../../../../:b:/s/WadhwaniAccelerate/EQcGTe-Dp1NHoMDcKs5RyxkBfGz58UBzVzb6LjNDpuk4Dg?e=kPHbGq" TargetMode="External"/><Relationship Id="rId134" Type="http://schemas.openxmlformats.org/officeDocument/2006/relationships/hyperlink" Target="https://wacto.in/" TargetMode="External"/><Relationship Id="rId80" Type="http://schemas.openxmlformats.org/officeDocument/2006/relationships/hyperlink" Target="../../../../../../:b:/g/personal/prashant_iyer_wadhwanifoundation_org/Ee4SCbMeV3pItQF_67_nDSABl4xF4mVPzE3P2gk7rIgksg?e=T436dX" TargetMode="External"/><Relationship Id="rId155" Type="http://schemas.openxmlformats.org/officeDocument/2006/relationships/hyperlink" Target="https://www.extraaedge.com/" TargetMode="External"/><Relationship Id="rId176" Type="http://schemas.openxmlformats.org/officeDocument/2006/relationships/hyperlink" Target="mailto:arjun@videosdk.live;%20vikram@videosdk.live" TargetMode="External"/><Relationship Id="rId17" Type="http://schemas.openxmlformats.org/officeDocument/2006/relationships/hyperlink" Target="https://www.jeevtronics.com/" TargetMode="External"/><Relationship Id="rId38" Type="http://schemas.openxmlformats.org/officeDocument/2006/relationships/hyperlink" Target="https://www.borecharger.com/" TargetMode="External"/><Relationship Id="rId59" Type="http://schemas.openxmlformats.org/officeDocument/2006/relationships/hyperlink" Target="https://www.qnulabs.com/" TargetMode="External"/><Relationship Id="rId103" Type="http://schemas.openxmlformats.org/officeDocument/2006/relationships/hyperlink" Target="../../../../:b:/s/WadhwaniAccelerate/EXGIoKai98FLuTdyW8O6WyoBGs6y4UR2dgad8P721lI79A?e=Mwjrhb" TargetMode="External"/><Relationship Id="rId124" Type="http://schemas.openxmlformats.org/officeDocument/2006/relationships/hyperlink" Target="https://www.biofics.co.in/" TargetMode="External"/><Relationship Id="rId70" Type="http://schemas.openxmlformats.org/officeDocument/2006/relationships/hyperlink" Target="../../../../../../:b:/g/personal/rishabh_singh_wadhwanifoundation_org/EXho_4Y4IfNPvZdEQ0wWi9ABLdKp6WgMeSp78ylb1rcO7w?e=zvz0BF" TargetMode="External"/><Relationship Id="rId91" Type="http://schemas.openxmlformats.org/officeDocument/2006/relationships/hyperlink" Target="https://rupiya.app/" TargetMode="External"/><Relationship Id="rId145" Type="http://schemas.openxmlformats.org/officeDocument/2006/relationships/hyperlink" Target="https://innovotek.in/" TargetMode="External"/><Relationship Id="rId166" Type="http://schemas.openxmlformats.org/officeDocument/2006/relationships/hyperlink" Target="mailto:vijay@wegot.in" TargetMode="External"/><Relationship Id="rId187" Type="http://schemas.microsoft.com/office/2017/10/relationships/threadedComment" Target="../threadedComments/threadedComment1.xml"/><Relationship Id="rId1" Type="http://schemas.openxmlformats.org/officeDocument/2006/relationships/hyperlink" Target="https://ampicq.com/" TargetMode="External"/><Relationship Id="rId28" Type="http://schemas.openxmlformats.org/officeDocument/2006/relationships/hyperlink" Target="https://www.bipolarfactory.com/about-us" TargetMode="External"/><Relationship Id="rId49" Type="http://schemas.openxmlformats.org/officeDocument/2006/relationships/hyperlink" Target="https://www.redicinemedsol.com/" TargetMode="External"/><Relationship Id="rId114" Type="http://schemas.openxmlformats.org/officeDocument/2006/relationships/hyperlink" Target="../../../../../../:b:/g/personal/jigar_jiwani_wadhwanifoundation_org/EZxJMic2D2RMrSOmVAwZoBYBz4uI_KPXB3NncgYGDx-v5g?e=9d2lfv" TargetMode="External"/><Relationship Id="rId60" Type="http://schemas.openxmlformats.org/officeDocument/2006/relationships/hyperlink" Target="https://www.fynmobility.com/" TargetMode="External"/><Relationship Id="rId81" Type="http://schemas.openxmlformats.org/officeDocument/2006/relationships/hyperlink" Target="https://leapinfosys.com/" TargetMode="External"/><Relationship Id="rId135" Type="http://schemas.openxmlformats.org/officeDocument/2006/relationships/hyperlink" Target="https://www.ezlease.in/" TargetMode="External"/><Relationship Id="rId156" Type="http://schemas.openxmlformats.org/officeDocument/2006/relationships/hyperlink" Target="https://kisangas.com/" TargetMode="External"/><Relationship Id="rId177" Type="http://schemas.openxmlformats.org/officeDocument/2006/relationships/hyperlink" Target="mailto:eximburg@gmail.c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accelerate_wadhwanifoundation_org/_layouts/15/viewer.aspx?sourcedoc=%7bf8cd782c-746a-49a4-b875-54acea4c075e%7d" TargetMode="External"/><Relationship Id="rId21" Type="http://schemas.openxmlformats.org/officeDocument/2006/relationships/hyperlink" Target="mailto:ravi@univia.in%22%20%3cravi@univia.in%3e;%20%22ketan@univia.in%22%20%3cketan@univia.in%3e;" TargetMode="External"/><Relationship Id="rId63" Type="http://schemas.openxmlformats.org/officeDocument/2006/relationships/hyperlink" Target="mailto:akash@gyroindia.com" TargetMode="External"/><Relationship Id="rId159" Type="http://schemas.openxmlformats.org/officeDocument/2006/relationships/hyperlink" Target="../../../../../accelerate_wadhwanifoundation_org/_layouts/15/viewer.aspx?sourcedoc=%7b9434dffa-ee78-44e3-9ff3-1e4b3fbb2343%7d" TargetMode="External"/><Relationship Id="rId170" Type="http://schemas.openxmlformats.org/officeDocument/2006/relationships/hyperlink" Target="../../../../../vaibhav_mattas_wadhwanifoundation_org/_layouts/15/Doc.aspx?sourcedoc=%7BD87A12DB-83E1-433D-9C42-CB35B5E10116%7D&amp;file=Expert%20Connect%203%20_%20Stembotix%20x%20Wadhwani%20Accelerate%20(1).docx&amp;action=default&amp;mobileredirect=true&amp;DefaultItemOpen=1" TargetMode="External"/><Relationship Id="rId191" Type="http://schemas.openxmlformats.org/officeDocument/2006/relationships/hyperlink" Target="../../../../../vaibhav_mattas_wadhwanifoundation_org/_layouts/15/Doc.aspx?sourcedoc=%7B275C080B-6C9B-4711-8130-6C4FD072F70C%7D&amp;file=Expert%20Connect%202%20_%20Vaultastic%20x%20Wadhwani%20Accelerate.docx&amp;action=default&amp;mobileredirect=true&amp;DefaultItemOpen=1" TargetMode="External"/><Relationship Id="rId205" Type="http://schemas.openxmlformats.org/officeDocument/2006/relationships/hyperlink" Target="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 TargetMode="External"/><Relationship Id="rId226" Type="http://schemas.openxmlformats.org/officeDocument/2006/relationships/hyperlink" Target="https://wadhwanifoundation-my.sharepoint.com/:w:/g/personal/vaibhav_mattas_wadhwanifoundation_org/IQCNSHuVQxqXQ4ib9CjJDUiVAdzp8ovnzI2B3Hlui60IlDw?e=xJJ3gH" TargetMode="External"/><Relationship Id="rId247" Type="http://schemas.openxmlformats.org/officeDocument/2006/relationships/hyperlink" Target="https://wadhwanifoundation-my.sharepoint.com/:w:/g/personal/vaibhav_mattas_wadhwanifoundation_org/IQCxv7Y8A4YQRphCPbvGhnQ3AUqkZ1exp5jFzbB0uxk_890?e=pIzd0I" TargetMode="External"/><Relationship Id="rId107" Type="http://schemas.openxmlformats.org/officeDocument/2006/relationships/hyperlink" Target="../../../../../accelerate_wadhwanifoundation_org/_layouts/15/viewer.aspx?sourcedoc=%7b414747d1-3ae7-42e2-b01a-f61a36b43eeb%7d" TargetMode="External"/><Relationship Id="rId11" Type="http://schemas.openxmlformats.org/officeDocument/2006/relationships/hyperlink" Target="mailto:krishna@indian-drivers.com" TargetMode="External"/><Relationship Id="rId32" Type="http://schemas.openxmlformats.org/officeDocument/2006/relationships/hyperlink" Target="mailto:dhaval@rupiya.app" TargetMode="External"/><Relationship Id="rId53" Type="http://schemas.openxmlformats.org/officeDocument/2006/relationships/hyperlink" Target="mailto:krunal.shah@qarmatek.com" TargetMode="External"/><Relationship Id="rId74" Type="http://schemas.openxmlformats.org/officeDocument/2006/relationships/hyperlink" Target="mailto:prasanna@vrderma.com" TargetMode="External"/><Relationship Id="rId128" Type="http://schemas.openxmlformats.org/officeDocument/2006/relationships/hyperlink" Target="../../../../../vaibhav_mattas_wadhwanifoundation_org/_layouts/15/Doc.aspx?sourcedoc=%7B3CB09A81-5B66-46A0-A872-3B69827CCC78%7D&amp;file=Expert%20Connect%20_%20Green%20Pods%20x%20Wadhwani%20Accelerate.docx&amp;action=default&amp;mobileredirect=true&amp;DefaultItemOpen=1" TargetMode="External"/><Relationship Id="rId149" Type="http://schemas.openxmlformats.org/officeDocument/2006/relationships/hyperlink" Target="../../../../../accelerate_wadhwanifoundation_org/_layouts/15/viewer.aspx?sourcedoc=%7b727c5b07-aa99-4261-af1c-095ef5a57680%7d" TargetMode="External"/><Relationship Id="rId5" Type="http://schemas.openxmlformats.org/officeDocument/2006/relationships/hyperlink" Target="mailto:agawade@jeevtronics.com" TargetMode="External"/><Relationship Id="rId95" Type="http://schemas.openxmlformats.org/officeDocument/2006/relationships/hyperlink" Target="../../../../../accelerate_wadhwanifoundation_org/_layouts/15/viewer.aspx?sourcedoc=%7bb1307710-288a-43f4-9118-b023db899a90%7d" TargetMode="External"/><Relationship Id="rId160" Type="http://schemas.openxmlformats.org/officeDocument/2006/relationships/hyperlink" Target="../../../../../vaibhav_mattas_wadhwanifoundation_org/_layouts/15/Doc.aspx?sourcedoc=%7BDC63F2CE-F96F-437E-9A35-18B61FAEFD13%7D&amp;file=Expert%20Connect%201%20_%20Sarumam%20Pharmacy%20x%20Wadhwani%20Accelerate.docx&amp;action=default&amp;mobileredirect=true&amp;DefaultItemOpen=1" TargetMode="External"/><Relationship Id="rId181" Type="http://schemas.openxmlformats.org/officeDocument/2006/relationships/hyperlink" Target="../../../../../accelerate_wadhwanifoundation_org/_layouts/15/viewer.aspx?sourcedoc=%7bcb45bf20-654d-408d-a54a-821f496f2967%7d" TargetMode="External"/><Relationship Id="rId216" Type="http://schemas.openxmlformats.org/officeDocument/2006/relationships/hyperlink" Target="https://wadhwanifoundation-my.sharepoint.com/:w:/g/personal/vaibhav_mattas_wadhwanifoundation_org/IQBRgnELXeQQTa6twn6Egwc1AdmrOZdN1iYqzh0nZBVW9cU?e=SqckdH" TargetMode="External"/><Relationship Id="rId237" Type="http://schemas.openxmlformats.org/officeDocument/2006/relationships/hyperlink" Target="../../../../../accelerate_wadhwanifoundation_org/_layouts/15/viewer.aspx?sourcedoc=%7bcf71edc4-5f7c-4a28-a359-f123d8386d80%7d" TargetMode="External"/><Relationship Id="rId258" Type="http://schemas.openxmlformats.org/officeDocument/2006/relationships/vmlDrawing" Target="../drawings/vmlDrawing2.vml"/><Relationship Id="rId22" Type="http://schemas.openxmlformats.org/officeDocument/2006/relationships/hyperlink" Target="mailto:dombe.samir@gmail.com" TargetMode="External"/><Relationship Id="rId43" Type="http://schemas.openxmlformats.org/officeDocument/2006/relationships/hyperlink" Target="mailto:amit.gupta@airmedpathlabs.com" TargetMode="External"/><Relationship Id="rId64" Type="http://schemas.openxmlformats.org/officeDocument/2006/relationships/hyperlink" Target="mailto:rahul@justact.co.in" TargetMode="External"/><Relationship Id="rId118" Type="http://schemas.openxmlformats.org/officeDocument/2006/relationships/hyperlink" Target="../../../../../vaibhav_mattas_wadhwanifoundation_org/_layouts/15/Doc.aspx?sourcedoc=%7B464DE85B-03A0-4ABE-B4D7-8179EB5F48A6%7D&amp;file=Expert%20Connect%202%20_%20Dhobi%20G%20x%20Wadhwani%20Accelerate.docx&amp;action=default&amp;mobileredirect=true&amp;DefaultItemOpen=1" TargetMode="External"/><Relationship Id="rId139" Type="http://schemas.openxmlformats.org/officeDocument/2006/relationships/hyperlink" Target="../../../../../accelerate_wadhwanifoundation_org/_layouts/15/viewer.aspx?sourcedoc=%7b51a71571-602f-4bc1-b811-8efb777f48f7%7d" TargetMode="External"/><Relationship Id="rId85" Type="http://schemas.openxmlformats.org/officeDocument/2006/relationships/hyperlink" Target="https://wadhwanifoundation-my.sharepoint.com/:w:/g/personal/vaibhav_mattas_wadhwanifoundation_org/IQA8q0a2umRXSYtHH65dCslMAZFmW7F0ieIBcZsgNZsoZ8w?e=Wyxati" TargetMode="External"/><Relationship Id="rId150" Type="http://schemas.openxmlformats.org/officeDocument/2006/relationships/hyperlink" Target="../../../../../vaibhav_mattas_wadhwanifoundation_org/_layouts/15/Doc.aspx?sourcedoc=%7BE48FCC17-0BE3-4191-9D14-952F3CC18861%7D&amp;file=Expert%20Connect%204%20_%20Qarmatek%20x%20Wadhwani%20Accelerate%20(1).docx&amp;action=default&amp;mobileredirect=true&amp;DefaultItemOpen=1" TargetMode="External"/><Relationship Id="rId171" Type="http://schemas.openxmlformats.org/officeDocument/2006/relationships/hyperlink" Target="../../../../../accelerate_wadhwanifoundation_org/_layouts/15/viewer.aspx?sourcedoc=%7be849e158-4b29-4967-afde-8045c36c6e81%7d" TargetMode="External"/><Relationship Id="rId192" Type="http://schemas.openxmlformats.org/officeDocument/2006/relationships/hyperlink" Target="../../../../../vaibhav_mattas_wadhwanifoundation_org/_layouts/15/Doc.aspx?sourcedoc=%7B7767E729-A0AA-4ED9-80F0-F956E2752B2E%7D&amp;file=Expert%20Connect%203%20_%20Vaultastic%20x%20Wadhwani%20Accelerate.docx&amp;action=default&amp;mobileredirect=true&amp;DefaultItemOpen=1" TargetMode="External"/><Relationship Id="rId206" Type="http://schemas.openxmlformats.org/officeDocument/2006/relationships/hyperlink" Target="mailto:ankit@storyathome.com" TargetMode="External"/><Relationship Id="rId227" Type="http://schemas.openxmlformats.org/officeDocument/2006/relationships/hyperlink" Target="../../../../../accelerate_wadhwanifoundation_org/_layouts/15/viewer.aspx?sourcedoc=%7bc7e3883f-b4ed-42c1-b2f5-2e800b7954de%7d" TargetMode="External"/><Relationship Id="rId248" Type="http://schemas.openxmlformats.org/officeDocument/2006/relationships/hyperlink" Target="https://wadhwanifoundation-my.sharepoint.com/:w:/g/personal/vaibhav_mattas_wadhwanifoundation_org/IQD7zjlUER1AQYhPbvL1vaANAWlVV1Wy-45CY9yOn8zZ0vA?e=RPJWvK" TargetMode="External"/><Relationship Id="rId12" Type="http://schemas.openxmlformats.org/officeDocument/2006/relationships/hyperlink" Target="mailto:aniruddha@atreyainnovations.com" TargetMode="External"/><Relationship Id="rId33" Type="http://schemas.openxmlformats.org/officeDocument/2006/relationships/hyperlink" Target="mailto:roshan@expositarvr.com" TargetMode="External"/><Relationship Id="rId108" Type="http://schemas.openxmlformats.org/officeDocument/2006/relationships/hyperlink" Target="../../../../../accelerate_wadhwanifoundation_org/_layouts/15/stream.aspx?id=%2Fpersonal%2Faccelerate%5Fwadhwanifoundation%5Forg%2FDocuments%2FRecordings%2FExpert%20Connect%202%20%20Bebe%C2%A0Burp%20x%20Wadhwani%20Accelerate%2D20260310%5F092851UTC%2DMeeting%20Recording%2Emp4&amp;referrer=StreamWebApp%2EWeb&amp;referrerScenario=AddressBarCopied%2Eview%2E453ac413%2D9a97%2D4e84%2D931f%2D1b07766d2551" TargetMode="External"/><Relationship Id="rId129" Type="http://schemas.openxmlformats.org/officeDocument/2006/relationships/hyperlink" Target="../../../../../accelerate_wadhwanifoundation_org/_layouts/15/viewer.aspx?sourcedoc=%7b23bd464c-7aa1-4af4-a0a7-7b39c8e5dffd%7d" TargetMode="External"/><Relationship Id="rId54" Type="http://schemas.openxmlformats.org/officeDocument/2006/relationships/hyperlink" Target="mailto:tarun@mithi.com" TargetMode="External"/><Relationship Id="rId75" Type="http://schemas.openxmlformats.org/officeDocument/2006/relationships/hyperlink" Target="mailto:prasanna@vrderma.com" TargetMode="External"/><Relationship Id="rId96" Type="http://schemas.openxmlformats.org/officeDocument/2006/relationships/hyperlink" Target="../../../../../vaibhav_mattas_wadhwanifoundation_org/_layouts/15/Doc.aspx?sourcedoc=%7BDEC524CB-A9F1-4086-84CD-E65D483BE100%7D&amp;file=Expert%20Connect%201%20_%20Agriown%C2%A0Farmtech%20x%20Wadhwani%20Accelerate.docx&amp;action=default&amp;mobileredirect=true&amp;DefaultItemOpen=1" TargetMode="External"/><Relationship Id="rId140" Type="http://schemas.openxmlformats.org/officeDocument/2006/relationships/hyperlink" Target="../../../../../vaibhav_mattas_wadhwanifoundation_org/_layouts/15/Doc.aspx?sourcedoc=%7B77A14642-69C9-4034-B7A9-5F11BE139CA2%7D&amp;file=Expert%20Connect%201%20_%20MyHarvest%C2%A0Farms%20x%20Wadhwani%20Accelerate.docx&amp;action=default&amp;mobileredirect=true&amp;DefaultItemOpen=1" TargetMode="External"/><Relationship Id="rId161" Type="http://schemas.openxmlformats.org/officeDocument/2006/relationships/hyperlink" Target="../../../../../accelerate_wadhwanifoundation_org/_layouts/15/viewer.aspx?sourcedoc=%7bf8f1c320-83fd-48e3-a518-9f2fe0a6f2e7%7d" TargetMode="External"/><Relationship Id="rId182" Type="http://schemas.openxmlformats.org/officeDocument/2006/relationships/hyperlink" Target="../../../../../vaibhav_mattas_wadhwanifoundation_org/_layouts/15/Doc.aspx?sourcedoc=%7B55B6A256-6C5E-4380-8E56-3531CA56B8E5%7D&amp;file=Expert%20Connect%20_%20Uravu%20Labs%20x%20Wadhwani%20Accelerate.docx&amp;action=default&amp;mobileredirect=true&amp;DefaultItemOpen=1" TargetMode="External"/><Relationship Id="rId217" Type="http://schemas.openxmlformats.org/officeDocument/2006/relationships/hyperlink" Target="../../../../../accelerate_wadhwanifoundation_org/_layouts/15/viewer.aspx?sourcedoc=%7b93784d37-bc18-44e8-9c51-df6e8edc4c23%7d" TargetMode="External"/><Relationship Id="rId6" Type="http://schemas.openxmlformats.org/officeDocument/2006/relationships/hyperlink" Target="mailto:subrai@stemtech.in" TargetMode="External"/><Relationship Id="rId238" Type="http://schemas.openxmlformats.org/officeDocument/2006/relationships/hyperlink" Target="https://wadhwanifoundation-my.sharepoint.com/:v:/g/personal/accelerate_wadhwanifoundation_org/IQDLSPa2N6iORIrkKxJeTWzeAUmqml6fP-q7EFfB7HKnl8E?e=kf981A&amp;nav=eyJyZWZlcnJhbEluZm8iOnsicmVmZXJyYWxBcHAiOiJTdHJlYW1XZWJBcHAiLCJyZWZlcnJhbFZpZXciOiJTaGFyZURpYWxvZy1MaW5rIiwicmVmZXJyYWxBcHBQbGF0Zm9ybSI6IldlYiIsInJlZmVycmFsTW9kZSI6InZpZXcifX0%3D" TargetMode="External"/><Relationship Id="rId259" Type="http://schemas.openxmlformats.org/officeDocument/2006/relationships/table" Target="../tables/table3.xml"/><Relationship Id="rId23" Type="http://schemas.openxmlformats.org/officeDocument/2006/relationships/hyperlink" Target="mailto:ravi@dhobig.com" TargetMode="External"/><Relationship Id="rId119" Type="http://schemas.openxmlformats.org/officeDocument/2006/relationships/hyperlink" Target="../../../../../accelerate_wadhwanifoundation_org/_layouts/15/viewer.aspx?sourcedoc=%7b4b34e82b-62f3-4499-8355-713ddadf9a05%7d" TargetMode="External"/><Relationship Id="rId44" Type="http://schemas.openxmlformats.org/officeDocument/2006/relationships/hyperlink" Target="mailto:amit.gupta@airmedpathlabs.com" TargetMode="External"/><Relationship Id="rId65" Type="http://schemas.openxmlformats.org/officeDocument/2006/relationships/hyperlink" Target="mailto:krunal.shah@qarmatek.com" TargetMode="External"/><Relationship Id="rId86" Type="http://schemas.openxmlformats.org/officeDocument/2006/relationships/hyperlink" Target="https://wadhwanifoundation-my.sharepoint.com/:v:/g/personal/accelerate_wadhwanifoundation_org/IQDLw4OGyNXHRZMvK0PFQ0u-AciHevDngg3mnYEcMlCzzwc?e=wnqqHN&amp;nav=eyJyZWZlcnJhbEluZm8iOnsicmVmZXJyYWxBcHAiOiJTdHJlYW1XZWJBcHAiLCJyZWZlcnJhbFZpZXciOiJTaGFyZURpYWxvZy1MaW5rIiwicmVmZXJyYWxBcHBQbGF0Zm9ybSI6IldlYiIsInJlZmVycmFsTW9kZSI6InZpZXcifX0%3D" TargetMode="External"/><Relationship Id="rId130" Type="http://schemas.openxmlformats.org/officeDocument/2006/relationships/hyperlink" Target="../../../../../vaibhav_mattas_wadhwanifoundation_org/_layouts/15/Doc.aspx?sourcedoc=%7BDFC35B22-1044-40A6-BD39-55146A571F01%7D&amp;file=Expert%20Connect%201%20_%20Gyrodrive%20x%20Wadhwani%20Accelerate.docx&amp;action=default&amp;mobileredirect=true&amp;DefaultItemOpen=1" TargetMode="External"/><Relationship Id="rId151" Type="http://schemas.openxmlformats.org/officeDocument/2006/relationships/hyperlink" Target="../../../../../accelerate_wadhwanifoundation_org/_layouts/15/viewer.aspx?sourcedoc=%7b0a71b5ba-b543-4642-a011-a32510070f9e%7d" TargetMode="External"/><Relationship Id="rId172" Type="http://schemas.openxmlformats.org/officeDocument/2006/relationships/hyperlink" Target="../../../../../vaibhav_mattas_wadhwanifoundation_org/_layouts/15/Doc.aspx?sourcedoc=%7B06DC80ED-ED44-4F08-9D50-427152A30A0A%7D&amp;file=Expert%20Connect%201%20_%20Terrablu%20x%20Wadhwani%20Accelerate.docx&amp;action=default&amp;mobileredirect=true&amp;DefaultItemOpen=1" TargetMode="External"/><Relationship Id="rId193" Type="http://schemas.openxmlformats.org/officeDocument/2006/relationships/hyperlink" Target="../../../../../accelerate_wadhwanifoundation_org/_layouts/15/viewer.aspx?sourcedoc=%7b0a049fe0-b962-4e61-91f2-51e853bfb1e8%7d" TargetMode="External"/><Relationship Id="rId207" Type="http://schemas.openxmlformats.org/officeDocument/2006/relationships/hyperlink" Target="mailto:ankit@storyathome.com" TargetMode="External"/><Relationship Id="rId228" Type="http://schemas.openxmlformats.org/officeDocument/2006/relationships/hyperlink" Target="https://wadhwanifoundation-my.sharepoint.com/:w:/g/personal/vaibhav_mattas_wadhwanifoundation_org/IQAFiuBZ0s2CQ4NRvWc3J6ouAezgtNbSdGSCU7JC69cyidk?e=We71lS" TargetMode="External"/><Relationship Id="rId249" Type="http://schemas.openxmlformats.org/officeDocument/2006/relationships/hyperlink" Target="mailto:aniruddha@atreyainnovations.com" TargetMode="External"/><Relationship Id="rId13" Type="http://schemas.openxmlformats.org/officeDocument/2006/relationships/hyperlink" Target="mailto:shani.pandya@powertree.co.in" TargetMode="External"/><Relationship Id="rId109" Type="http://schemas.openxmlformats.org/officeDocument/2006/relationships/hyperlink" Target="../../../../../vaibhav_mattas_wadhwanifoundation_org/_layouts/15/Doc.aspx?sourcedoc=%7BB0E1E151-19FE-4BFF-9272-27EB663F8C4F%7D&amp;file=Expert%20Connect%201%20_%20Bebe%20Burp%20x%20Wadhwani%20Accelerate%20(1).docx&amp;action=default&amp;mobileredirect=true&amp;DefaultItemOpen=1" TargetMode="External"/><Relationship Id="rId260" Type="http://schemas.openxmlformats.org/officeDocument/2006/relationships/comments" Target="../comments2.xml"/><Relationship Id="rId34" Type="http://schemas.openxmlformats.org/officeDocument/2006/relationships/hyperlink" Target="mailto:vasanth@leankloud.com" TargetMode="External"/><Relationship Id="rId55" Type="http://schemas.openxmlformats.org/officeDocument/2006/relationships/hyperlink" Target="mailto:sanjeeviraja@manufyx.co.in" TargetMode="External"/><Relationship Id="rId76" Type="http://schemas.openxmlformats.org/officeDocument/2006/relationships/hyperlink" Target="mailto:prasanna@vrderma.com" TargetMode="External"/><Relationship Id="rId97" Type="http://schemas.openxmlformats.org/officeDocument/2006/relationships/hyperlink" Target="../../../../../accelerate_wadhwanifoundation_org/_layouts/15/viewer.aspx?sourcedoc=%7b5fbfc510-e562-423b-855f-10a9817f96aa%7d" TargetMode="External"/><Relationship Id="rId120" Type="http://schemas.openxmlformats.org/officeDocument/2006/relationships/hyperlink" Target="../../../../../accelerate_wadhwanifoundation_org/_layouts/15/viewer.aspx?sourcedoc=%7b2ab1a238-67d7-4455-baf8-1d76f28f2b27%7d" TargetMode="External"/><Relationship Id="rId141" Type="http://schemas.openxmlformats.org/officeDocument/2006/relationships/hyperlink" Target="../../../../../accelerate_wadhwanifoundation_org/_layouts/15/viewer.aspx?sourcedoc=%7b0f59b411-5670-4402-93e0-2fe6fb36bab9%7d" TargetMode="External"/><Relationship Id="rId7" Type="http://schemas.openxmlformats.org/officeDocument/2006/relationships/hyperlink" Target="mailto:dombe.samir@gmail.com" TargetMode="External"/><Relationship Id="rId162" Type="http://schemas.openxmlformats.org/officeDocument/2006/relationships/hyperlink" Target="../../../../../vaibhav_mattas_wadhwanifoundation_org/_layouts/15/Doc.aspx?sourcedoc=%7B3F2D156A-1EF4-435B-A249-B954083699EA%7D&amp;file=Expert%20Connect%201%20_%20Alpino%20x%20Wadhwani%20Accelerate.docx&amp;action=default&amp;mobileredirect=true&amp;DefaultItemOpen=1" TargetMode="External"/><Relationship Id="rId183" Type="http://schemas.openxmlformats.org/officeDocument/2006/relationships/hyperlink" Target="https://wadhwanifoundation-my.sharepoint.com/:v:/g/personal/accelerate_wadhwanifoundation_org/IQCap8nC28gUSYIugmV5soKLAaC9PZZ24wFZU8Cs_W9NqNA?e=L3dM3W&amp;nav=eyJyZWZlcnJhbEluZm8iOnsicmVmZXJyYWxBcHAiOiJTdHJlYW1XZWJBcHAiLCJyZWZlcnJhbFZpZXciOiJTaGFyZURpYWxvZy1MaW5rIiwicmVmZXJyYWxBcHBQbGF0Zm9ybSI6IldlYiIsInJlZmVycmFsTW9kZSI6InZpZXcifX0%3D" TargetMode="External"/><Relationship Id="rId218" Type="http://schemas.openxmlformats.org/officeDocument/2006/relationships/hyperlink" Target="https://wadhwanifoundation-my.sharepoint.com/:w:/g/personal/vaibhav_mattas_wadhwanifoundation_org/IQCbYVyFQPRNR7lAI24Frxv7AaQg2-Nzo9YU3Qc8KIdKI_A?e=O1W5ob" TargetMode="External"/><Relationship Id="rId239" Type="http://schemas.openxmlformats.org/officeDocument/2006/relationships/hyperlink" Target="https://wadhwanifoundation-my.sharepoint.com/:w:/g/personal/vaibhav_mattas_wadhwanifoundation_org/IQDuZN6Lev1ETpJdUloSwWmlATTMWjKqpJQhOU3gO59-vBs?e=Th7YTf" TargetMode="External"/><Relationship Id="rId250" Type="http://schemas.openxmlformats.org/officeDocument/2006/relationships/hyperlink" Target="mailto:pritam@tailorsmart.in" TargetMode="External"/><Relationship Id="rId24" Type="http://schemas.openxmlformats.org/officeDocument/2006/relationships/hyperlink" Target="mailto:Info@rawpharmabiz.com" TargetMode="External"/><Relationship Id="rId45" Type="http://schemas.openxmlformats.org/officeDocument/2006/relationships/hyperlink" Target="mailto:Eshan@tunepath.com" TargetMode="External"/><Relationship Id="rId66" Type="http://schemas.openxmlformats.org/officeDocument/2006/relationships/hyperlink" Target="mailto:krunal.shah@qarmatek.com" TargetMode="External"/><Relationship Id="rId87" Type="http://schemas.openxmlformats.org/officeDocument/2006/relationships/hyperlink" Target="https://wadhwanifoundation-my.sharepoint.com/:w:/g/personal/vaibhav_mattas_wadhwanifoundation_org/IQCnxR8g4IfHTqFSx0yVnPn7AVQQCm1eqqNKhxR4y9DS2x0?e=ZAhRgE" TargetMode="External"/><Relationship Id="rId110" Type="http://schemas.openxmlformats.org/officeDocument/2006/relationships/hyperlink" Target="../../../../../vaibhav_mattas_wadhwanifoundation_org/_layouts/15/Doc.aspx?sourcedoc=%7BDCB64393-076B-4A7E-81C2-ED289A419878%7D&amp;file=Expert%20Connect%202%20_%20Bebe%C2%A0Burp%20x%20Wadhwani%20Accelerate%20(1).docx&amp;action=default&amp;mobileredirect=true&amp;DefaultItemOpen=1" TargetMode="External"/><Relationship Id="rId131" Type="http://schemas.openxmlformats.org/officeDocument/2006/relationships/hyperlink" Target="../../../../../accelerate_wadhwanifoundation_org/_layouts/15/viewer.aspx?sourcedoc=%7b3054935f-a8f4-443d-bae3-c66c4e573466%7d" TargetMode="External"/><Relationship Id="rId152" Type="http://schemas.openxmlformats.org/officeDocument/2006/relationships/hyperlink" Target="../../../../../vaibhav_mattas_wadhwanifoundation_org/_layouts/15/Doc.aspx?sourcedoc=%7BA1C74437-E250-4932-8F0C-07DF7799C82F%7D&amp;file=Expert%20Connect%203%20_%20Qarmatek%20x%20Wadhwani%20Accelerate.docx&amp;action=default&amp;mobileredirect=true&amp;DefaultItemOpen=1" TargetMode="External"/><Relationship Id="rId173" Type="http://schemas.openxmlformats.org/officeDocument/2006/relationships/hyperlink" Target="https://wadhwanifoundation-my.sharepoint.com/:v:/g/personal/accelerate_wadhwanifoundation_org/IQDlGbc8SO1ESInkIFZAwv1rAcv1C--JzUuqrpbPC3qW99E?e=xTXod2&amp;nav=eyJyZWZlcnJhbEluZm8iOnsicmVmZXJyYWxBcHAiOiJTdHJlYW1XZWJBcHAiLCJyZWZlcnJhbFZpZXciOiJTaGFyZURpYWxvZy1MaW5rIiwicmVmZXJyYWxBcHBQbGF0Zm9ybSI6IldlYiIsInJlZmVycmFsTW9kZSI6InZpZXcifX0%3D" TargetMode="External"/><Relationship Id="rId194" Type="http://schemas.openxmlformats.org/officeDocument/2006/relationships/hyperlink" Target="../../../../../vaibhav_mattas_wadhwanifoundation_org/_layouts/15/Doc.aspx?sourcedoc=%7B855DF62C-5226-4C3E-94D7-858B557126ED%7D&amp;file=Expert%20Connect%201%20_%20Velaan%20Mart%20x%20Wadhwani%20Accelerate.docx&amp;action=default&amp;mobileredirect=true&amp;DefaultItemOpen=1" TargetMode="External"/><Relationship Id="rId208" Type="http://schemas.openxmlformats.org/officeDocument/2006/relationships/hyperlink" Target="https://wadhwanifoundation-my.sharepoint.com/:v:/g/personal/accelerate_wadhwanifoundation_org/IQAwiuI28kCRT4HVgckZ995tAaHUhtVcqnUqekrwI3Wd08A?nav=eyJyZWZlcnJhbEluZm8iOnsicmVmZXJyYWxBcHAiOiJPbmVEcml2ZUZvckJ1c2luZXNzIiwicmVmZXJyYWxBcHBQbGF0Zm9ybSI6IldlYiIsInJlZmVycmFsTW9kZSI6InZpZXciLCJyZWZlcnJhbFZpZXciOiJNeUZpbGVzTGlua0NvcHkifX0&amp;e=w9HB1D" TargetMode="External"/><Relationship Id="rId229" Type="http://schemas.openxmlformats.org/officeDocument/2006/relationships/hyperlink" Target="../../../../../accelerate_wadhwanifoundation_org/_layouts/15/viewer.aspx?sourcedoc=%7b1fdde4b2-c67b-4efa-aeee-f3901bf2176e%7d" TargetMode="External"/><Relationship Id="rId240" Type="http://schemas.openxmlformats.org/officeDocument/2006/relationships/hyperlink" Target="https://wadhwanifoundation-my.sharepoint.com/:v:/g/personal/accelerate_wadhwanifoundation_org/IQDI5OTQIMrQSbc_XuTb3rxWAUePOrLneuEftZQ7tZUrTEs?e=TR3JK7&amp;nav=eyJyZWZlcnJhbEluZm8iOnsicmVmZXJyYWxBcHAiOiJTdHJlYW1XZWJBcHAiLCJyZWZlcnJhbFZpZXciOiJTaGFyZURpYWxvZy1MaW5rIiwicmVmZXJyYWxBcHBQbGF0Zm9ybSI6IldlYiIsInJlZmVycmFsTW9kZSI6InZpZXcifX0%3D" TargetMode="External"/><Relationship Id="rId261" Type="http://schemas.microsoft.com/office/2017/10/relationships/threadedComment" Target="../threadedComments/threadedComment2.xml"/><Relationship Id="rId14" Type="http://schemas.openxmlformats.org/officeDocument/2006/relationships/hyperlink" Target="mailto:vinay@culturex.in" TargetMode="External"/><Relationship Id="rId35" Type="http://schemas.openxmlformats.org/officeDocument/2006/relationships/hyperlink" Target="mailto:sanjeeviraja@manufyx.co.in" TargetMode="External"/><Relationship Id="rId56" Type="http://schemas.openxmlformats.org/officeDocument/2006/relationships/hyperlink" Target="mailto:anil.alex@fontierz.com" TargetMode="External"/><Relationship Id="rId77" Type="http://schemas.openxmlformats.org/officeDocument/2006/relationships/hyperlink" Target="mailto:prasanna@vrderma.com" TargetMode="External"/><Relationship Id="rId100" Type="http://schemas.openxmlformats.org/officeDocument/2006/relationships/hyperlink" Target="../../../../../vaibhav_mattas_wadhwanifoundation_org/_layouts/15/Doc.aspx?sourcedoc=%7B965A8195-49E4-47EC-93D9-CCCEE29A9892%7D&amp;file=Expert%20Connect%202%20_%20Airmeds%20x%20Wadhwani%20Accelerate.docx&amp;action=default&amp;mobileredirect=true&amp;DefaultItemOpen=1" TargetMode="External"/><Relationship Id="rId8" Type="http://schemas.openxmlformats.org/officeDocument/2006/relationships/hyperlink" Target="mailto:tarun@mithi.com" TargetMode="External"/><Relationship Id="rId98" Type="http://schemas.openxmlformats.org/officeDocument/2006/relationships/hyperlink" Target="../../../../../accelerate_wadhwanifoundation_org/_layouts/15/viewer.aspx?sourcedoc=%7bb9471078-b3fe-49b1-8fb1-65412e28ba6d%7d" TargetMode="External"/><Relationship Id="rId121" Type="http://schemas.openxmlformats.org/officeDocument/2006/relationships/hyperlink" Target="../../../../../vaibhav_mattas_wadhwanifoundation_org/_layouts/15/Doc.aspx?sourcedoc=%7BECCC3279-322F-4F62-95EB-376408D83B42%7D&amp;file=Expert%20Connect%204%20_%20Eximburg%20International%20x%20Wadhwani%20Accelerate%20(2).docx&amp;action=default&amp;mobileredirect=true&amp;DefaultItemOpen=1" TargetMode="External"/><Relationship Id="rId142" Type="http://schemas.openxmlformats.org/officeDocument/2006/relationships/hyperlink" Target="../../../../../vaibhav_mattas_wadhwanifoundation_org/_layouts/15/Doc.aspx?sourcedoc=%7BA2B4FFE4-B0CB-4616-BB01-36BF2FA18E33%7D&amp;file=Expert%20Connect%201%20_%20NutriRasoi%20x%20Wadhwani%20Accelerate%20(1).docx&amp;action=default&amp;mobileredirect=true&amp;DefaultItemOpen=1" TargetMode="External"/><Relationship Id="rId163" Type="http://schemas.openxmlformats.org/officeDocument/2006/relationships/hyperlink" Target="../../../../../accelerate_wadhwanifoundation_org/_layouts/15/viewer.aspx?sourcedoc=%7bcd7cabc0-321f-44e8-8bd0-a4d756707719%7d" TargetMode="External"/><Relationship Id="rId184" Type="http://schemas.openxmlformats.org/officeDocument/2006/relationships/hyperlink" Target="../../../../../accelerate_wadhwanifoundation_org/_layouts/15/viewer.aspx?sourcedoc=%7be4f8193a-fdc5-4959-8bce-984fff137efc%7d" TargetMode="External"/><Relationship Id="rId219" Type="http://schemas.openxmlformats.org/officeDocument/2006/relationships/hyperlink" Target="../../../../../accelerate_wadhwanifoundation_org/_layouts/15/viewer.aspx?sourcedoc=%7b0f545bad-82a8-4323-a27c-b9813c23ce30%7d" TargetMode="External"/><Relationship Id="rId230" Type="http://schemas.openxmlformats.org/officeDocument/2006/relationships/hyperlink" Target="../../../../../accelerate_wadhwanifoundation_org/_layouts/15/viewer.aspx?sourcedoc=%7b80d0916e-8b4f-400a-bd71-fc431c37cfef%7d" TargetMode="External"/><Relationship Id="rId251" Type="http://schemas.openxmlformats.org/officeDocument/2006/relationships/hyperlink" Target="mailto:hunny@mytorchit.com" TargetMode="External"/><Relationship Id="rId25" Type="http://schemas.openxmlformats.org/officeDocument/2006/relationships/hyperlink" Target="mailto:chetan@alpinohealthfoods.com" TargetMode="External"/><Relationship Id="rId46" Type="http://schemas.openxmlformats.org/officeDocument/2006/relationships/hyperlink" Target="mailto:akash@gyroindia.com" TargetMode="External"/><Relationship Id="rId67" Type="http://schemas.openxmlformats.org/officeDocument/2006/relationships/hyperlink" Target="mailto:nutrirasoi@outlook.com" TargetMode="External"/><Relationship Id="rId88" Type="http://schemas.openxmlformats.org/officeDocument/2006/relationships/hyperlink" Target="https://wadhwanifoundation-my.sharepoint.com/:v:/g/personal/accelerate_wadhwanifoundation_org/IQALx_9vnBb0S6kcl58comOcAYw22_VXekVfCiG5k7UcXKE?e=D7LE3b&amp;nav=eyJyZWZlcnJhbEluZm8iOnsicmVmZXJyYWxBcHAiOiJTdHJlYW1XZWJBcHAiLCJyZWZlcnJhbFZpZXciOiJTaGFyZURpYWxvZy1MaW5rIiwicmVmZXJyYWxBcHBQbGF0Zm9ybSI6IldlYiIsInJlZmVycmFsTW9kZSI6InZpZXcifX0%3D" TargetMode="External"/><Relationship Id="rId111" Type="http://schemas.openxmlformats.org/officeDocument/2006/relationships/hyperlink" Target="../../../../../accelerate_wadhwanifoundation_org/_layouts/15/stream.aspx?id=%2Fpersonal%2Faccelerate%5Fwadhwanifoundation%5Forg%2FDocuments%2FRecordings%2FExpert%20Connect%203%20%20Bebe%20Burp%20x%20Wadhwani%20Accelerate%2D20260314%5F063248UTC%2DMeeting%20Recording%2Emp4&amp;referrer=StreamWebApp%2EWeb&amp;referrerScenario=AddressBarCopied%2Eview%2E004e9fe2%2D2cf5%2D47c8%2D867f%2D5eb8f481004a" TargetMode="External"/><Relationship Id="rId132" Type="http://schemas.openxmlformats.org/officeDocument/2006/relationships/hyperlink" Target="../../../../../vaibhav_mattas_wadhwanifoundation_org/_layouts/15/Doc.aspx?sourcedoc=%7BB9A87112-E4E6-44FA-81C0-DCD5FEEB7F90%7D&amp;file=Expert%20Connect%201%20_%20Hreedan%20Lifestyle%20x%20Wadhwani%20Accelerate.docx&amp;action=default&amp;mobileredirect=true&amp;DefaultItemOpen=1" TargetMode="External"/><Relationship Id="rId153" Type="http://schemas.openxmlformats.org/officeDocument/2006/relationships/hyperlink" Target="../../../../../accelerate_wadhwanifoundation_org/_layouts/15/viewer.aspx?sourcedoc=%7b73479bd4-02d3-43b3-aec6-bbe25d9822b6%7d" TargetMode="External"/><Relationship Id="rId174" Type="http://schemas.openxmlformats.org/officeDocument/2006/relationships/hyperlink" Target="../../../../../vaibhav_mattas_wadhwanifoundation_org/_layouts/15/Doc.aspx?sourcedoc=%7BDE756B6E-801C-4015-9596-594C05599706%7D&amp;file=Expert%20Connect%201%20_%20Tikitoro%20x%20Wadhwani%20Accelerate%20(1).docx&amp;action=default&amp;mobileredirect=true&amp;DefaultItemOpen=1" TargetMode="External"/><Relationship Id="rId195" Type="http://schemas.openxmlformats.org/officeDocument/2006/relationships/hyperlink" Target="../../../../../accelerate_wadhwanifoundation_org/_layouts/15/viewer.aspx?sourcedoc=%7beebdd1f6-8f39-4cb7-9447-9db7c5302ae9%7d" TargetMode="External"/><Relationship Id="rId209" Type="http://schemas.openxmlformats.org/officeDocument/2006/relationships/hyperlink" Target="https://wadhwanifoundation-my.sharepoint.com/:w:/g/personal/vaibhav_mattas_wadhwanifoundation_org/IQB4gc9ZVvqaS5Ye_6Er3i0jATCCn7T4dVPUbe-MzjC4Dog?e=LTCCVs" TargetMode="External"/><Relationship Id="rId220" Type="http://schemas.openxmlformats.org/officeDocument/2006/relationships/hyperlink" Target="https://wadhwanifoundation-my.sharepoint.com/:w:/g/personal/vaibhav_mattas_wadhwanifoundation_org/IQDDFveok_7IQrg7QsPNM6yFAWYXmXrP51GcnjBhZbaO-RM?e=8hSxvt" TargetMode="External"/><Relationship Id="rId241" Type="http://schemas.openxmlformats.org/officeDocument/2006/relationships/hyperlink" Target="https://wadhwanifoundation-my.sharepoint.com/:w:/g/personal/vaibhav_mattas_wadhwanifoundation_org/IQC-OQRDVWiPRoTL-BR7zbPBAShChc69B8qbd0o7xxTLfSU?e=ah7GpW" TargetMode="External"/><Relationship Id="rId15" Type="http://schemas.openxmlformats.org/officeDocument/2006/relationships/hyperlink" Target="mailto:%09meetshah@ngearsafe.com" TargetMode="External"/><Relationship Id="rId36" Type="http://schemas.openxmlformats.org/officeDocument/2006/relationships/hyperlink" Target="mailto:amith@servercake.in%22%20%3camith@servercake.in" TargetMode="External"/><Relationship Id="rId57" Type="http://schemas.openxmlformats.org/officeDocument/2006/relationships/hyperlink" Target="mailto:Sudhir@leapinfosys.com" TargetMode="External"/><Relationship Id="rId262" Type="http://schemas.microsoft.com/office/2019/04/relationships/documenttask" Target="../documenttasks/documenttask1.xml"/><Relationship Id="rId78" Type="http://schemas.openxmlformats.org/officeDocument/2006/relationships/hyperlink" Target="mailto:sagar@stembotix.in" TargetMode="External"/><Relationship Id="rId99" Type="http://schemas.openxmlformats.org/officeDocument/2006/relationships/hyperlink" Target="../../../../../vaibhav_mattas_wadhwanifoundation_org/_layouts/15/Doc.aspx?sourcedoc=%7BF9ADAE59-ADF6-483B-B40B-65AFEF07CB4A%7D&amp;file=Expert%20Connect%201%20_%20Airmeds%20x%20Wadhwani%20Accelerate.docx&amp;action=default&amp;mobileredirect=true&amp;DefaultItemOpen=1" TargetMode="External"/><Relationship Id="rId101" Type="http://schemas.openxmlformats.org/officeDocument/2006/relationships/hyperlink" Target="../../../../../accelerate_wadhwanifoundation_org/_layouts/15/viewer.aspx?sourcedoc=%7ba2ec0032-ae86-4f00-9b03-e6de9fc51ca1%7d" TargetMode="External"/><Relationship Id="rId122" Type="http://schemas.openxmlformats.org/officeDocument/2006/relationships/hyperlink" Target="../../../../../vaibhav_mattas_wadhwanifoundation_org/_layouts/15/Doc.aspx?sourcedoc=%7BECCC3279-322F-4F62-95EB-376408D83B42%7D&amp;file=Expert%20Connect%204%20_%20Eximburg%20International%20x%20Wadhwani%20Accelerate%20(2).docx&amp;action=default&amp;mobileredirect=true&amp;DefaultItemOpen=1" TargetMode="External"/><Relationship Id="rId143" Type="http://schemas.openxmlformats.org/officeDocument/2006/relationships/hyperlink" Target="../../../../../vaibhav_mattas_wadhwanifoundation_org/_layouts/15/Doc.aspx?sourcedoc=%7B793A2BE1-5139-46E1-8FFF-1C23AC996FAF%7D&amp;file=Expert%20Connect%201%20_%20Padcare%20Labs%20x%20Wadhwani%20Accelerate.docx&amp;action=default&amp;mobileredirect=true&amp;DefaultItemOpen=1" TargetMode="External"/><Relationship Id="rId164" Type="http://schemas.openxmlformats.org/officeDocument/2006/relationships/hyperlink" Target="../../../../../vaibhav_mattas_wadhwanifoundation_org/_layouts/15/Doc.aspx?sourcedoc=%7B3A5A261A-8162-4DF1-86A5-61CBD6B297B0%7D&amp;file=Expert%20Connect%202%20_%20Raw%20Pharma%20x%20Wadhwani%20Accelerate.docx&amp;action=default&amp;mobileredirect=true&amp;DefaultItemOpen=1" TargetMode="External"/><Relationship Id="rId185" Type="http://schemas.openxmlformats.org/officeDocument/2006/relationships/hyperlink" Target="../../../../../vaibhav_mattas_wadhwanifoundation_org/_layouts/15/Doc.aspx?sourcedoc=%7BE0F85605-7132-41FB-A586-15472321A6FB%7D&amp;file=Expert%20Connect%201%20_%20Vastra%20App%20x%20Wadhwani%20Accelerate.docx&amp;action=default&amp;mobileredirect=true&amp;DefaultItemOpen=1" TargetMode="External"/><Relationship Id="rId9" Type="http://schemas.openxmlformats.org/officeDocument/2006/relationships/hyperlink" Target="mailto:tarun@mithi.com" TargetMode="External"/><Relationship Id="rId210" Type="http://schemas.openxmlformats.org/officeDocument/2006/relationships/hyperlink" Target="../../../../../accelerate_wadhwanifoundation_org/_layouts/15/viewer.aspx?sourcedoc=%7b26feda53-e923-4202-bf0b-9fcf29c0f05f%7d" TargetMode="External"/><Relationship Id="rId26" Type="http://schemas.openxmlformats.org/officeDocument/2006/relationships/hyperlink" Target="mailto:sagar@stembotix.in" TargetMode="External"/><Relationship Id="rId231" Type="http://schemas.openxmlformats.org/officeDocument/2006/relationships/hyperlink" Target="https://wadhwanifoundation-my.sharepoint.com/:w:/g/personal/vaibhav_mattas_wadhwanifoundation_org/IQDfQD_C5Jc8Q608-tGyN5T-AXjNRK4_-4kkml9LmKSN8Uc?e=MB96sJ" TargetMode="External"/><Relationship Id="rId252" Type="http://schemas.openxmlformats.org/officeDocument/2006/relationships/hyperlink" Target="mailto:dhaval@rupiya.app" TargetMode="External"/><Relationship Id="rId47" Type="http://schemas.openxmlformats.org/officeDocument/2006/relationships/hyperlink" Target="mailto:ravi@dhobig.com" TargetMode="External"/><Relationship Id="rId68" Type="http://schemas.openxmlformats.org/officeDocument/2006/relationships/hyperlink" Target="mailto:krunal.shah@qarmatek.com" TargetMode="External"/><Relationship Id="rId89" Type="http://schemas.openxmlformats.org/officeDocument/2006/relationships/hyperlink" Target="https://wadhwanifoundation-my.sharepoint.com/:w:/g/personal/vaibhav_mattas_wadhwanifoundation_org/IQBYnPLfDgFwSLBLCK_gBiVVAct0v6UqaHEZ_PyNrE-vdvc?e=3z6EXq" TargetMode="External"/><Relationship Id="rId112" Type="http://schemas.openxmlformats.org/officeDocument/2006/relationships/hyperlink" Target="../../../../../vaibhav_mattas_wadhwanifoundation_org/_layouts/15/Doc.aspx?sourcedoc=%7BB5FD5442-0B6F-4ACE-BB5B-70569F161B5B%7D&amp;file=Expert%20Connect%203%20_%20Bebe%20Burp%20x%20Wadhwani%20Accelerate%20(1).docx&amp;action=default&amp;mobileredirect=true&amp;DefaultItemOpen=1" TargetMode="External"/><Relationship Id="rId133" Type="http://schemas.openxmlformats.org/officeDocument/2006/relationships/hyperlink" Target="../../../../../accelerate_wadhwanifoundation_org/_layouts/15/viewer.aspx?sourcedoc=%7b81bc8bc2-bf2b-4abb-b015-f5206e2a568b%7d" TargetMode="External"/><Relationship Id="rId154" Type="http://schemas.openxmlformats.org/officeDocument/2006/relationships/hyperlink" Target="../../../../../vaibhav_mattas_wadhwanifoundation_org/_layouts/15/Doc.aspx?sourcedoc=%7BEAC985A3-3EB2-4DE1-9445-2F5FCB700CF4%7D&amp;file=Expert%20Connect%203%20_%20Raw%20Pharma%20x%20Wadhwani%20Accelerate.docx&amp;action=default&amp;mobileredirect=true&amp;DefaultItemOpen=1" TargetMode="External"/><Relationship Id="rId175" Type="http://schemas.openxmlformats.org/officeDocument/2006/relationships/hyperlink" Target="../../../../../vaibhav_mattas_wadhwanifoundation_org/_layouts/15/Doc.aspx?sourcedoc=%7B478FC1BF-DC0A-46EE-B68B-22ED2BAE5F8D%7D&amp;file=Expert%20Connect%202%20_%20Tikitoro%20x%20Wadhwani%20Accelerate%20(1).docx&amp;action=default&amp;mobileredirect=true&amp;DefaultItemOpen=1" TargetMode="External"/><Relationship Id="rId196" Type="http://schemas.openxmlformats.org/officeDocument/2006/relationships/hyperlink" Target="../../../../../accelerate_wadhwanifoundation_org/_layouts/15/viewer.aspx?sourcedoc=%7bef07e6ed-6191-4c2f-8858-857d0907cbd3%7d" TargetMode="External"/><Relationship Id="rId200" Type="http://schemas.openxmlformats.org/officeDocument/2006/relationships/hyperlink" Target="https://wadhwanifoundation-my.sharepoint.com/:w:/g/personal/vaibhav_mattas_wadhwanifoundation_org/IQCYlXxumbu6R7AuXMHlSN7nAdJQrKxIYul1xkK4OitZSpI?e=D57BXE" TargetMode="External"/><Relationship Id="rId16" Type="http://schemas.openxmlformats.org/officeDocument/2006/relationships/hyperlink" Target="mailto:ananya@nuutjob.com,%20anushree@nuutjob.com" TargetMode="External"/><Relationship Id="rId221" Type="http://schemas.openxmlformats.org/officeDocument/2006/relationships/hyperlink" Target="../../../../../accelerate_wadhwanifoundation_org/_layouts/15/viewer.aspx?sourcedoc=%7b3de73eda-d209-4375-bd3a-897dae98edda%7d" TargetMode="External"/><Relationship Id="rId242" Type="http://schemas.openxmlformats.org/officeDocument/2006/relationships/hyperlink" Target="https://wadhwanifoundation-my.sharepoint.com/:w:/g/personal/vaibhav_mattas_wadhwanifoundation_org/IQCWIk9nRFWTRZsdfAkC6Xm0ARhvPxIHhVXK_52OmpMAgLI?e=uWYb8u" TargetMode="External"/><Relationship Id="rId37" Type="http://schemas.openxmlformats.org/officeDocument/2006/relationships/hyperlink" Target="mailto:shani.pandya@powertree.co.in" TargetMode="External"/><Relationship Id="rId58" Type="http://schemas.openxmlformats.org/officeDocument/2006/relationships/hyperlink" Target="mailto:krunal.shah@qarmatek.com" TargetMode="External"/><Relationship Id="rId79" Type="http://schemas.openxmlformats.org/officeDocument/2006/relationships/hyperlink" Target="mailto:sagar@stembotix.in" TargetMode="External"/><Relationship Id="rId102" Type="http://schemas.openxmlformats.org/officeDocument/2006/relationships/hyperlink" Target="../../../../../vaibhav_mattas_wadhwanifoundation_org/_layouts/15/Doc.aspx?sourcedoc=%7B1335BA6A-9B6B-4182-8E5A-3CAA73A707E8%7D&amp;file=Expert%20Connect%201%20_%20Ask%20Eva%20x%20Wadhwani%20Accelerate.docx&amp;action=default&amp;mobileredirect=true&amp;DefaultItemOpen=1" TargetMode="External"/><Relationship Id="rId123" Type="http://schemas.openxmlformats.org/officeDocument/2006/relationships/hyperlink" Target="../../../../../accelerate_wadhwanifoundation_org/_layouts/15/viewer.aspx?sourcedoc=%7b6a4762b5-0a2d-4358-84f1-e09884e7b46e%7d" TargetMode="External"/><Relationship Id="rId144" Type="http://schemas.openxmlformats.org/officeDocument/2006/relationships/hyperlink" Target="../../../../../accelerate_wadhwanifoundation_org/_layouts/15/viewer.aspx?sourcedoc=%7bbdb94b16-f9d8-4aa4-9c4e-386d47b20851%7d" TargetMode="External"/><Relationship Id="rId90" Type="http://schemas.openxmlformats.org/officeDocument/2006/relationships/hyperlink" Target="https://wadhwanifoundation-my.sharepoint.com/:v:/g/personal/accelerate_wadhwanifoundation_org/IQCdolpaxkDIRK6oGj4qgsaVAcgCuXKy2BIf5Mf-J9ZIMKU?e=v2sRrH&amp;nav=eyJyZWZlcnJhbEluZm8iOnsicmVmZXJyYWxBcHAiOiJTdHJlYW1XZWJBcHAiLCJyZWZlcnJhbFZpZXciOiJTaGFyZURpYWxvZy1MaW5rIiwicmVmZXJyYWxBcHBQbGF0Zm9ybSI6IldlYiIsInJlZmVycmFsTW9kZSI6InZpZXcifX0%3D" TargetMode="External"/><Relationship Id="rId165" Type="http://schemas.openxmlformats.org/officeDocument/2006/relationships/hyperlink" Target="../../../../../accelerate_wadhwanifoundation_org/_layouts/15/viewer.aspx?sourcedoc=%7b957c454c-67c4-48b3-9ff5-fa1bef3e2e58%7d" TargetMode="External"/><Relationship Id="rId186" Type="http://schemas.openxmlformats.org/officeDocument/2006/relationships/hyperlink" Target="../../../../../vaibhav_mattas_wadhwanifoundation_org/_layouts/15/Doc.aspx?sourcedoc=%7B1137ED2F-4F5E-42F1-A3F7-0DFB2058E41D%7D&amp;file=Expert%20Connect%202%20_%20Vastra%20App%20x%20Wadhwani%20Accelerate.docx&amp;action=default&amp;mobileredirect=true&amp;DefaultItemOpen=1" TargetMode="External"/><Relationship Id="rId211" Type="http://schemas.openxmlformats.org/officeDocument/2006/relationships/hyperlink" Target="../../../../../accelerate_wadhwanifoundation_org/_layouts/15/viewer.aspx?sourcedoc=%7bc9a8eefb-1967-4e0c-aad3-88816c608a42%7d" TargetMode="External"/><Relationship Id="rId232" Type="http://schemas.openxmlformats.org/officeDocument/2006/relationships/hyperlink" Target="../../../../../accelerate_wadhwanifoundation_org/_layouts/15/viewer.aspx?sourcedoc=%7bb2cea4e5-b4d8-4738-93d5-ce7a386a4391%7d" TargetMode="External"/><Relationship Id="rId253" Type="http://schemas.openxmlformats.org/officeDocument/2006/relationships/hyperlink" Target="mailto:nutrirasoi@outlook.com" TargetMode="External"/><Relationship Id="rId27" Type="http://schemas.openxmlformats.org/officeDocument/2006/relationships/hyperlink" Target="mailto:jk@sarumam.com" TargetMode="External"/><Relationship Id="rId48" Type="http://schemas.openxmlformats.org/officeDocument/2006/relationships/hyperlink" Target="mailto:karthikeyan.mv@padcarelabs.com%20,%20ajinkya.dhariya@padcarelabs.com" TargetMode="External"/><Relationship Id="rId69" Type="http://schemas.openxmlformats.org/officeDocument/2006/relationships/hyperlink" Target="mailto:pradeep@terrablu.life" TargetMode="External"/><Relationship Id="rId113" Type="http://schemas.openxmlformats.org/officeDocument/2006/relationships/hyperlink" Target="../../../../../vaibhav_mattas_wadhwanifoundation_org/_layouts/15/Doc.aspx?sourcedoc=%7BD090E6D8-2847-453C-BA87-3C2D6296B42F%7D&amp;file=Expert%20Connect%201%20_%20Botminds.ai%20x%20Wadhwani%20Accelerate.docx&amp;action=default&amp;mobileredirect=true&amp;DefaultItemOpen=1" TargetMode="External"/><Relationship Id="rId134" Type="http://schemas.openxmlformats.org/officeDocument/2006/relationships/hyperlink" Target="../../../../../vaibhav_mattas_wadhwanifoundation_org/_layouts/15/Doc.aspx?sourcedoc=%7B69BCFBE6-E8A1-4CF3-8134-7D899FB1E56E%7D&amp;file=Expert%20Connect%202%20_%20LeanKloud%20x%20Wadhwani%20Accelerate.docx&amp;action=default&amp;mobileredirect=true&amp;DefaultItemOpen=1" TargetMode="External"/><Relationship Id="rId80" Type="http://schemas.openxmlformats.org/officeDocument/2006/relationships/hyperlink" Target="mailto:chirag@bebeburp.com,%20founders@bebeburp.com" TargetMode="External"/><Relationship Id="rId155" Type="http://schemas.openxmlformats.org/officeDocument/2006/relationships/hyperlink" Target="../../../../../accelerate_wadhwanifoundation_org/_layouts/15/viewer.aspx?sourcedoc=%7b92a08512-5801-4537-b77d-bdb05be20a70%7d" TargetMode="External"/><Relationship Id="rId176" Type="http://schemas.openxmlformats.org/officeDocument/2006/relationships/hyperlink" Target="../../../../../vaibhav_mattas_wadhwanifoundation_org/_layouts/15/Doc.aspx?sourcedoc=%7B68A2DC3B-0E0A-4E5E-B0ED-A758D5A1BD3E%7D&amp;file=Expert%20Connect%203%20_%20Tikitoro%20x%20Wadhwani%20Accelerate%20(1).docx&amp;action=default&amp;mobileredirect=true&amp;DefaultItemOpen=1" TargetMode="External"/><Relationship Id="rId197" Type="http://schemas.openxmlformats.org/officeDocument/2006/relationships/hyperlink" Target="../../../../../vaibhav_mattas_wadhwanifoundation_org/_layouts/15/Doc.aspx?sourcedoc=%7B74A8B764-374D-44A6-85A1-6FE1F44C0AEE%7D&amp;file=Expert%20Connect%201%20_%20Stembotix%20x%20Wadhwani%20Accelerate.docx&amp;action=default&amp;mobileredirect=true&amp;DefaultItemOpen=1" TargetMode="External"/><Relationship Id="rId201" Type="http://schemas.openxmlformats.org/officeDocument/2006/relationships/hyperlink" Target="https://wadhwanifoundation-my.sharepoint.com/:v:/g/personal/accelerate_wadhwanifoundation_org/IQB-68jwMZVMRYSdQboo4QBGAb9kFita3CcTjTuA87lwn4w?e=Nh3YNw&amp;nav=eyJyZWZlcnJhbEluZm8iOnsicmVmZXJyYWxBcHAiOiJTdHJlYW1XZWJBcHAiLCJyZWZlcnJhbFZpZXciOiJTaGFyZURpYWxvZy1MaW5rIiwicmVmZXJyYWxBcHBQbGF0Zm9ybSI6IldlYiIsInJlZmVycmFsTW9kZSI6InZpZXcifX0%3D" TargetMode="External"/><Relationship Id="rId222" Type="http://schemas.openxmlformats.org/officeDocument/2006/relationships/hyperlink" Target="https://wadhwanifoundation-my.sharepoint.com/:w:/g/personal/vaibhav_mattas_wadhwanifoundation_org/IQDZZrCN9AEYR4t_Dm_aR6x-ASh2HhdYaKwRUWoTGR9aVUo?e=SNN3Kp" TargetMode="External"/><Relationship Id="rId243" Type="http://schemas.openxmlformats.org/officeDocument/2006/relationships/hyperlink" Target="https://wadhwanifoundation-my.sharepoint.com/:w:/g/personal/vaibhav_mattas_wadhwanifoundation_org/IQDA2xaLk3HbSJ9qMZ-RMyIHAeWuXmXe2B6NkjV21kYyAbc?e=4I4wL2" TargetMode="External"/><Relationship Id="rId17" Type="http://schemas.openxmlformats.org/officeDocument/2006/relationships/hyperlink" Target="mailto:ananya@nuutjob.com,%20anushree@nuutjob.com" TargetMode="External"/><Relationship Id="rId38" Type="http://schemas.openxmlformats.org/officeDocument/2006/relationships/hyperlink" Target="mailto:shani.pandya@powertree.co.in" TargetMode="External"/><Relationship Id="rId59" Type="http://schemas.openxmlformats.org/officeDocument/2006/relationships/hyperlink" Target="mailto:hreedanlifestyle@gmail.com" TargetMode="External"/><Relationship Id="rId103" Type="http://schemas.openxmlformats.org/officeDocument/2006/relationships/hyperlink" Target="../../../../../accelerate_wadhwanifoundation_org/_layouts/15/viewer.aspx?sourcedoc=%7bd5511bb4-ac41-4a5d-a5fd-78bbde4f23dc%7d" TargetMode="External"/><Relationship Id="rId124" Type="http://schemas.openxmlformats.org/officeDocument/2006/relationships/hyperlink" Target="../../../../../vaibhav_mattas_wadhwanifoundation_org/_layouts/15/Doc.aspx?sourcedoc=%7B506C227A-E66F-4F21-8276-BC3E778CA860%7D&amp;file=Expert%20Connect%201%20_%20Exposit%20Immersive%20Solution%20x%20Wadhwani%20Accelerate.docx&amp;action=default&amp;mobileredirect=true&amp;DefaultItemOpen=1" TargetMode="External"/><Relationship Id="rId70" Type="http://schemas.openxmlformats.org/officeDocument/2006/relationships/hyperlink" Target="mailto:dd@aeronero.com" TargetMode="External"/><Relationship Id="rId91" Type="http://schemas.openxmlformats.org/officeDocument/2006/relationships/hyperlink" Target="../../../../../vaibhav_mattas_wadhwanifoundation_org/_layouts/15/Doc.aspx?sourcedoc=%7BE7991494-6037-4784-9CB0-1BAD523742E5%7D&amp;file=Expert%20Connect%202%20_%20Manufyx%20x%20Wadhwani%20Accelerate.docx&amp;action=default&amp;mobileredirect=true&amp;DefaultItemOpen=1" TargetMode="External"/><Relationship Id="rId145" Type="http://schemas.openxmlformats.org/officeDocument/2006/relationships/hyperlink" Target="../../../../../accelerate_wadhwanifoundation_org/_layouts/15/viewer.aspx?sourcedoc=%7b9c632e48-fba9-4f93-b280-44637fd7ba24%7d" TargetMode="External"/><Relationship Id="rId166" Type="http://schemas.openxmlformats.org/officeDocument/2006/relationships/hyperlink" Target="../../../../../vaibhav_mattas_wadhwanifoundation_org/_layouts/15/Doc.aspx?sourcedoc=%7BB5AC8EEA-41C3-411F-8232-02A913E8289B%7D&amp;file=Expert%20Connect%201%20_%20REAGRI%20x%20Wadhwani%20Accelerate.docx&amp;action=default&amp;mobileredirect=true&amp;DefaultItemOpen=1" TargetMode="External"/><Relationship Id="rId187" Type="http://schemas.openxmlformats.org/officeDocument/2006/relationships/hyperlink" Target="../../../../../accelerate_wadhwanifoundation_org/_layouts/15/viewer.aspx?sourcedoc=%7bb8b26d70-2807-4a8b-911d-509d696602e9%7d" TargetMode="External"/><Relationship Id="rId1" Type="http://schemas.openxmlformats.org/officeDocument/2006/relationships/hyperlink" Target="mailto:vivek@bipolarfactory.com" TargetMode="External"/><Relationship Id="rId212" Type="http://schemas.openxmlformats.org/officeDocument/2006/relationships/hyperlink" Target="../../../../../accelerate_wadhwanifoundation_org/_layouts/15/viewer.aspx?sourcedoc=%7ba87c489b-bb27-43f9-aec7-45eabe5a8804%7d" TargetMode="External"/><Relationship Id="rId233" Type="http://schemas.openxmlformats.org/officeDocument/2006/relationships/hyperlink" Target="https://wadhwanifoundation-my.sharepoint.com/:w:/g/personal/vaibhav_mattas_wadhwanifoundation_org/IQDyT9oN_e8HTqJi4421fccAAcb8tz7wde-JNlVjIZApkAc?e=I6QnFw" TargetMode="External"/><Relationship Id="rId254" Type="http://schemas.openxmlformats.org/officeDocument/2006/relationships/hyperlink" Target="mailto:nutrirasoi@outlook.com" TargetMode="External"/><Relationship Id="rId28" Type="http://schemas.openxmlformats.org/officeDocument/2006/relationships/hyperlink" Target="mailto:eximburg@gmail.com" TargetMode="External"/><Relationship Id="rId49" Type="http://schemas.openxmlformats.org/officeDocument/2006/relationships/hyperlink" Target="mailto:preeti@foodnest.co.in" TargetMode="External"/><Relationship Id="rId114" Type="http://schemas.openxmlformats.org/officeDocument/2006/relationships/hyperlink" Target="../../../../../accelerate_wadhwanifoundation_org/_layouts/15/viewer.aspx?sourcedoc=%7be1cd3993-0825-46dd-b3b9-c32728ba8fcc%7d" TargetMode="External"/><Relationship Id="rId60" Type="http://schemas.openxmlformats.org/officeDocument/2006/relationships/hyperlink" Target="mailto:antoni.devaraj@hogist.com" TargetMode="External"/><Relationship Id="rId81" Type="http://schemas.openxmlformats.org/officeDocument/2006/relationships/hyperlink" Target="mailto:eximburg@gmail.com" TargetMode="External"/><Relationship Id="rId135" Type="http://schemas.openxmlformats.org/officeDocument/2006/relationships/hyperlink" Target="../../../../../accelerate_wadhwanifoundation_org/_layouts/15/viewer.aspx?sourcedoc=%7b0ac34a74-9764-4e8f-a55a-1ffbea78cec0%7d" TargetMode="External"/><Relationship Id="rId156" Type="http://schemas.openxmlformats.org/officeDocument/2006/relationships/hyperlink" Target="../../../../../vaibhav_mattas_wadhwanifoundation_org/_layouts/15/Doc.aspx?sourcedoc=%7B8F3985D4-D876-4198-BA41-DB54902C7BD8%7D&amp;file=Expert%20Connect%202%20_%20REAGRI%20x%20Wadhwani%20Accelerate.docx&amp;action=default&amp;mobileredirect=true&amp;DefaultItemOpen=1" TargetMode="External"/><Relationship Id="rId177" Type="http://schemas.openxmlformats.org/officeDocument/2006/relationships/hyperlink" Target="../../../../../vaibhav_mattas_wadhwanifoundation_org/_layouts/15/Doc.aspx?sourcedoc=%7B7FACB423-C9EE-4C28-A77B-D738FED4347D%7D&amp;file=Expert%20Connect%204%20_%20Tikitoro%20x%20Wadhwani%20Accelerate%20(1).docx&amp;action=default&amp;mobileredirect=true&amp;DefaultItemOpen=1" TargetMode="External"/><Relationship Id="rId198" Type="http://schemas.openxmlformats.org/officeDocument/2006/relationships/hyperlink" Target="../../../../../vaibhav_mattas_wadhwanifoundation_org/_layouts/15/Doc.aspx?sourcedoc=%7B12F654CD-BB18-466D-9989-8504E5CA3B89%7D&amp;file=Expert%20Connect%202%20_%20StemBotix%20x%20Wadhwani%20Accelerate.docx&amp;action=default&amp;mobileredirect=true&amp;DefaultItemOpen=1" TargetMode="External"/><Relationship Id="rId202" Type="http://schemas.openxmlformats.org/officeDocument/2006/relationships/hyperlink" Target="https://wadhwanifoundation-my.sharepoint.com/:w:/g/personal/vaibhav_mattas_wadhwanifoundation_org/IQBjZAUeRpm6QLC0ETkbPTzHAcvqd21Ztix4FAOR0ZH50ww?e=4qv4sB" TargetMode="External"/><Relationship Id="rId223" Type="http://schemas.openxmlformats.org/officeDocument/2006/relationships/hyperlink" Target="../../../../../accelerate_wadhwanifoundation_org/_layouts/15/viewer.aspx?sourcedoc=%7b217660bd-31db-4b36-8ac9-fa3b13cb3365%7d" TargetMode="External"/><Relationship Id="rId244" Type="http://schemas.openxmlformats.org/officeDocument/2006/relationships/hyperlink" Target="https://wadhwanifoundation-my.sharepoint.com/:w:/g/personal/vaibhav_mattas_wadhwanifoundation_org/IQA21axCT4BuT53ZRJBq7fIQAULqLeSuayjGupRVbkTq2gU?e=dH00dN" TargetMode="External"/><Relationship Id="rId18" Type="http://schemas.openxmlformats.org/officeDocument/2006/relationships/hyperlink" Target="mailto:pradip@primeuav.com" TargetMode="External"/><Relationship Id="rId39" Type="http://schemas.openxmlformats.org/officeDocument/2006/relationships/hyperlink" Target="mailto:ananya@nuutjob.com,%20anushree@nuutjob.com" TargetMode="External"/><Relationship Id="rId50" Type="http://schemas.openxmlformats.org/officeDocument/2006/relationships/hyperlink" Target="mailto:pritam@tailorsmart.in" TargetMode="External"/><Relationship Id="rId104" Type="http://schemas.openxmlformats.org/officeDocument/2006/relationships/hyperlink" Target="../../../../../vaibhav_mattas_wadhwanifoundation_org/_layouts/15/Doc.aspx?sourcedoc=%7B3EB033BE-FD2A-487A-A40C-1688B7F3885B%7D&amp;file=Expert%20Connect%201%20_%20Atreya%20Innovations%20x%20Wadhwani%20Accelerate.docx&amp;action=default&amp;mobileredirect=true&amp;DefaultItemOpen=1" TargetMode="External"/><Relationship Id="rId125" Type="http://schemas.openxmlformats.org/officeDocument/2006/relationships/hyperlink" Target="../../../../../accelerate_wadhwanifoundation_org/_layouts/15/viewer.aspx?sourcedoc=%7b4503c524-7946-40a7-ba02-39d6efeb43ce%7d" TargetMode="External"/><Relationship Id="rId146" Type="http://schemas.openxmlformats.org/officeDocument/2006/relationships/hyperlink" Target="../../../../../vaibhav_mattas_wadhwanifoundation_org/_layouts/15/Doc.aspx?sourcedoc=%7BBF764CCC-E601-4FCA-B1E6-A45FFE6CA586%7D&amp;file=Expert%20Connect%201%20_%20Qarmatek%20x%20Wadhwani%20Accelerate.docx&amp;action=default&amp;mobileredirect=true&amp;DefaultItemOpen=1" TargetMode="External"/><Relationship Id="rId167" Type="http://schemas.openxmlformats.org/officeDocument/2006/relationships/hyperlink" Target="../../../../../accelerate_wadhwanifoundation_org/_layouts/15/viewer.aspx?sourcedoc=%7bd54ad81f-72fb-4507-8641-7b4e623a2b82%7d" TargetMode="External"/><Relationship Id="rId188" Type="http://schemas.openxmlformats.org/officeDocument/2006/relationships/hyperlink" Target="../../../../../accelerate_wadhwanifoundation_org/_layouts/15/viewer.aspx?sourcedoc=%7b99091af8-9c8d-4eba-9a59-653183f95dbe%7d" TargetMode="External"/><Relationship Id="rId71" Type="http://schemas.openxmlformats.org/officeDocument/2006/relationships/hyperlink" Target="mailto:chirag@bebeburp.com,%20founders@bebeburp.com" TargetMode="External"/><Relationship Id="rId92" Type="http://schemas.openxmlformats.org/officeDocument/2006/relationships/hyperlink" Target="../../../../../vaibhav_mattas_wadhwanifoundation_org/_layouts/15/Doc.aspx?sourcedoc=%7BAAE36574-79A5-4554-8AE7-FDDAC4D4B0F8%7D&amp;file=Expert%20Connect%203%20_%20Manufyx%20x%20Wadhwani%20Accelerate.docx&amp;action=default&amp;mobileredirect=true&amp;DefaultItemOpen=1" TargetMode="External"/><Relationship Id="rId213" Type="http://schemas.openxmlformats.org/officeDocument/2006/relationships/hyperlink" Target="../../../../../accelerate_wadhwanifoundation_org/_layouts/15/viewer.aspx?sourcedoc=%7b0e4830a2-8d88-4714-864f-8c658057f817%7d" TargetMode="External"/><Relationship Id="rId234" Type="http://schemas.openxmlformats.org/officeDocument/2006/relationships/hyperlink" Target="../../../../../accelerate_wadhwanifoundation_org/_layouts/15/viewer.aspx?sourcedoc=%7b1737de07-7472-441b-ab4f-1d995411e5b0%7d" TargetMode="External"/><Relationship Id="rId2" Type="http://schemas.openxmlformats.org/officeDocument/2006/relationships/hyperlink" Target="mailto:dinesh@rapteemotors.com" TargetMode="External"/><Relationship Id="rId29" Type="http://schemas.openxmlformats.org/officeDocument/2006/relationships/hyperlink" Target="mailto:agawade@jeevtronics.com" TargetMode="External"/><Relationship Id="rId255" Type="http://schemas.openxmlformats.org/officeDocument/2006/relationships/hyperlink" Target="mailto:ankita@micob.in" TargetMode="External"/><Relationship Id="rId40" Type="http://schemas.openxmlformats.org/officeDocument/2006/relationships/hyperlink" Target="mailto:pritam@tailorsmart.in" TargetMode="External"/><Relationship Id="rId115" Type="http://schemas.openxmlformats.org/officeDocument/2006/relationships/hyperlink" Target="https://wadhwanifoundation-my.sharepoint.com/:v:/g/personal/accelerate_wadhwanifoundation_org/IQBNBRCNJGTYR7rzES-8W-zRAV_JjiRyV8XmJ3Rkg5OotwY?e=2mLVdz&amp;nav=eyJyZWZlcnJhbEluZm8iOnsicmVmZXJyYWxBcHAiOiJTdHJlYW1XZWJBcHAiLCJyZWZlcnJhbFZpZXciOiJTaGFyZURpYWxvZy1MaW5rIiwicmVmZXJyYWxBcHBQbGF0Zm9ybSI6IldlYiIsInJlZmVycmFsTW9kZSI6InZpZXcifX0%3D" TargetMode="External"/><Relationship Id="rId136" Type="http://schemas.openxmlformats.org/officeDocument/2006/relationships/hyperlink" Target="../../../../../accelerate_wadhwanifoundation_org/_layouts/15/viewer.aspx?sourcedoc=%7b3cf9bfd6-0e39-4628-8f7b-6509057124cf%7d" TargetMode="External"/><Relationship Id="rId157" Type="http://schemas.openxmlformats.org/officeDocument/2006/relationships/hyperlink" Target="../../../../../accelerate_wadhwanifoundation_org/_layouts/15/viewer.aspx?sourcedoc=%7b2e974617-998f-4bb0-9cab-470cc0a7ef82%7d" TargetMode="External"/><Relationship Id="rId178" Type="http://schemas.openxmlformats.org/officeDocument/2006/relationships/hyperlink" Target="../../../../../accelerate_wadhwanifoundation_org/_layouts/15/viewer.aspx?sourcedoc=%7b82e0b7d1-4dab-433f-9910-3c2c74ceda1c%7d" TargetMode="External"/><Relationship Id="rId61" Type="http://schemas.openxmlformats.org/officeDocument/2006/relationships/hyperlink" Target="mailto:archana@myharvestfarms.com" TargetMode="External"/><Relationship Id="rId82" Type="http://schemas.openxmlformats.org/officeDocument/2006/relationships/hyperlink" Target="mailto:eximburg@gmail.com" TargetMode="External"/><Relationship Id="rId199" Type="http://schemas.openxmlformats.org/officeDocument/2006/relationships/hyperlink" Target="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 TargetMode="External"/><Relationship Id="rId203" Type="http://schemas.openxmlformats.org/officeDocument/2006/relationships/hyperlink" Target="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 TargetMode="External"/><Relationship Id="rId19" Type="http://schemas.openxmlformats.org/officeDocument/2006/relationships/hyperlink" Target="mailto:sanjeeviraja@manufyx.co.in" TargetMode="External"/><Relationship Id="rId224" Type="http://schemas.openxmlformats.org/officeDocument/2006/relationships/hyperlink" Target="https://wadhwanifoundation-my.sharepoint.com/:w:/g/personal/vaibhav_mattas_wadhwanifoundation_org/IQCK7Dv-ySflS5bOQP6Fu0YBAYMpENl5x6ApB7uEPR37XZM?e=tLUAkS" TargetMode="External"/><Relationship Id="rId245" Type="http://schemas.openxmlformats.org/officeDocument/2006/relationships/hyperlink" Target="https://wadhwanifoundation-my.sharepoint.com/:w:/g/personal/vaibhav_mattas_wadhwanifoundation_org/IQCSNidf6nk-RrCyNURYxD5gAWu9_f86W-HjRKuHLTqEkJU?e=R72fNJ" TargetMode="External"/><Relationship Id="rId30" Type="http://schemas.openxmlformats.org/officeDocument/2006/relationships/hyperlink" Target="mailto:Info@rawpharmabiz.com" TargetMode="External"/><Relationship Id="rId105" Type="http://schemas.openxmlformats.org/officeDocument/2006/relationships/hyperlink" Target="https://wadhwanifoundation-my.sharepoint.com/:v:/g/personal/accelerate_wadhwanifoundation_org/IQAQHZcayc-8S6IFcLhbtLq2AbwrKYU2RJwAGubr93GFXgM?e=kvoRY3&amp;nav=eyJyZWZlcnJhbEluZm8iOnsicmVmZXJyYWxBcHAiOiJTdHJlYW1XZWJBcHAiLCJyZWZlcnJhbFZpZXciOiJTaGFyZURpYWxvZy1MaW5rIiwicmVmZXJyYWxBcHBQbGF0Zm9ybSI6IldlYiIsInJlZmVycmFsTW9kZSI6InZpZXcifX0%3D" TargetMode="External"/><Relationship Id="rId126" Type="http://schemas.openxmlformats.org/officeDocument/2006/relationships/hyperlink" Target="../../../../../vaibhav_mattas_wadhwanifoundation_org/_layouts/15/Doc.aspx?sourcedoc=%7BEA411141-DED8-46C4-9FF4-65AEBBF4FB33%7D&amp;file=Expert%20Connect%201%20_%20Frontierz%20x%20Wadhwani%20Accelerate.docx&amp;action=default&amp;mobileredirect=true&amp;DefaultItemOpen=1" TargetMode="External"/><Relationship Id="rId147" Type="http://schemas.openxmlformats.org/officeDocument/2006/relationships/hyperlink" Target="../../../../../accelerate_wadhwanifoundation_org/_layouts/15/viewer.aspx?sourcedoc=%7b6a54f50c-0c6b-4c35-a8ff-265a40ca3c47%7d" TargetMode="External"/><Relationship Id="rId168" Type="http://schemas.openxmlformats.org/officeDocument/2006/relationships/hyperlink" Target="../../../../../vaibhav_mattas_wadhwanifoundation_org/_layouts/15/Doc.aspx?sourcedoc=%7B9B813AB0-A1D2-40F8-8753-49F285F365BC%7D&amp;file=Expert%20Connect%201%20_%20Servercake%20x%20Wadhwani%20Accelerate.docx&amp;action=default&amp;mobileredirect=true&amp;DefaultItemOpen=1" TargetMode="External"/><Relationship Id="rId51" Type="http://schemas.openxmlformats.org/officeDocument/2006/relationships/hyperlink" Target="mailto:Sudhir@leapinfosys.com" TargetMode="External"/><Relationship Id="rId72" Type="http://schemas.openxmlformats.org/officeDocument/2006/relationships/hyperlink" Target="mailto:chirag@bebeburp.com,%20founders@bebeburp.com" TargetMode="External"/><Relationship Id="rId93" Type="http://schemas.openxmlformats.org/officeDocument/2006/relationships/hyperlink" Target="../../../../../vaibhav_mattas_wadhwanifoundation_org/_layouts/15/Doc.aspx?sourcedoc=%7BDA3353B6-5E40-4730-ACE4-686DD5BA9B82%7D&amp;file=Expert%20Connect%202%20_%20Aeronero%C2%A0Solutions%20x%20Wadhwani%20Accelerate%20(1).docx&amp;action=default&amp;mobileredirect=true&amp;DefaultItemOpen=1" TargetMode="External"/><Relationship Id="rId189" Type="http://schemas.openxmlformats.org/officeDocument/2006/relationships/hyperlink" Target="../../../../../accelerate_wadhwanifoundation_org/_layouts/15/viewer.aspx?sourcedoc=%7bf38add6e-992a-4c7e-bbbb-66688a9c1788%7d" TargetMode="External"/><Relationship Id="rId3" Type="http://schemas.openxmlformats.org/officeDocument/2006/relationships/hyperlink" Target="mailto:rahul@urdhvam.com" TargetMode="External"/><Relationship Id="rId214" Type="http://schemas.openxmlformats.org/officeDocument/2006/relationships/hyperlink" Target="https://wadhwanifoundation-my.sharepoint.com/:v:/g/personal/accelerate_wadhwanifoundation_org/IQChvsnKDxNgQKbZXPPUhmxuATp3mI22rNkUKVwkvvJ42ro?e=g7vYRC" TargetMode="External"/><Relationship Id="rId235" Type="http://schemas.openxmlformats.org/officeDocument/2006/relationships/hyperlink" Target="https://wadhwanifoundation-my.sharepoint.com/:w:/g/personal/vaibhav_mattas_wadhwanifoundation_org/IQDAu6De93-lRIC3_UgSXl2rAb_L2Kx7uoXthF-JPoZBBEo?e=6IFuji" TargetMode="External"/><Relationship Id="rId256" Type="http://schemas.openxmlformats.org/officeDocument/2006/relationships/hyperlink" Target="mailto:Apurva@innova-india.com" TargetMode="External"/><Relationship Id="rId116" Type="http://schemas.openxmlformats.org/officeDocument/2006/relationships/hyperlink" Target="https://wadhwanifoundation-my.sharepoint.com/:v:/g/personal/accelerate_wadhwanifoundation_org/IQBNBRCNJGTYR7rzES-8W-zRAV_JjiRyV8XmJ3Rkg5OotwY?e=2mLVdz&amp;nav=eyJyZWZlcnJhbEluZm8iOnsicmVmZXJyYWxBcHAiOiJTdHJlYW1XZWJBcHAiLCJyZWZlcnJhbFZpZXciOiJTaGFyZURpYWxvZy1MaW5rIiwicmVmZXJyYWxBcHBQbGF0Zm9ybSI6IldlYiIsInJlZmVycmFsTW9kZSI6InZpZXcifX0%3D" TargetMode="External"/><Relationship Id="rId137" Type="http://schemas.openxmlformats.org/officeDocument/2006/relationships/hyperlink" Target="../../../../../vaibhav_mattas_wadhwanifoundation_org/_layouts/15/Doc.aspx?sourcedoc=%7BE520159F-A1FD-4863-A7AD-BF8EAB0A1153%7D&amp;file=Expert%20Connect%201%20_%20Leap%20Info%20x%20Wadhwani%20Accelerate.docx&amp;action=default&amp;mobileredirect=true&amp;DefaultItemOpen=1" TargetMode="External"/><Relationship Id="rId158" Type="http://schemas.openxmlformats.org/officeDocument/2006/relationships/hyperlink" Target="../../../../../vaibhav_mattas_wadhwanifoundation_org/_layouts/15/Doc.aspx?sourcedoc=%7BB4ABD0DA-4096-4E54-B0F5-D29C4C6B11CB%7D&amp;file=Expert%20Connect%201%20_%20Rupiya%20Finnovations%20x%20Wadhwani%20Accelerate.docx&amp;action=default&amp;mobileredirect=true&amp;DefaultItemOpen=1" TargetMode="External"/><Relationship Id="rId20" Type="http://schemas.openxmlformats.org/officeDocument/2006/relationships/hyperlink" Target="mailto:arjun@videosdk.live;%20vikram@videosdk.live" TargetMode="External"/><Relationship Id="rId41" Type="http://schemas.openxmlformats.org/officeDocument/2006/relationships/hyperlink" Target="mailto:arjun@videosdk.live;%20vikram@videosdk.live" TargetMode="External"/><Relationship Id="rId62" Type="http://schemas.openxmlformats.org/officeDocument/2006/relationships/hyperlink" Target="mailto:mihir.shah@agriown.com" TargetMode="External"/><Relationship Id="rId83" Type="http://schemas.openxmlformats.org/officeDocument/2006/relationships/hyperlink" Target="https://wadhwanifoundation-my.sharepoint.com/:v:/g/personal/accelerate_wadhwanifoundation_org/IQAgRScEtU5CSqp5_xl-86CZATYk-aLQuQK2DT4BV6_-R-k?e=ffE8Bd&amp;nav=eyJyZWZlcnJhbEluZm8iOnsicmVmZXJyYWxBcHAiOiJTdHJlYW1XZWJBcHAiLCJyZWZlcnJhbFZpZXciOiJTaGFyZURpYWxvZy1MaW5rIiwicmVmZXJyYWxBcHBQbGF0Zm9ybSI6IldlYiIsInJlZmVycmFsTW9kZSI6InZpZXcifX0%3D" TargetMode="External"/><Relationship Id="rId179" Type="http://schemas.openxmlformats.org/officeDocument/2006/relationships/hyperlink" Target="../../../../../accelerate_wadhwanifoundation_org/_layouts/15/viewer.aspx?sourcedoc=%7be60b8f84-cf86-4109-83e9-350631f58f1d%7d" TargetMode="External"/><Relationship Id="rId190" Type="http://schemas.openxmlformats.org/officeDocument/2006/relationships/hyperlink" Target="../../../../../vaibhav_mattas_wadhwanifoundation_org/_layouts/15/Doc.aspx?sourcedoc=%7B227132A5-D4B9-497B-8730-C28423B9A0FC%7D&amp;file=Expert%20Connect%201%20_%20Vaultastic%20x%20Wadhwani%20Accelerate.docx&amp;action=default&amp;mobileredirect=true&amp;DefaultItemOpen=1" TargetMode="External"/><Relationship Id="rId204" Type="http://schemas.openxmlformats.org/officeDocument/2006/relationships/hyperlink" Target="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 TargetMode="External"/><Relationship Id="rId225" Type="http://schemas.openxmlformats.org/officeDocument/2006/relationships/hyperlink" Target="../../../../../accelerate_wadhwanifoundation_org/_layouts/15/viewer.aspx?sourcedoc=%7b8d54e21b-3fd6-471c-992a-fa8590cad50f%7d" TargetMode="External"/><Relationship Id="rId246" Type="http://schemas.openxmlformats.org/officeDocument/2006/relationships/hyperlink" Target="https://wadhwanifoundation-my.sharepoint.com/:w:/g/personal/vaibhav_mattas_wadhwanifoundation_org/IQCsCsO8Rp6MQ5_uwgTrNMeIAcpLmzBputvJhh6AxeXlkI4?e=jOY8H7" TargetMode="External"/><Relationship Id="rId106" Type="http://schemas.openxmlformats.org/officeDocument/2006/relationships/hyperlink" Target="../../../../../vaibhav_mattas_wadhwanifoundation_org/_layouts/15/Doc.aspx?sourcedoc=%7BD6161283-CA3E-4A20-B503-CBE867467E02%7D&amp;file=Expert%20Connect%203%20_%20Atreya%20Innovations%20x%20Wadhwani%20Accelerate.docx&amp;action=default&amp;mobileredirect=true&amp;DefaultItemOpen=1" TargetMode="External"/><Relationship Id="rId127" Type="http://schemas.openxmlformats.org/officeDocument/2006/relationships/hyperlink" Target="../../../../../accelerate_wadhwanifoundation_org/_layouts/15/viewer.aspx?sourcedoc=%7b80f9482b-8f8d-417d-95f2-8e526dc1f892%7d" TargetMode="External"/><Relationship Id="rId10" Type="http://schemas.openxmlformats.org/officeDocument/2006/relationships/hyperlink" Target="mailto:ajit.deshpande@rises.io" TargetMode="External"/><Relationship Id="rId31" Type="http://schemas.openxmlformats.org/officeDocument/2006/relationships/hyperlink" Target="mailto:sagar@stembotix.in" TargetMode="External"/><Relationship Id="rId52" Type="http://schemas.openxmlformats.org/officeDocument/2006/relationships/hyperlink" Target="mailto:tarun@mithi.com" TargetMode="External"/><Relationship Id="rId73" Type="http://schemas.openxmlformats.org/officeDocument/2006/relationships/hyperlink" Target="mailto:divyajit@bullagritech.in" TargetMode="External"/><Relationship Id="rId94" Type="http://schemas.openxmlformats.org/officeDocument/2006/relationships/hyperlink" Target="../../../../../accelerate_wadhwanifoundation_org/_layouts/15/viewer.aspx?sourcedoc=%7b6728e9ef-3a80-4352-bea4-fdd4e2abd231%7d" TargetMode="External"/><Relationship Id="rId148" Type="http://schemas.openxmlformats.org/officeDocument/2006/relationships/hyperlink" Target="../../../../../vaibhav_mattas_wadhwanifoundation_org/_layouts/15/Doc.aspx?sourcedoc=%7BF6C57712-8E13-40CF-82FA-AF421142A75E%7D&amp;file=Expert%20Connect%202%20_%20Qarmatek%20x%20Wadhwani%20Accelerate.docx&amp;action=default&amp;mobileredirect=true&amp;DefaultItemOpen=1" TargetMode="External"/><Relationship Id="rId169" Type="http://schemas.openxmlformats.org/officeDocument/2006/relationships/hyperlink" Target="../../../../../accelerate_wadhwanifoundation_org/_layouts/15/viewer.aspx?sourcedoc=%7b99cb1cdf-eb70-435c-b61e-c45bec8f345c%7d" TargetMode="External"/><Relationship Id="rId4" Type="http://schemas.openxmlformats.org/officeDocument/2006/relationships/hyperlink" Target="mailto:mallesh@cultyvate.com" TargetMode="External"/><Relationship Id="rId180" Type="http://schemas.openxmlformats.org/officeDocument/2006/relationships/hyperlink" Target="../../../../../accelerate_wadhwanifoundation_org/_layouts/15/viewer.aspx?sourcedoc=%7b0fb01444-6c9a-48b6-8383-3299267e32f8%7d" TargetMode="External"/><Relationship Id="rId215" Type="http://schemas.openxmlformats.org/officeDocument/2006/relationships/hyperlink" Target="../../../../../accelerate_wadhwanifoundation_org/_layouts/15/viewer.aspx?sourcedoc=%7bc573c64b-3b97-437d-9878-021e10da8b01%7d" TargetMode="External"/><Relationship Id="rId236" Type="http://schemas.openxmlformats.org/officeDocument/2006/relationships/hyperlink" Target="https://wadhwanifoundation-my.sharepoint.com/:w:/g/personal/vaibhav_mattas_wadhwanifoundation_org/IQCfztZ49gOcTLuWke47QP2GAZFsjJ11KQYHrQGHusEdyQk?e=CBcDp8" TargetMode="External"/><Relationship Id="rId257" Type="http://schemas.openxmlformats.org/officeDocument/2006/relationships/hyperlink" Target="https://wadhwanifoundation-my.sharepoint.com/:v:/g/personal/accelerate_wadhwanifoundation_org/IQCculps4yvXRqwlR3eDVZHWASmMiyyWfW6ON8aIj5eQi5g?e=cktzPN&amp;nav=eyJyZWZlcnJhbEluZm8iOnsicmVmZXJyYWxBcHAiOiJTdHJlYW1XZWJBcHAiLCJyZWZlcnJhbFZpZXciOiJTaGFyZURpYWxvZy1MaW5rIiwicmVmZXJyYWxBcHBQbGF0Zm9ybSI6IldlYiIsInJlZmVycmFsTW9kZSI6InZpZXcifX0%3D" TargetMode="External"/><Relationship Id="rId42" Type="http://schemas.openxmlformats.org/officeDocument/2006/relationships/hyperlink" Target="mailto:tarun@mithi.com" TargetMode="External"/><Relationship Id="rId84" Type="http://schemas.openxmlformats.org/officeDocument/2006/relationships/hyperlink" Target="https://wadhwanifoundation-my.sharepoint.com/:v:/g/personal/accelerate_wadhwanifoundation_org/IQBnJ02Wdk34QZTYmeFz71MeAdG50NNO17QLD4OI7OrOBZY?e=cLvKYo&amp;nav=eyJyZWZlcnJhbEluZm8iOnsicmVmZXJyYWxBcHAiOiJTdHJlYW1XZWJBcHAiLCJyZWZlcnJhbFZpZXciOiJTaGFyZURpYWxvZy1MaW5rIiwicmVmZXJyYWxBcHBQbGF0Zm9ybSI6IldlYiIsInJlZmVycmFsTW9kZSI6InZpZXcifX0%3D" TargetMode="External"/><Relationship Id="rId138" Type="http://schemas.openxmlformats.org/officeDocument/2006/relationships/hyperlink" Target="../../../../../vaibhav_mattas_wadhwanifoundation_org/_layouts/15/Doc.aspx?sourcedoc=%7B51C508BF-A047-4C92-A12B-8DDB9BA6C3A0%7D&amp;file=Expert%20Connect%202%20_%20Leap%20Info%20x%20Wadhwani%20Accelerate.docx&amp;action=default&amp;mobileredirect=true&amp;DefaultItemOpen=1" TargetMode="External"/></Relationships>
</file>

<file path=xl/worksheets/_rels/sheet4.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ananya@nuutjob.com,%20anushree@nuutjob.com" TargetMode="External"/><Relationship Id="rId7" Type="http://schemas.openxmlformats.org/officeDocument/2006/relationships/table" Target="../tables/table4.xml"/><Relationship Id="rId2" Type="http://schemas.openxmlformats.org/officeDocument/2006/relationships/hyperlink" Target="mailto:aniruddha@atreyainnovations.com" TargetMode="External"/><Relationship Id="rId1" Type="http://schemas.openxmlformats.org/officeDocument/2006/relationships/hyperlink" Target="mailto:archana@myharvestfarms.com" TargetMode="External"/><Relationship Id="rId6" Type="http://schemas.openxmlformats.org/officeDocument/2006/relationships/vmlDrawing" Target="../drawings/vmlDrawing3.vml"/><Relationship Id="rId5" Type="http://schemas.openxmlformats.org/officeDocument/2006/relationships/printerSettings" Target="../printerSettings/printerSettings1.bin"/><Relationship Id="rId4" Type="http://schemas.openxmlformats.org/officeDocument/2006/relationships/hyperlink" Target="mailto:eximburg@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868D-DF01-4BFF-99A6-8EB8BC6FFD52}">
  <dimension ref="A1:P47"/>
  <sheetViews>
    <sheetView topLeftCell="E1" zoomScaleNormal="100" workbookViewId="0">
      <selection activeCell="G15" sqref="G15"/>
    </sheetView>
  </sheetViews>
  <sheetFormatPr defaultRowHeight="15" customHeight="1" x14ac:dyDescent="0.3"/>
  <cols>
    <col min="1" max="1" width="32" customWidth="1"/>
    <col min="2" max="2" width="24.33203125" customWidth="1"/>
    <col min="3" max="3" width="13" customWidth="1"/>
    <col min="4" max="4" width="57.44140625" style="13" customWidth="1"/>
    <col min="5" max="6" width="35.33203125" style="12" customWidth="1"/>
    <col min="7" max="7" width="63.33203125" style="41" customWidth="1"/>
    <col min="8" max="9" width="31.109375" customWidth="1"/>
    <col min="10" max="10" width="30.6640625" customWidth="1"/>
    <col min="11" max="11" width="36.5546875" bestFit="1" customWidth="1"/>
    <col min="17" max="17" width="27" customWidth="1"/>
  </cols>
  <sheetData>
    <row r="1" spans="1:16" s="54" customFormat="1" ht="53.25" customHeight="1" x14ac:dyDescent="0.3">
      <c r="A1" s="59" t="s">
        <v>141</v>
      </c>
      <c r="B1" s="56" t="s">
        <v>336</v>
      </c>
      <c r="C1" s="57" t="s">
        <v>0</v>
      </c>
      <c r="D1" s="58" t="s">
        <v>1</v>
      </c>
      <c r="E1" s="62" t="s">
        <v>337</v>
      </c>
      <c r="F1" s="67" t="s">
        <v>338</v>
      </c>
      <c r="G1" s="68" t="s">
        <v>339</v>
      </c>
      <c r="H1" s="69" t="s">
        <v>340</v>
      </c>
      <c r="I1" s="74" t="s">
        <v>341</v>
      </c>
      <c r="J1" s="61" t="s">
        <v>342</v>
      </c>
      <c r="K1" s="61" t="s">
        <v>343</v>
      </c>
    </row>
    <row r="2" spans="1:16" ht="19.5" hidden="1" customHeight="1" x14ac:dyDescent="0.3">
      <c r="A2" s="55" t="s">
        <v>20</v>
      </c>
      <c r="B2" s="55" t="s">
        <v>122</v>
      </c>
      <c r="C2" s="64" t="e">
        <f>VLOOKUP(Table12[[#This Row],[Venture Name]],#REF!,3,FALSE)</f>
        <v>#REF!</v>
      </c>
      <c r="D2" s="65" t="s">
        <v>344</v>
      </c>
      <c r="E2" s="55" t="s">
        <v>345</v>
      </c>
      <c r="F2" s="55" t="s">
        <v>346</v>
      </c>
      <c r="G2" s="5" t="s">
        <v>347</v>
      </c>
      <c r="H2" s="5"/>
      <c r="I2" s="5"/>
      <c r="J2" s="5" t="s">
        <v>348</v>
      </c>
      <c r="K2" s="5"/>
    </row>
    <row r="3" spans="1:16" ht="15.75" hidden="1" customHeight="1" x14ac:dyDescent="0.3">
      <c r="A3" s="55" t="s">
        <v>20</v>
      </c>
      <c r="B3" s="55" t="s">
        <v>123</v>
      </c>
      <c r="C3" s="64" t="e">
        <f>VLOOKUP(Table12[[#This Row],[Venture Name]],#REF!,3,FALSE)</f>
        <v>#REF!</v>
      </c>
      <c r="D3" s="65" t="s">
        <v>349</v>
      </c>
      <c r="E3" s="55" t="s">
        <v>350</v>
      </c>
      <c r="F3" s="55" t="s">
        <v>351</v>
      </c>
      <c r="G3" s="5" t="s">
        <v>347</v>
      </c>
      <c r="H3" s="5"/>
      <c r="I3" s="5"/>
      <c r="J3" s="5" t="s">
        <v>348</v>
      </c>
      <c r="K3" s="5"/>
    </row>
    <row r="4" spans="1:16" ht="17.25" hidden="1" customHeight="1" x14ac:dyDescent="0.3">
      <c r="A4" s="55" t="s">
        <v>20</v>
      </c>
      <c r="B4" s="55" t="s">
        <v>101</v>
      </c>
      <c r="C4" s="64" t="e">
        <f>VLOOKUP(Table12[[#This Row],[Venture Name]],#REF!,3,FALSE)</f>
        <v>#REF!</v>
      </c>
      <c r="D4" s="65" t="s">
        <v>344</v>
      </c>
      <c r="E4" s="55" t="s">
        <v>350</v>
      </c>
      <c r="F4" s="55" t="s">
        <v>352</v>
      </c>
      <c r="G4" s="5" t="s">
        <v>347</v>
      </c>
      <c r="H4" s="5"/>
      <c r="I4" s="5"/>
      <c r="J4" s="5" t="s">
        <v>348</v>
      </c>
      <c r="K4" s="5"/>
    </row>
    <row r="5" spans="1:16" ht="28.5" hidden="1" customHeight="1" x14ac:dyDescent="0.3">
      <c r="A5" s="55" t="s">
        <v>46</v>
      </c>
      <c r="B5" s="55" t="s">
        <v>353</v>
      </c>
      <c r="C5" s="64" t="e">
        <f>VLOOKUP(Table12[[#This Row],[Venture Name]],#REF!,3,FALSE)</f>
        <v>#REF!</v>
      </c>
      <c r="D5" s="65" t="s">
        <v>354</v>
      </c>
      <c r="E5" s="55" t="s">
        <v>350</v>
      </c>
      <c r="F5" s="55" t="s">
        <v>355</v>
      </c>
      <c r="G5" s="5" t="s">
        <v>356</v>
      </c>
      <c r="H5" s="5" t="s">
        <v>357</v>
      </c>
      <c r="I5" s="5" t="s">
        <v>358</v>
      </c>
      <c r="J5" s="5" t="s">
        <v>359</v>
      </c>
      <c r="K5" s="5">
        <v>1</v>
      </c>
      <c r="N5">
        <v>26</v>
      </c>
      <c r="O5">
        <v>14</v>
      </c>
      <c r="P5" s="73">
        <f>O5/N5</f>
        <v>0.53846153846153844</v>
      </c>
    </row>
    <row r="6" spans="1:16" ht="57.6" hidden="1" x14ac:dyDescent="0.3">
      <c r="A6" s="55" t="s">
        <v>20</v>
      </c>
      <c r="B6" s="55" t="s">
        <v>122</v>
      </c>
      <c r="C6" s="64" t="e">
        <f>VLOOKUP(Table12[[#This Row],[Venture Name]],#REF!,3,FALSE)</f>
        <v>#REF!</v>
      </c>
      <c r="D6" s="65" t="s">
        <v>344</v>
      </c>
      <c r="E6" s="55" t="s">
        <v>345</v>
      </c>
      <c r="F6" s="55" t="s">
        <v>346</v>
      </c>
      <c r="G6" s="5" t="s">
        <v>347</v>
      </c>
      <c r="H6" s="5"/>
      <c r="I6" s="5"/>
      <c r="J6" s="5" t="s">
        <v>348</v>
      </c>
      <c r="K6" s="5"/>
    </row>
    <row r="7" spans="1:16" ht="28.8" hidden="1" x14ac:dyDescent="0.3">
      <c r="A7" s="55" t="s">
        <v>34</v>
      </c>
      <c r="B7" s="55" t="s">
        <v>106</v>
      </c>
      <c r="C7" s="64" t="e">
        <f>VLOOKUP(Table12[[#This Row],[Venture Name]],#REF!,3,FALSE)</f>
        <v>#REF!</v>
      </c>
      <c r="D7" s="65" t="s">
        <v>360</v>
      </c>
      <c r="E7" s="55" t="s">
        <v>345</v>
      </c>
      <c r="F7" s="55" t="s">
        <v>352</v>
      </c>
      <c r="G7" s="5" t="s">
        <v>361</v>
      </c>
      <c r="H7" s="5" t="s">
        <v>357</v>
      </c>
      <c r="I7" s="5" t="s">
        <v>358</v>
      </c>
      <c r="J7" s="5" t="s">
        <v>359</v>
      </c>
      <c r="K7" s="5">
        <v>1</v>
      </c>
    </row>
    <row r="8" spans="1:16" ht="86.4" hidden="1" x14ac:dyDescent="0.3">
      <c r="A8" s="55" t="s">
        <v>22</v>
      </c>
      <c r="B8" s="55" t="s">
        <v>93</v>
      </c>
      <c r="C8" s="64" t="e">
        <f>VLOOKUP(Table12[[#This Row],[Venture Name]],#REF!,3,FALSE)</f>
        <v>#REF!</v>
      </c>
      <c r="D8" s="55" t="s">
        <v>362</v>
      </c>
      <c r="E8" s="55" t="s">
        <v>350</v>
      </c>
      <c r="F8" s="55" t="s">
        <v>351</v>
      </c>
      <c r="G8" s="5" t="s">
        <v>363</v>
      </c>
      <c r="H8" s="5" t="s">
        <v>364</v>
      </c>
      <c r="I8" s="5" t="s">
        <v>345</v>
      </c>
      <c r="J8" s="5" t="s">
        <v>359</v>
      </c>
      <c r="K8" s="5">
        <v>5</v>
      </c>
    </row>
    <row r="9" spans="1:16" ht="172.8" hidden="1" x14ac:dyDescent="0.3">
      <c r="A9" s="55" t="s">
        <v>68</v>
      </c>
      <c r="B9" s="55" t="s">
        <v>256</v>
      </c>
      <c r="C9" s="64" t="e">
        <f>VLOOKUP(Table12[[#This Row],[Venture Name]],#REF!,3,FALSE)</f>
        <v>#REF!</v>
      </c>
      <c r="D9" s="65" t="s">
        <v>365</v>
      </c>
      <c r="E9" s="55" t="s">
        <v>350</v>
      </c>
      <c r="F9" s="55" t="s">
        <v>355</v>
      </c>
      <c r="G9" s="5" t="s">
        <v>366</v>
      </c>
      <c r="H9" s="5" t="s">
        <v>367</v>
      </c>
      <c r="I9" s="5" t="s">
        <v>358</v>
      </c>
      <c r="J9" s="5" t="s">
        <v>359</v>
      </c>
      <c r="K9" s="5">
        <v>3</v>
      </c>
    </row>
    <row r="10" spans="1:16" ht="28.8" hidden="1" x14ac:dyDescent="0.3">
      <c r="A10" s="55" t="s">
        <v>270</v>
      </c>
      <c r="B10" s="55" t="s">
        <v>368</v>
      </c>
      <c r="C10" s="64" t="e">
        <f>VLOOKUP(Table12[[#This Row],[Venture Name]],#REF!,3,FALSE)</f>
        <v>#REF!</v>
      </c>
      <c r="D10" s="55" t="s">
        <v>369</v>
      </c>
      <c r="E10" s="55" t="s">
        <v>345</v>
      </c>
      <c r="F10" s="55" t="s">
        <v>351</v>
      </c>
      <c r="G10" s="5" t="s">
        <v>370</v>
      </c>
      <c r="H10" s="5" t="s">
        <v>367</v>
      </c>
      <c r="I10" s="5" t="s">
        <v>345</v>
      </c>
      <c r="J10" s="5" t="s">
        <v>359</v>
      </c>
      <c r="K10" s="5">
        <v>3</v>
      </c>
    </row>
    <row r="11" spans="1:16" ht="129.6" hidden="1" x14ac:dyDescent="0.3">
      <c r="A11" s="55" t="s">
        <v>36</v>
      </c>
      <c r="B11" s="55" t="s">
        <v>94</v>
      </c>
      <c r="C11" s="64" t="e">
        <f>VLOOKUP(Table12[[#This Row],[Venture Name]],#REF!,3,FALSE)</f>
        <v>#REF!</v>
      </c>
      <c r="D11" s="65" t="s">
        <v>371</v>
      </c>
      <c r="E11" s="55" t="s">
        <v>350</v>
      </c>
      <c r="F11" s="55" t="s">
        <v>355</v>
      </c>
      <c r="G11" s="5" t="s">
        <v>372</v>
      </c>
      <c r="H11" s="5" t="s">
        <v>367</v>
      </c>
      <c r="I11" s="5" t="s">
        <v>345</v>
      </c>
      <c r="J11" s="5" t="s">
        <v>359</v>
      </c>
      <c r="K11" s="5" t="s">
        <v>373</v>
      </c>
    </row>
    <row r="12" spans="1:16" ht="100.8" hidden="1" x14ac:dyDescent="0.3">
      <c r="A12" s="55" t="s">
        <v>40</v>
      </c>
      <c r="B12" s="55" t="s">
        <v>5</v>
      </c>
      <c r="C12" s="64" t="e">
        <f>VLOOKUP(Table12[[#This Row],[Venture Name]],#REF!,3,FALSE)</f>
        <v>#REF!</v>
      </c>
      <c r="D12" s="55" t="s">
        <v>374</v>
      </c>
      <c r="E12" s="55" t="s">
        <v>350</v>
      </c>
      <c r="F12" s="55" t="s">
        <v>375</v>
      </c>
      <c r="G12" s="5" t="s">
        <v>376</v>
      </c>
      <c r="H12" s="5" t="s">
        <v>364</v>
      </c>
      <c r="I12" s="5" t="s">
        <v>358</v>
      </c>
      <c r="J12" s="5" t="s">
        <v>359</v>
      </c>
      <c r="K12" s="5">
        <v>3</v>
      </c>
    </row>
    <row r="13" spans="1:16" ht="28.8" hidden="1" x14ac:dyDescent="0.3">
      <c r="A13" s="55" t="s">
        <v>76</v>
      </c>
      <c r="B13" s="55" t="s">
        <v>377</v>
      </c>
      <c r="C13" s="64" t="e">
        <f>VLOOKUP(Table12[[#This Row],[Venture Name]],#REF!,3,FALSE)</f>
        <v>#REF!</v>
      </c>
      <c r="D13" s="65" t="s">
        <v>378</v>
      </c>
      <c r="E13" s="55" t="s">
        <v>345</v>
      </c>
      <c r="F13" s="55" t="s">
        <v>351</v>
      </c>
      <c r="G13" s="5" t="s">
        <v>379</v>
      </c>
      <c r="H13" s="5" t="s">
        <v>380</v>
      </c>
      <c r="I13" s="5" t="s">
        <v>358</v>
      </c>
      <c r="J13" s="5" t="s">
        <v>359</v>
      </c>
      <c r="K13" s="5" t="s">
        <v>381</v>
      </c>
    </row>
    <row r="14" spans="1:16" ht="43.2" hidden="1" x14ac:dyDescent="0.3">
      <c r="A14" s="55" t="s">
        <v>62</v>
      </c>
      <c r="B14" s="55" t="s">
        <v>5</v>
      </c>
      <c r="C14" s="64" t="e">
        <f>VLOOKUP(Table12[[#This Row],[Venture Name]],#REF!,3,FALSE)</f>
        <v>#REF!</v>
      </c>
      <c r="D14" s="65" t="s">
        <v>382</v>
      </c>
      <c r="E14" s="55" t="s">
        <v>350</v>
      </c>
      <c r="F14" s="55" t="s">
        <v>352</v>
      </c>
      <c r="G14" s="5" t="s">
        <v>383</v>
      </c>
      <c r="H14" s="5" t="s">
        <v>357</v>
      </c>
      <c r="I14" s="5" t="s">
        <v>345</v>
      </c>
      <c r="J14" s="5" t="s">
        <v>359</v>
      </c>
      <c r="K14" s="5">
        <v>1</v>
      </c>
    </row>
    <row r="15" spans="1:16" ht="100.8" x14ac:dyDescent="0.3">
      <c r="A15" s="55" t="s">
        <v>27</v>
      </c>
      <c r="B15" s="55" t="s">
        <v>100</v>
      </c>
      <c r="C15" s="64" t="e">
        <f>VLOOKUP(Table12[[#This Row],[Venture Name]],#REF!,3,FALSE)</f>
        <v>#REF!</v>
      </c>
      <c r="D15" s="65" t="s">
        <v>384</v>
      </c>
      <c r="E15" s="55" t="s">
        <v>350</v>
      </c>
      <c r="F15" s="55" t="s">
        <v>355</v>
      </c>
      <c r="G15" s="5" t="s">
        <v>385</v>
      </c>
      <c r="H15" s="5" t="s">
        <v>364</v>
      </c>
      <c r="I15" s="5" t="s">
        <v>358</v>
      </c>
      <c r="J15" s="5" t="s">
        <v>359</v>
      </c>
      <c r="K15" s="5" t="s">
        <v>373</v>
      </c>
    </row>
    <row r="16" spans="1:16" ht="100.8" hidden="1" x14ac:dyDescent="0.3">
      <c r="A16" s="55" t="s">
        <v>12</v>
      </c>
      <c r="B16" s="55" t="s">
        <v>14</v>
      </c>
      <c r="C16" s="64" t="e">
        <f>VLOOKUP(Table12[[#This Row],[Venture Name]],#REF!,3,FALSE)</f>
        <v>#REF!</v>
      </c>
      <c r="D16" s="65" t="s">
        <v>13</v>
      </c>
      <c r="E16" s="55" t="s">
        <v>350</v>
      </c>
      <c r="F16" s="55" t="s">
        <v>351</v>
      </c>
      <c r="G16" s="5" t="s">
        <v>386</v>
      </c>
      <c r="H16" s="5"/>
      <c r="I16" s="5"/>
      <c r="J16" s="5" t="s">
        <v>348</v>
      </c>
      <c r="K16" s="5"/>
    </row>
    <row r="17" spans="1:11" ht="77.400000000000006" hidden="1" customHeight="1" x14ac:dyDescent="0.3">
      <c r="A17" s="66" t="s">
        <v>67</v>
      </c>
      <c r="B17" s="55" t="s">
        <v>387</v>
      </c>
      <c r="C17" s="64" t="e">
        <f>VLOOKUP(Table12[[#This Row],[Venture Name]],#REF!,3,FALSE)</f>
        <v>#REF!</v>
      </c>
      <c r="D17" s="65" t="s">
        <v>388</v>
      </c>
      <c r="E17" s="55" t="s">
        <v>350</v>
      </c>
      <c r="F17" s="55" t="s">
        <v>351</v>
      </c>
      <c r="G17" s="5" t="s">
        <v>389</v>
      </c>
      <c r="H17" s="5" t="s">
        <v>390</v>
      </c>
      <c r="I17" s="5" t="s">
        <v>358</v>
      </c>
      <c r="J17" s="5" t="s">
        <v>359</v>
      </c>
      <c r="K17" s="5">
        <v>4</v>
      </c>
    </row>
    <row r="18" spans="1:11" ht="43.2" hidden="1" x14ac:dyDescent="0.3">
      <c r="A18" s="55" t="s">
        <v>71</v>
      </c>
      <c r="B18" s="55" t="s">
        <v>391</v>
      </c>
      <c r="C18" s="64">
        <v>45870</v>
      </c>
      <c r="D18" s="65" t="s">
        <v>392</v>
      </c>
      <c r="E18" s="55" t="s">
        <v>350</v>
      </c>
      <c r="F18" s="55" t="s">
        <v>355</v>
      </c>
      <c r="G18" s="5" t="s">
        <v>393</v>
      </c>
      <c r="H18" s="5" t="s">
        <v>367</v>
      </c>
      <c r="I18" s="5" t="s">
        <v>358</v>
      </c>
      <c r="J18" s="5" t="s">
        <v>359</v>
      </c>
      <c r="K18" s="5">
        <v>3</v>
      </c>
    </row>
    <row r="19" spans="1:11" ht="43.2" hidden="1" x14ac:dyDescent="0.3">
      <c r="A19" s="55" t="s">
        <v>71</v>
      </c>
      <c r="B19" s="55" t="s">
        <v>391</v>
      </c>
      <c r="C19" s="64" t="e">
        <f>VLOOKUP(Table12[[#This Row],[Venture Name]],#REF!,3,FALSE)</f>
        <v>#REF!</v>
      </c>
      <c r="D19" s="65" t="s">
        <v>392</v>
      </c>
      <c r="E19" s="55" t="s">
        <v>350</v>
      </c>
      <c r="F19" s="55" t="s">
        <v>355</v>
      </c>
      <c r="G19" s="5" t="s">
        <v>394</v>
      </c>
      <c r="H19" s="5" t="s">
        <v>367</v>
      </c>
      <c r="I19" s="5" t="s">
        <v>358</v>
      </c>
      <c r="J19" s="5" t="s">
        <v>359</v>
      </c>
      <c r="K19" s="5">
        <v>3</v>
      </c>
    </row>
    <row r="20" spans="1:11" ht="57.6" hidden="1" x14ac:dyDescent="0.3">
      <c r="A20" s="55" t="s">
        <v>26</v>
      </c>
      <c r="B20" s="55" t="s">
        <v>88</v>
      </c>
      <c r="C20" s="64" t="e">
        <f>VLOOKUP(Table12[[#This Row],[Venture Name]],#REF!,3,FALSE)</f>
        <v>#REF!</v>
      </c>
      <c r="D20" s="65" t="s">
        <v>382</v>
      </c>
      <c r="E20" s="55" t="s">
        <v>345</v>
      </c>
      <c r="F20" s="55">
        <v>0</v>
      </c>
      <c r="G20" s="5" t="s">
        <v>395</v>
      </c>
      <c r="H20" s="5" t="s">
        <v>380</v>
      </c>
      <c r="I20" s="5" t="s">
        <v>345</v>
      </c>
      <c r="J20" s="5" t="s">
        <v>359</v>
      </c>
      <c r="K20" s="5" t="s">
        <v>381</v>
      </c>
    </row>
    <row r="21" spans="1:11" ht="66" hidden="1" customHeight="1" x14ac:dyDescent="0.3">
      <c r="A21" s="55" t="s">
        <v>396</v>
      </c>
      <c r="B21" s="55" t="s">
        <v>87</v>
      </c>
      <c r="C21" s="64" t="e">
        <f>VLOOKUP(Table12[[#This Row],[Venture Name]],#REF!,3,FALSE)</f>
        <v>#REF!</v>
      </c>
      <c r="D21" s="55" t="s">
        <v>397</v>
      </c>
      <c r="E21" s="55" t="s">
        <v>345</v>
      </c>
      <c r="F21" s="55" t="s">
        <v>352</v>
      </c>
      <c r="G21" s="5" t="s">
        <v>398</v>
      </c>
      <c r="H21" s="5" t="s">
        <v>357</v>
      </c>
      <c r="I21" s="5" t="s">
        <v>358</v>
      </c>
      <c r="J21" s="5" t="s">
        <v>359</v>
      </c>
      <c r="K21" s="5">
        <v>1</v>
      </c>
    </row>
    <row r="22" spans="1:11" ht="57.6" hidden="1" x14ac:dyDescent="0.3">
      <c r="A22" s="55" t="s">
        <v>399</v>
      </c>
      <c r="B22" s="55" t="s">
        <v>85</v>
      </c>
      <c r="C22" s="64" t="e">
        <f>VLOOKUP(Table12[[#This Row],[Venture Name]],#REF!,3,FALSE)</f>
        <v>#REF!</v>
      </c>
      <c r="D22" s="65" t="s">
        <v>400</v>
      </c>
      <c r="E22" s="55" t="s">
        <v>350</v>
      </c>
      <c r="F22" s="55" t="s">
        <v>355</v>
      </c>
      <c r="G22" s="5" t="s">
        <v>401</v>
      </c>
      <c r="H22" s="5" t="s">
        <v>402</v>
      </c>
      <c r="I22" s="5"/>
      <c r="J22" s="5" t="s">
        <v>348</v>
      </c>
      <c r="K22" s="5"/>
    </row>
    <row r="23" spans="1:11" ht="28.8" hidden="1" x14ac:dyDescent="0.3">
      <c r="A23" s="55" t="s">
        <v>28</v>
      </c>
      <c r="B23" s="55" t="s">
        <v>113</v>
      </c>
      <c r="C23" s="64" t="e">
        <f>VLOOKUP(Table12[[#This Row],[Venture Name]],#REF!,3,FALSE)</f>
        <v>#REF!</v>
      </c>
      <c r="D23" s="65" t="s">
        <v>382</v>
      </c>
      <c r="E23" s="55" t="s">
        <v>345</v>
      </c>
      <c r="F23" s="55" t="s">
        <v>352</v>
      </c>
      <c r="G23" s="5" t="s">
        <v>403</v>
      </c>
      <c r="H23" s="5" t="s">
        <v>357</v>
      </c>
      <c r="I23" s="5" t="s">
        <v>345</v>
      </c>
      <c r="J23" s="5" t="s">
        <v>359</v>
      </c>
      <c r="K23" s="5">
        <v>1</v>
      </c>
    </row>
    <row r="24" spans="1:11" ht="43.2" hidden="1" x14ac:dyDescent="0.3">
      <c r="A24" s="55" t="s">
        <v>28</v>
      </c>
      <c r="B24" s="55" t="s">
        <v>112</v>
      </c>
      <c r="C24" s="64" t="e">
        <f>VLOOKUP(Table12[[#This Row],[Venture Name]],#REF!,3,FALSE)</f>
        <v>#REF!</v>
      </c>
      <c r="D24" s="65" t="s">
        <v>382</v>
      </c>
      <c r="E24" s="55" t="s">
        <v>350</v>
      </c>
      <c r="F24" s="55" t="s">
        <v>351</v>
      </c>
      <c r="G24" s="5" t="s">
        <v>404</v>
      </c>
      <c r="H24" s="5" t="s">
        <v>367</v>
      </c>
      <c r="I24" s="5" t="s">
        <v>345</v>
      </c>
      <c r="J24" s="5" t="s">
        <v>359</v>
      </c>
      <c r="K24" s="5">
        <v>3</v>
      </c>
    </row>
    <row r="25" spans="1:11" ht="28.8" hidden="1" x14ac:dyDescent="0.3">
      <c r="A25" s="55" t="s">
        <v>75</v>
      </c>
      <c r="B25" s="55" t="s">
        <v>405</v>
      </c>
      <c r="C25" s="64" t="e">
        <f>VLOOKUP(Table12[[#This Row],[Venture Name]],#REF!,3,FALSE)</f>
        <v>#REF!</v>
      </c>
      <c r="D25" s="65" t="s">
        <v>406</v>
      </c>
      <c r="E25" s="55" t="s">
        <v>350</v>
      </c>
      <c r="F25" s="55" t="s">
        <v>351</v>
      </c>
      <c r="G25" s="5" t="s">
        <v>407</v>
      </c>
      <c r="H25" s="5"/>
      <c r="I25" s="5"/>
      <c r="J25" s="5" t="s">
        <v>348</v>
      </c>
      <c r="K25" s="5"/>
    </row>
    <row r="26" spans="1:11" ht="43.2" hidden="1" x14ac:dyDescent="0.3">
      <c r="A26" s="55" t="s">
        <v>28</v>
      </c>
      <c r="B26" s="55" t="s">
        <v>408</v>
      </c>
      <c r="C26" s="64" t="e">
        <f>VLOOKUP(Table12[[#This Row],[Venture Name]],#REF!,3,FALSE)</f>
        <v>#REF!</v>
      </c>
      <c r="D26" s="55" t="s">
        <v>409</v>
      </c>
      <c r="E26" s="55" t="s">
        <v>350</v>
      </c>
      <c r="F26" s="55" t="s">
        <v>351</v>
      </c>
      <c r="G26" s="5" t="s">
        <v>410</v>
      </c>
      <c r="H26" s="5" t="s">
        <v>357</v>
      </c>
      <c r="I26" s="5" t="s">
        <v>358</v>
      </c>
      <c r="J26" s="5" t="s">
        <v>359</v>
      </c>
      <c r="K26" s="5">
        <v>1</v>
      </c>
    </row>
    <row r="27" spans="1:11" ht="43.2" hidden="1" x14ac:dyDescent="0.3">
      <c r="A27" s="55" t="s">
        <v>39</v>
      </c>
      <c r="B27" s="55" t="s">
        <v>411</v>
      </c>
      <c r="C27" s="64" t="e">
        <f>VLOOKUP(Table12[[#This Row],[Venture Name]],#REF!,3,FALSE)</f>
        <v>#REF!</v>
      </c>
      <c r="D27" s="65" t="s">
        <v>412</v>
      </c>
      <c r="E27" s="55" t="s">
        <v>350</v>
      </c>
      <c r="F27" s="55" t="s">
        <v>351</v>
      </c>
      <c r="G27" s="5" t="s">
        <v>413</v>
      </c>
      <c r="H27" s="5" t="s">
        <v>367</v>
      </c>
      <c r="I27" s="5" t="s">
        <v>358</v>
      </c>
      <c r="J27" s="5" t="s">
        <v>359</v>
      </c>
      <c r="K27" s="5">
        <v>3</v>
      </c>
    </row>
    <row r="28" spans="1:11" ht="172.8" hidden="1" x14ac:dyDescent="0.3">
      <c r="A28" s="55" t="s">
        <v>48</v>
      </c>
      <c r="B28" s="55" t="s">
        <v>89</v>
      </c>
      <c r="C28" s="64" t="e">
        <f>VLOOKUP(Table12[[#This Row],[Venture Name]],#REF!,3,FALSE)</f>
        <v>#REF!</v>
      </c>
      <c r="D28" s="65" t="s">
        <v>414</v>
      </c>
      <c r="E28" s="55" t="s">
        <v>345</v>
      </c>
      <c r="F28" s="55" t="s">
        <v>352</v>
      </c>
      <c r="G28" s="5" t="s">
        <v>415</v>
      </c>
      <c r="H28" s="5" t="s">
        <v>380</v>
      </c>
      <c r="I28" s="5" t="s">
        <v>358</v>
      </c>
      <c r="J28" s="5" t="s">
        <v>359</v>
      </c>
      <c r="K28" s="5">
        <v>5</v>
      </c>
    </row>
    <row r="29" spans="1:11" ht="14.4" hidden="1" x14ac:dyDescent="0.3">
      <c r="A29" s="55" t="s">
        <v>48</v>
      </c>
      <c r="B29" s="55" t="s">
        <v>416</v>
      </c>
      <c r="C29" s="64" t="e">
        <f>VLOOKUP(Table12[[#This Row],[Venture Name]],#REF!,3,FALSE)</f>
        <v>#REF!</v>
      </c>
      <c r="D29" s="55"/>
      <c r="E29" s="55" t="s">
        <v>345</v>
      </c>
      <c r="F29" s="55" t="s">
        <v>351</v>
      </c>
      <c r="G29" s="5" t="s">
        <v>417</v>
      </c>
      <c r="H29" s="5" t="s">
        <v>390</v>
      </c>
      <c r="I29" s="5" t="s">
        <v>358</v>
      </c>
      <c r="J29" s="5" t="s">
        <v>359</v>
      </c>
      <c r="K29" s="5"/>
    </row>
    <row r="30" spans="1:11" ht="86.4" hidden="1" x14ac:dyDescent="0.3">
      <c r="A30" s="55" t="s">
        <v>66</v>
      </c>
      <c r="B30" s="55" t="s">
        <v>89</v>
      </c>
      <c r="C30" s="64" t="e">
        <f>VLOOKUP(Table12[[#This Row],[Venture Name]],#REF!,3,FALSE)</f>
        <v>#REF!</v>
      </c>
      <c r="D30" s="124" t="s">
        <v>418</v>
      </c>
      <c r="E30" s="55" t="s">
        <v>350</v>
      </c>
      <c r="F30" s="55" t="s">
        <v>351</v>
      </c>
      <c r="G30" s="5" t="s">
        <v>419</v>
      </c>
      <c r="H30" s="5" t="s">
        <v>357</v>
      </c>
      <c r="I30" s="5" t="s">
        <v>358</v>
      </c>
      <c r="J30" s="5" t="s">
        <v>359</v>
      </c>
      <c r="K30" s="5">
        <v>1</v>
      </c>
    </row>
    <row r="31" spans="1:11" ht="43.2" hidden="1" x14ac:dyDescent="0.3">
      <c r="A31" s="55" t="s">
        <v>25</v>
      </c>
      <c r="B31" s="55" t="s">
        <v>420</v>
      </c>
      <c r="C31" s="64" t="e">
        <f>VLOOKUP(Table12[[#This Row],[Venture Name]],#REF!,3,FALSE)</f>
        <v>#REF!</v>
      </c>
      <c r="D31" s="65" t="s">
        <v>421</v>
      </c>
      <c r="E31" s="55" t="s">
        <v>350</v>
      </c>
      <c r="F31" s="55" t="s">
        <v>351</v>
      </c>
      <c r="G31" s="5" t="s">
        <v>422</v>
      </c>
      <c r="H31" s="5" t="s">
        <v>380</v>
      </c>
      <c r="I31" s="5" t="s">
        <v>358</v>
      </c>
      <c r="J31" s="5" t="s">
        <v>359</v>
      </c>
      <c r="K31" s="5" t="s">
        <v>381</v>
      </c>
    </row>
    <row r="32" spans="1:11" ht="43.2" hidden="1" x14ac:dyDescent="0.3">
      <c r="A32" s="55" t="s">
        <v>25</v>
      </c>
      <c r="B32" s="55" t="s">
        <v>120</v>
      </c>
      <c r="C32" s="64" t="e">
        <f>VLOOKUP(Table12[[#This Row],[Venture Name]],#REF!,3,FALSE)</f>
        <v>#REF!</v>
      </c>
      <c r="D32" s="65" t="s">
        <v>423</v>
      </c>
      <c r="E32" s="55" t="s">
        <v>350</v>
      </c>
      <c r="F32" s="55" t="s">
        <v>351</v>
      </c>
      <c r="G32" s="5" t="s">
        <v>424</v>
      </c>
      <c r="H32" s="5" t="s">
        <v>380</v>
      </c>
      <c r="I32" s="5" t="s">
        <v>358</v>
      </c>
      <c r="J32" s="5" t="s">
        <v>359</v>
      </c>
      <c r="K32" s="5" t="s">
        <v>381</v>
      </c>
    </row>
    <row r="33" spans="1:11" ht="43.2" hidden="1" x14ac:dyDescent="0.3">
      <c r="A33" s="55" t="s">
        <v>23</v>
      </c>
      <c r="B33" s="55" t="s">
        <v>101</v>
      </c>
      <c r="C33" s="64" t="e">
        <f>VLOOKUP(Table12[[#This Row],[Venture Name]],#REF!,3,FALSE)</f>
        <v>#REF!</v>
      </c>
      <c r="D33" s="65" t="s">
        <v>425</v>
      </c>
      <c r="E33" s="55" t="s">
        <v>350</v>
      </c>
      <c r="F33" s="55" t="s">
        <v>351</v>
      </c>
      <c r="G33" s="5" t="s">
        <v>426</v>
      </c>
      <c r="H33" s="5" t="s">
        <v>357</v>
      </c>
      <c r="I33" s="5" t="s">
        <v>358</v>
      </c>
      <c r="J33" s="5" t="s">
        <v>359</v>
      </c>
      <c r="K33" s="5">
        <v>1</v>
      </c>
    </row>
    <row r="34" spans="1:11" ht="28.8" hidden="1" x14ac:dyDescent="0.3">
      <c r="A34" s="55" t="s">
        <v>23</v>
      </c>
      <c r="B34" s="55" t="s">
        <v>102</v>
      </c>
      <c r="C34" s="64" t="e">
        <f>VLOOKUP(Table12[[#This Row],[Venture Name]],#REF!,3,FALSE)</f>
        <v>#REF!</v>
      </c>
      <c r="D34" s="65" t="s">
        <v>427</v>
      </c>
      <c r="E34" s="55" t="s">
        <v>350</v>
      </c>
      <c r="F34" s="55" t="s">
        <v>351</v>
      </c>
      <c r="G34" s="5" t="s">
        <v>428</v>
      </c>
      <c r="H34" s="5" t="s">
        <v>367</v>
      </c>
      <c r="I34" s="5" t="s">
        <v>358</v>
      </c>
      <c r="J34" s="5" t="s">
        <v>359</v>
      </c>
      <c r="K34" s="5">
        <v>3</v>
      </c>
    </row>
    <row r="35" spans="1:11" ht="15" customHeight="1" x14ac:dyDescent="0.3">
      <c r="F35" s="63"/>
    </row>
    <row r="47" spans="1:11" ht="15" customHeight="1" x14ac:dyDescent="0.3">
      <c r="J47" s="72"/>
    </row>
  </sheetData>
  <conditionalFormatting sqref="A33">
    <cfRule type="duplicateValues" dxfId="19" priority="4"/>
  </conditionalFormatting>
  <conditionalFormatting sqref="A34">
    <cfRule type="duplicateValues" dxfId="18" priority="3"/>
  </conditionalFormatting>
  <dataValidations count="1">
    <dataValidation type="list" allowBlank="1" showInputMessage="1" showErrorMessage="1" sqref="A2:A34" xr:uid="{875A8D18-CC6F-4434-A16B-0F7C46FBE022}">
      <formula1>#REF!</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CCA23-AA12-4837-A1FE-E1EFF5613741}">
  <dimension ref="A1:P179"/>
  <sheetViews>
    <sheetView workbookViewId="0">
      <pane xSplit="1" ySplit="1" topLeftCell="B24" activePane="bottomRight" state="frozen"/>
      <selection pane="topRight" activeCell="B1" sqref="B1"/>
      <selection pane="bottomLeft" activeCell="A2" sqref="A2"/>
      <selection pane="bottomRight" activeCell="F188" sqref="F188"/>
    </sheetView>
  </sheetViews>
  <sheetFormatPr defaultColWidth="8.88671875" defaultRowHeight="14.4" x14ac:dyDescent="0.3"/>
  <cols>
    <col min="1" max="1" width="33.33203125" style="13" customWidth="1"/>
    <col min="2" max="2" width="18.88671875" style="11" customWidth="1"/>
    <col min="3" max="3" width="17.109375" style="11" customWidth="1"/>
    <col min="4" max="4" width="16.6640625" bestFit="1" customWidth="1"/>
    <col min="5" max="6" width="21.33203125" customWidth="1"/>
    <col min="7" max="7" width="44.6640625" style="7" customWidth="1"/>
    <col min="8" max="8" width="58.5546875" style="7" customWidth="1"/>
    <col min="9" max="10" width="21.33203125" style="13" customWidth="1"/>
    <col min="11" max="11" width="34.88671875" style="13" customWidth="1"/>
    <col min="12" max="12" width="21.33203125" style="11" customWidth="1"/>
    <col min="13" max="13" width="20.88671875" style="11" customWidth="1"/>
    <col min="14" max="14" width="23.44140625" style="7" customWidth="1"/>
    <col min="15" max="15" width="16.88671875" bestFit="1" customWidth="1"/>
    <col min="16" max="16" width="17.6640625" bestFit="1" customWidth="1"/>
  </cols>
  <sheetData>
    <row r="1" spans="1:16" ht="36.6" customHeight="1" x14ac:dyDescent="0.3">
      <c r="A1" s="585" t="s">
        <v>141</v>
      </c>
      <c r="B1" s="585" t="s">
        <v>142</v>
      </c>
      <c r="C1" s="586" t="s">
        <v>0</v>
      </c>
      <c r="D1" s="585" t="s">
        <v>143</v>
      </c>
      <c r="E1" s="585" t="s">
        <v>144</v>
      </c>
      <c r="F1" s="585" t="s">
        <v>1440</v>
      </c>
      <c r="G1" s="587" t="s">
        <v>1441</v>
      </c>
      <c r="H1" s="587" t="s">
        <v>1442</v>
      </c>
      <c r="I1" s="588" t="s">
        <v>1443</v>
      </c>
      <c r="J1" s="588" t="s">
        <v>1444</v>
      </c>
      <c r="K1" s="587" t="s">
        <v>1445</v>
      </c>
      <c r="L1" s="586" t="s">
        <v>1446</v>
      </c>
      <c r="M1" s="586" t="s">
        <v>145</v>
      </c>
      <c r="N1" s="587" t="s">
        <v>1447</v>
      </c>
      <c r="O1" s="15" t="s">
        <v>1448</v>
      </c>
      <c r="P1" s="15" t="s">
        <v>1449</v>
      </c>
    </row>
    <row r="2" spans="1:16" ht="20.399999999999999" hidden="1" customHeight="1" x14ac:dyDescent="0.3">
      <c r="A2" s="589" t="s">
        <v>34</v>
      </c>
      <c r="B2" s="590" t="s">
        <v>1450</v>
      </c>
      <c r="C2" s="591">
        <v>45839</v>
      </c>
      <c r="D2" s="592" t="s">
        <v>1451</v>
      </c>
      <c r="E2" s="592" t="s">
        <v>1452</v>
      </c>
      <c r="F2" s="593" t="s">
        <v>1453</v>
      </c>
      <c r="G2" s="594" t="s">
        <v>1454</v>
      </c>
      <c r="H2" s="595" t="s">
        <v>1455</v>
      </c>
      <c r="I2" s="592" t="s">
        <v>1453</v>
      </c>
      <c r="J2" s="596" t="s">
        <v>1456</v>
      </c>
      <c r="K2" s="597" t="s">
        <v>1457</v>
      </c>
      <c r="L2" s="132" t="s">
        <v>146</v>
      </c>
      <c r="M2" s="132" t="s">
        <v>147</v>
      </c>
      <c r="N2" s="595" t="s">
        <v>148</v>
      </c>
      <c r="O2" s="598" t="s">
        <v>1458</v>
      </c>
      <c r="P2" s="599">
        <v>46090</v>
      </c>
    </row>
    <row r="3" spans="1:16" ht="20.399999999999999" hidden="1" customHeight="1" x14ac:dyDescent="0.3">
      <c r="A3" s="600" t="s">
        <v>149</v>
      </c>
      <c r="B3" s="590" t="s">
        <v>1450</v>
      </c>
      <c r="C3" s="591">
        <v>45992</v>
      </c>
      <c r="D3" s="601" t="s">
        <v>1451</v>
      </c>
      <c r="E3" s="592" t="s">
        <v>1452</v>
      </c>
      <c r="F3" s="592"/>
      <c r="G3" s="602" t="s">
        <v>1459</v>
      </c>
      <c r="H3" s="603" t="s">
        <v>1460</v>
      </c>
      <c r="I3" s="604" t="s">
        <v>1461</v>
      </c>
      <c r="J3" s="601" t="s">
        <v>1462</v>
      </c>
      <c r="K3" s="16"/>
      <c r="L3" s="605" t="s">
        <v>1463</v>
      </c>
      <c r="M3" s="606" t="s">
        <v>1464</v>
      </c>
      <c r="N3" s="607" t="s">
        <v>1465</v>
      </c>
      <c r="O3" s="16" t="s">
        <v>1458</v>
      </c>
      <c r="P3" s="608">
        <v>46090</v>
      </c>
    </row>
    <row r="4" spans="1:16" ht="20.399999999999999" hidden="1" customHeight="1" x14ac:dyDescent="0.3">
      <c r="A4" s="590" t="s">
        <v>63</v>
      </c>
      <c r="B4" s="590" t="s">
        <v>1450</v>
      </c>
      <c r="C4" s="591">
        <v>45931</v>
      </c>
      <c r="D4" s="592" t="s">
        <v>1466</v>
      </c>
      <c r="E4" s="592" t="s">
        <v>1467</v>
      </c>
      <c r="F4" s="592"/>
      <c r="G4" s="609" t="s">
        <v>1468</v>
      </c>
      <c r="H4" s="610" t="s">
        <v>1469</v>
      </c>
      <c r="I4" s="611" t="s">
        <v>1470</v>
      </c>
      <c r="J4" s="611" t="s">
        <v>1471</v>
      </c>
      <c r="K4" s="612" t="s">
        <v>1472</v>
      </c>
      <c r="L4" s="132"/>
      <c r="M4" s="132"/>
      <c r="N4" s="595"/>
      <c r="O4" s="16" t="s">
        <v>1458</v>
      </c>
      <c r="P4" s="608">
        <v>46090</v>
      </c>
    </row>
    <row r="5" spans="1:16" ht="20.399999999999999" hidden="1" customHeight="1" x14ac:dyDescent="0.3">
      <c r="A5" s="590" t="s">
        <v>22</v>
      </c>
      <c r="B5" s="590" t="s">
        <v>1450</v>
      </c>
      <c r="C5" s="591">
        <v>45901</v>
      </c>
      <c r="D5" s="592" t="s">
        <v>1451</v>
      </c>
      <c r="E5" s="592" t="s">
        <v>1452</v>
      </c>
      <c r="F5" s="593"/>
      <c r="G5" s="609" t="s">
        <v>1473</v>
      </c>
      <c r="H5" s="595" t="s">
        <v>1474</v>
      </c>
      <c r="I5" s="592" t="s">
        <v>1475</v>
      </c>
      <c r="J5" s="592" t="s">
        <v>1476</v>
      </c>
      <c r="K5" s="612" t="s">
        <v>1477</v>
      </c>
      <c r="L5" s="132" t="s">
        <v>150</v>
      </c>
      <c r="M5" s="132" t="s">
        <v>151</v>
      </c>
      <c r="N5" s="595">
        <v>9881472945</v>
      </c>
      <c r="O5" s="16" t="s">
        <v>1458</v>
      </c>
      <c r="P5" s="608">
        <v>46090</v>
      </c>
    </row>
    <row r="6" spans="1:16" ht="20.399999999999999" hidden="1" customHeight="1" x14ac:dyDescent="0.3">
      <c r="A6" s="590" t="s">
        <v>152</v>
      </c>
      <c r="B6" s="590" t="s">
        <v>1450</v>
      </c>
      <c r="C6" s="591">
        <v>45931</v>
      </c>
      <c r="D6" s="592" t="s">
        <v>1478</v>
      </c>
      <c r="E6" s="592" t="s">
        <v>1452</v>
      </c>
      <c r="F6" s="592"/>
      <c r="G6" s="609" t="s">
        <v>1479</v>
      </c>
      <c r="H6" s="610" t="s">
        <v>1480</v>
      </c>
      <c r="I6" s="611" t="s">
        <v>1481</v>
      </c>
      <c r="J6" s="611" t="s">
        <v>1482</v>
      </c>
      <c r="K6" s="612" t="s">
        <v>1483</v>
      </c>
      <c r="L6" s="132"/>
      <c r="M6" s="132"/>
      <c r="N6" s="595"/>
      <c r="O6" s="16" t="s">
        <v>1458</v>
      </c>
      <c r="P6" s="608">
        <v>46090</v>
      </c>
    </row>
    <row r="7" spans="1:16" ht="20.399999999999999" hidden="1" customHeight="1" x14ac:dyDescent="0.3">
      <c r="A7" s="590" t="s">
        <v>35</v>
      </c>
      <c r="B7" s="590" t="s">
        <v>1450</v>
      </c>
      <c r="C7" s="591">
        <v>45809</v>
      </c>
      <c r="D7" s="592" t="s">
        <v>1466</v>
      </c>
      <c r="E7" s="592" t="s">
        <v>1467</v>
      </c>
      <c r="F7" s="592" t="s">
        <v>1484</v>
      </c>
      <c r="G7" s="613" t="s">
        <v>1485</v>
      </c>
      <c r="H7" s="614" t="s">
        <v>1486</v>
      </c>
      <c r="I7" s="615" t="s">
        <v>1484</v>
      </c>
      <c r="J7" s="615" t="s">
        <v>1456</v>
      </c>
      <c r="K7" s="616" t="s">
        <v>1487</v>
      </c>
      <c r="L7" s="132" t="s">
        <v>153</v>
      </c>
      <c r="M7" s="132" t="s">
        <v>154</v>
      </c>
      <c r="N7" s="595" t="s">
        <v>155</v>
      </c>
      <c r="O7" s="16" t="s">
        <v>1488</v>
      </c>
      <c r="P7" s="608">
        <v>46090</v>
      </c>
    </row>
    <row r="8" spans="1:16" ht="20.399999999999999" hidden="1" customHeight="1" x14ac:dyDescent="0.3">
      <c r="A8" s="590" t="s">
        <v>156</v>
      </c>
      <c r="B8" s="590" t="s">
        <v>1450</v>
      </c>
      <c r="C8" s="591">
        <v>45962</v>
      </c>
      <c r="D8" s="617" t="s">
        <v>1489</v>
      </c>
      <c r="E8" s="592" t="s">
        <v>1490</v>
      </c>
      <c r="F8" s="592"/>
      <c r="G8" s="602" t="s">
        <v>1491</v>
      </c>
      <c r="H8" s="618" t="s">
        <v>1492</v>
      </c>
      <c r="I8" s="617" t="s">
        <v>1493</v>
      </c>
      <c r="J8" s="617" t="s">
        <v>1482</v>
      </c>
      <c r="K8" s="16"/>
      <c r="L8" s="132"/>
      <c r="M8" s="132"/>
      <c r="N8" s="595"/>
      <c r="O8" s="16" t="s">
        <v>1458</v>
      </c>
      <c r="P8" s="599">
        <v>46087</v>
      </c>
    </row>
    <row r="9" spans="1:16" ht="20.399999999999999" hidden="1" customHeight="1" x14ac:dyDescent="0.3">
      <c r="A9" s="600" t="s">
        <v>157</v>
      </c>
      <c r="B9" s="590" t="s">
        <v>1450</v>
      </c>
      <c r="C9" s="591">
        <v>45992</v>
      </c>
      <c r="D9" s="601" t="s">
        <v>1466</v>
      </c>
      <c r="E9" s="592" t="s">
        <v>1467</v>
      </c>
      <c r="F9" s="592"/>
      <c r="G9" s="602" t="s">
        <v>1494</v>
      </c>
      <c r="H9" s="603" t="s">
        <v>1495</v>
      </c>
      <c r="I9" s="619" t="s">
        <v>1496</v>
      </c>
      <c r="J9" s="619" t="s">
        <v>1482</v>
      </c>
      <c r="K9" s="16"/>
      <c r="L9" s="132" t="s">
        <v>1497</v>
      </c>
      <c r="M9" s="606" t="s">
        <v>1498</v>
      </c>
      <c r="N9" s="620" t="s">
        <v>1499</v>
      </c>
      <c r="O9" s="16" t="s">
        <v>1458</v>
      </c>
      <c r="P9" s="608">
        <v>46090</v>
      </c>
    </row>
    <row r="10" spans="1:16" ht="20.399999999999999" hidden="1" customHeight="1" x14ac:dyDescent="0.3">
      <c r="A10" s="600" t="s">
        <v>158</v>
      </c>
      <c r="B10" s="590" t="s">
        <v>1450</v>
      </c>
      <c r="C10" s="621">
        <v>45992</v>
      </c>
      <c r="D10" s="622" t="s">
        <v>1466</v>
      </c>
      <c r="E10" s="592" t="s">
        <v>1467</v>
      </c>
      <c r="F10" s="590"/>
      <c r="G10" s="623" t="s">
        <v>1500</v>
      </c>
      <c r="H10" s="603" t="s">
        <v>1501</v>
      </c>
      <c r="I10" s="622" t="s">
        <v>1502</v>
      </c>
      <c r="J10" s="622" t="s">
        <v>1482</v>
      </c>
      <c r="K10" s="16"/>
      <c r="L10" s="132" t="s">
        <v>1503</v>
      </c>
      <c r="M10" s="624" t="s">
        <v>1504</v>
      </c>
      <c r="N10" s="625" t="s">
        <v>1505</v>
      </c>
      <c r="O10" s="16" t="s">
        <v>1458</v>
      </c>
      <c r="P10" s="608">
        <v>46090</v>
      </c>
    </row>
    <row r="11" spans="1:16" ht="20.399999999999999" hidden="1" customHeight="1" x14ac:dyDescent="0.3">
      <c r="A11" s="590" t="s">
        <v>1506</v>
      </c>
      <c r="B11" s="37" t="s">
        <v>1450</v>
      </c>
      <c r="C11" s="591">
        <v>45992</v>
      </c>
      <c r="D11" s="592" t="s">
        <v>1489</v>
      </c>
      <c r="E11" s="592" t="s">
        <v>1490</v>
      </c>
      <c r="F11" s="626"/>
      <c r="G11" s="132"/>
      <c r="H11" s="595"/>
      <c r="I11" s="592"/>
      <c r="J11" s="592"/>
      <c r="K11" s="16"/>
      <c r="L11" s="132"/>
      <c r="M11" s="132"/>
      <c r="N11" s="595"/>
      <c r="O11" s="16" t="s">
        <v>1458</v>
      </c>
      <c r="P11" s="608">
        <v>46087</v>
      </c>
    </row>
    <row r="12" spans="1:16" ht="20.399999999999999" hidden="1" customHeight="1" x14ac:dyDescent="0.3">
      <c r="A12" s="590" t="s">
        <v>68</v>
      </c>
      <c r="B12" s="590" t="s">
        <v>1450</v>
      </c>
      <c r="C12" s="591">
        <v>45839</v>
      </c>
      <c r="D12" s="592" t="s">
        <v>1489</v>
      </c>
      <c r="E12" s="592" t="s">
        <v>1490</v>
      </c>
      <c r="F12" s="626" t="s">
        <v>1507</v>
      </c>
      <c r="G12" s="609" t="s">
        <v>1508</v>
      </c>
      <c r="H12" s="595" t="s">
        <v>1509</v>
      </c>
      <c r="I12" s="592" t="s">
        <v>1507</v>
      </c>
      <c r="J12" s="592" t="s">
        <v>1510</v>
      </c>
      <c r="K12" s="16"/>
      <c r="L12" s="132" t="s">
        <v>159</v>
      </c>
      <c r="M12" s="132" t="s">
        <v>160</v>
      </c>
      <c r="N12" s="595" t="s">
        <v>161</v>
      </c>
      <c r="O12" s="16" t="s">
        <v>1458</v>
      </c>
      <c r="P12" s="608">
        <v>46087</v>
      </c>
    </row>
    <row r="13" spans="1:16" ht="20.399999999999999" hidden="1" customHeight="1" x14ac:dyDescent="0.3">
      <c r="A13" s="600" t="s">
        <v>162</v>
      </c>
      <c r="B13" s="590" t="s">
        <v>1450</v>
      </c>
      <c r="C13" s="591">
        <v>45992</v>
      </c>
      <c r="D13" s="601" t="s">
        <v>1466</v>
      </c>
      <c r="E13" s="592" t="s">
        <v>1467</v>
      </c>
      <c r="F13" s="627"/>
      <c r="G13" s="602" t="s">
        <v>1511</v>
      </c>
      <c r="H13" s="628" t="s">
        <v>1512</v>
      </c>
      <c r="I13" s="619"/>
      <c r="J13" s="619" t="s">
        <v>1482</v>
      </c>
      <c r="K13" s="16"/>
      <c r="L13" s="132" t="s">
        <v>1513</v>
      </c>
      <c r="M13" s="606" t="s">
        <v>1514</v>
      </c>
      <c r="N13" s="620">
        <v>8939444456</v>
      </c>
      <c r="O13" s="16" t="s">
        <v>1458</v>
      </c>
      <c r="P13" s="608">
        <v>46090</v>
      </c>
    </row>
    <row r="14" spans="1:16" ht="20.399999999999999" hidden="1" customHeight="1" x14ac:dyDescent="0.3">
      <c r="A14" s="600" t="s">
        <v>163</v>
      </c>
      <c r="B14" s="590" t="s">
        <v>1450</v>
      </c>
      <c r="C14" s="591">
        <v>45992</v>
      </c>
      <c r="D14" s="601" t="s">
        <v>1451</v>
      </c>
      <c r="E14" s="592" t="s">
        <v>1452</v>
      </c>
      <c r="F14" s="592"/>
      <c r="G14" s="602" t="s">
        <v>1515</v>
      </c>
      <c r="H14" s="603" t="s">
        <v>1516</v>
      </c>
      <c r="I14" s="601" t="s">
        <v>1493</v>
      </c>
      <c r="J14" s="601" t="s">
        <v>1517</v>
      </c>
      <c r="K14" s="16"/>
      <c r="L14" s="132" t="s">
        <v>1518</v>
      </c>
      <c r="M14" s="606" t="s">
        <v>1519</v>
      </c>
      <c r="N14" s="629" t="s">
        <v>163</v>
      </c>
      <c r="O14" s="16" t="s">
        <v>1458</v>
      </c>
      <c r="P14" s="608">
        <v>46090</v>
      </c>
    </row>
    <row r="15" spans="1:16" ht="20.399999999999999" hidden="1" customHeight="1" x14ac:dyDescent="0.3">
      <c r="A15" s="590" t="s">
        <v>36</v>
      </c>
      <c r="B15" s="590" t="s">
        <v>1450</v>
      </c>
      <c r="C15" s="591">
        <v>45901</v>
      </c>
      <c r="D15" s="592" t="s">
        <v>1466</v>
      </c>
      <c r="E15" s="592" t="s">
        <v>1467</v>
      </c>
      <c r="F15" s="592"/>
      <c r="G15" s="609" t="s">
        <v>1520</v>
      </c>
      <c r="H15" s="595" t="s">
        <v>1521</v>
      </c>
      <c r="I15" s="630" t="s">
        <v>1522</v>
      </c>
      <c r="J15" s="592" t="s">
        <v>1482</v>
      </c>
      <c r="K15" s="612" t="s">
        <v>1523</v>
      </c>
      <c r="L15" s="132"/>
      <c r="M15" s="132"/>
      <c r="N15" s="595"/>
      <c r="O15" s="16" t="s">
        <v>1488</v>
      </c>
      <c r="P15" s="608">
        <v>46090</v>
      </c>
    </row>
    <row r="16" spans="1:16" ht="20.399999999999999" hidden="1" customHeight="1" x14ac:dyDescent="0.3">
      <c r="A16" s="590" t="s">
        <v>164</v>
      </c>
      <c r="B16" s="590" t="s">
        <v>1450</v>
      </c>
      <c r="C16" s="591">
        <v>45870</v>
      </c>
      <c r="D16" s="592" t="s">
        <v>1489</v>
      </c>
      <c r="E16" s="592" t="s">
        <v>1490</v>
      </c>
      <c r="F16" s="592"/>
      <c r="G16" s="132" t="s">
        <v>1524</v>
      </c>
      <c r="H16" s="595" t="s">
        <v>1525</v>
      </c>
      <c r="I16" s="592" t="s">
        <v>1526</v>
      </c>
      <c r="J16" s="592" t="s">
        <v>1527</v>
      </c>
      <c r="K16" s="16"/>
      <c r="L16" s="132"/>
      <c r="M16" s="132"/>
      <c r="N16" s="595"/>
      <c r="O16" s="16" t="s">
        <v>1458</v>
      </c>
      <c r="P16" s="608">
        <v>46087</v>
      </c>
    </row>
    <row r="17" spans="1:16" ht="20.399999999999999" hidden="1" customHeight="1" x14ac:dyDescent="0.3">
      <c r="A17" s="590" t="s">
        <v>57</v>
      </c>
      <c r="B17" s="590" t="s">
        <v>1450</v>
      </c>
      <c r="C17" s="591">
        <v>45809</v>
      </c>
      <c r="D17" s="592" t="s">
        <v>1451</v>
      </c>
      <c r="E17" s="592" t="s">
        <v>1452</v>
      </c>
      <c r="F17" s="592" t="s">
        <v>1528</v>
      </c>
      <c r="G17" s="613" t="s">
        <v>1529</v>
      </c>
      <c r="H17" s="631" t="s">
        <v>1530</v>
      </c>
      <c r="I17" s="615" t="s">
        <v>1528</v>
      </c>
      <c r="J17" s="615" t="s">
        <v>1456</v>
      </c>
      <c r="K17" s="616" t="s">
        <v>1531</v>
      </c>
      <c r="L17" s="132" t="s">
        <v>165</v>
      </c>
      <c r="M17" s="132" t="s">
        <v>166</v>
      </c>
      <c r="N17" s="595" t="s">
        <v>167</v>
      </c>
      <c r="O17" s="16" t="s">
        <v>1458</v>
      </c>
      <c r="P17" s="608">
        <v>46090</v>
      </c>
    </row>
    <row r="18" spans="1:16" ht="20.399999999999999" hidden="1" customHeight="1" x14ac:dyDescent="0.3">
      <c r="A18" s="37" t="s">
        <v>168</v>
      </c>
      <c r="B18" s="590" t="s">
        <v>1450</v>
      </c>
      <c r="C18" s="591">
        <v>45992</v>
      </c>
      <c r="D18" s="601" t="s">
        <v>1489</v>
      </c>
      <c r="E18" s="592" t="s">
        <v>1490</v>
      </c>
      <c r="F18" s="592"/>
      <c r="G18" s="602" t="s">
        <v>1532</v>
      </c>
      <c r="H18" s="603" t="s">
        <v>1533</v>
      </c>
      <c r="I18" s="601" t="s">
        <v>1534</v>
      </c>
      <c r="J18" s="601" t="s">
        <v>1482</v>
      </c>
      <c r="K18" s="16"/>
      <c r="L18" s="132" t="s">
        <v>1535</v>
      </c>
      <c r="M18" s="606" t="s">
        <v>1536</v>
      </c>
      <c r="N18" s="629">
        <v>9727255660</v>
      </c>
      <c r="O18" s="16" t="s">
        <v>1458</v>
      </c>
      <c r="P18" s="608">
        <v>46087</v>
      </c>
    </row>
    <row r="19" spans="1:16" ht="20.399999999999999" hidden="1" customHeight="1" x14ac:dyDescent="0.3">
      <c r="A19" s="590" t="s">
        <v>65</v>
      </c>
      <c r="B19" s="590" t="s">
        <v>1450</v>
      </c>
      <c r="C19" s="591">
        <v>45962</v>
      </c>
      <c r="D19" s="617" t="s">
        <v>1489</v>
      </c>
      <c r="E19" s="592" t="s">
        <v>1490</v>
      </c>
      <c r="F19" s="592"/>
      <c r="G19" s="602" t="s">
        <v>1537</v>
      </c>
      <c r="H19" s="618" t="s">
        <v>1538</v>
      </c>
      <c r="I19" s="617" t="s">
        <v>1539</v>
      </c>
      <c r="J19" s="617" t="s">
        <v>1482</v>
      </c>
      <c r="K19" s="16"/>
      <c r="L19" s="132"/>
      <c r="M19" s="132"/>
      <c r="N19" s="595"/>
      <c r="O19" s="16" t="s">
        <v>1458</v>
      </c>
      <c r="P19" s="608">
        <v>46087</v>
      </c>
    </row>
    <row r="20" spans="1:16" ht="20.399999999999999" hidden="1" customHeight="1" x14ac:dyDescent="0.3">
      <c r="A20" s="590" t="s">
        <v>69</v>
      </c>
      <c r="B20" s="590" t="s">
        <v>1450</v>
      </c>
      <c r="C20" s="591">
        <v>45901</v>
      </c>
      <c r="D20" s="592" t="s">
        <v>1451</v>
      </c>
      <c r="E20" s="592" t="s">
        <v>1452</v>
      </c>
      <c r="F20" s="592"/>
      <c r="G20" s="609" t="s">
        <v>1540</v>
      </c>
      <c r="H20" s="595" t="s">
        <v>1541</v>
      </c>
      <c r="I20" s="592" t="s">
        <v>1542</v>
      </c>
      <c r="J20" s="592" t="s">
        <v>1527</v>
      </c>
      <c r="K20" s="612" t="s">
        <v>1543</v>
      </c>
      <c r="L20" s="132"/>
      <c r="M20" s="132"/>
      <c r="N20" s="595"/>
      <c r="O20" s="16" t="s">
        <v>1458</v>
      </c>
      <c r="P20" s="608">
        <v>46090</v>
      </c>
    </row>
    <row r="21" spans="1:16" ht="20.399999999999999" hidden="1" customHeight="1" x14ac:dyDescent="0.3">
      <c r="A21" s="590" t="s">
        <v>169</v>
      </c>
      <c r="B21" s="590" t="s">
        <v>1450</v>
      </c>
      <c r="C21" s="591">
        <v>45839</v>
      </c>
      <c r="D21" s="592" t="s">
        <v>1451</v>
      </c>
      <c r="E21" s="592" t="s">
        <v>1452</v>
      </c>
      <c r="F21" s="592" t="s">
        <v>1453</v>
      </c>
      <c r="G21" s="594" t="s">
        <v>1544</v>
      </c>
      <c r="H21" s="595" t="s">
        <v>1545</v>
      </c>
      <c r="I21" s="592" t="s">
        <v>1453</v>
      </c>
      <c r="J21" s="596" t="s">
        <v>1456</v>
      </c>
      <c r="K21" s="16"/>
      <c r="L21" s="132"/>
      <c r="M21" s="132"/>
      <c r="N21" s="595"/>
      <c r="O21" s="16" t="s">
        <v>1458</v>
      </c>
      <c r="P21" s="608">
        <v>46090</v>
      </c>
    </row>
    <row r="22" spans="1:16" ht="20.399999999999999" hidden="1" customHeight="1" x14ac:dyDescent="0.3">
      <c r="A22" s="590" t="s">
        <v>72</v>
      </c>
      <c r="B22" s="590" t="s">
        <v>1450</v>
      </c>
      <c r="C22" s="591">
        <v>45870</v>
      </c>
      <c r="D22" s="592" t="s">
        <v>1451</v>
      </c>
      <c r="E22" s="592" t="s">
        <v>1452</v>
      </c>
      <c r="F22" s="592"/>
      <c r="G22" s="132" t="s">
        <v>1546</v>
      </c>
      <c r="H22" s="595" t="s">
        <v>1547</v>
      </c>
      <c r="I22" s="592" t="s">
        <v>1548</v>
      </c>
      <c r="J22" s="592" t="s">
        <v>1527</v>
      </c>
      <c r="K22" s="16"/>
      <c r="L22" s="132"/>
      <c r="M22" s="132"/>
      <c r="N22" s="595"/>
      <c r="O22" s="16" t="s">
        <v>1458</v>
      </c>
      <c r="P22" s="608">
        <v>46090</v>
      </c>
    </row>
    <row r="23" spans="1:16" ht="20.399999999999999" hidden="1" customHeight="1" x14ac:dyDescent="0.3">
      <c r="A23" s="590" t="s">
        <v>170</v>
      </c>
      <c r="B23" s="600" t="s">
        <v>1450</v>
      </c>
      <c r="C23" s="591">
        <v>45992</v>
      </c>
      <c r="D23" s="592" t="s">
        <v>1466</v>
      </c>
      <c r="E23" s="592" t="s">
        <v>1467</v>
      </c>
      <c r="F23" s="592"/>
      <c r="G23" s="53" t="s">
        <v>1549</v>
      </c>
      <c r="H23" s="595" t="s">
        <v>1550</v>
      </c>
      <c r="I23" s="592"/>
      <c r="J23" s="592"/>
      <c r="K23" s="16"/>
      <c r="L23" s="132"/>
      <c r="M23" s="132"/>
      <c r="N23" s="595"/>
      <c r="O23" s="16" t="s">
        <v>1458</v>
      </c>
      <c r="P23" s="608">
        <v>46090</v>
      </c>
    </row>
    <row r="24" spans="1:16" ht="20.399999999999999" customHeight="1" x14ac:dyDescent="0.3">
      <c r="A24" s="590" t="s">
        <v>76</v>
      </c>
      <c r="B24" s="590" t="s">
        <v>1450</v>
      </c>
      <c r="C24" s="591">
        <v>45870</v>
      </c>
      <c r="D24" s="592" t="s">
        <v>1466</v>
      </c>
      <c r="E24" s="592" t="s">
        <v>1467</v>
      </c>
      <c r="F24" s="592"/>
      <c r="G24" s="132" t="s">
        <v>1551</v>
      </c>
      <c r="H24" s="595" t="s">
        <v>1552</v>
      </c>
      <c r="I24" s="592" t="s">
        <v>1553</v>
      </c>
      <c r="J24" s="592" t="s">
        <v>1482</v>
      </c>
      <c r="K24" s="632" t="s">
        <v>1554</v>
      </c>
      <c r="L24" s="132" t="s">
        <v>171</v>
      </c>
      <c r="M24" s="132" t="s">
        <v>172</v>
      </c>
      <c r="N24" s="595" t="s">
        <v>173</v>
      </c>
      <c r="O24" s="16" t="s">
        <v>1488</v>
      </c>
      <c r="P24" s="608">
        <v>46090</v>
      </c>
    </row>
    <row r="25" spans="1:16" ht="20.399999999999999" hidden="1" customHeight="1" x14ac:dyDescent="0.3">
      <c r="A25" s="600" t="s">
        <v>174</v>
      </c>
      <c r="B25" s="590" t="s">
        <v>1450</v>
      </c>
      <c r="C25" s="591">
        <v>45992</v>
      </c>
      <c r="D25" s="601" t="s">
        <v>1466</v>
      </c>
      <c r="E25" s="592" t="s">
        <v>1467</v>
      </c>
      <c r="F25" s="592"/>
      <c r="G25" s="602" t="s">
        <v>1555</v>
      </c>
      <c r="H25" s="603" t="s">
        <v>1556</v>
      </c>
      <c r="I25" s="601" t="s">
        <v>1557</v>
      </c>
      <c r="J25" s="601" t="s">
        <v>1482</v>
      </c>
      <c r="K25" s="16"/>
      <c r="L25" s="605" t="s">
        <v>1558</v>
      </c>
      <c r="M25" s="606" t="s">
        <v>1559</v>
      </c>
      <c r="N25" s="629">
        <v>7010105019</v>
      </c>
      <c r="O25" s="16" t="s">
        <v>1458</v>
      </c>
      <c r="P25" s="608">
        <v>46090</v>
      </c>
    </row>
    <row r="26" spans="1:16" ht="20.399999999999999" hidden="1" customHeight="1" x14ac:dyDescent="0.3">
      <c r="A26" s="590" t="s">
        <v>43</v>
      </c>
      <c r="B26" s="590" t="s">
        <v>1450</v>
      </c>
      <c r="C26" s="591">
        <v>45870</v>
      </c>
      <c r="D26" s="592" t="s">
        <v>1451</v>
      </c>
      <c r="E26" s="592" t="s">
        <v>1452</v>
      </c>
      <c r="F26" s="592"/>
      <c r="G26" s="132" t="s">
        <v>1560</v>
      </c>
      <c r="H26" s="595" t="s">
        <v>1561</v>
      </c>
      <c r="I26" s="592" t="s">
        <v>1562</v>
      </c>
      <c r="J26" s="592" t="s">
        <v>1527</v>
      </c>
      <c r="K26" s="16"/>
      <c r="L26" s="132"/>
      <c r="M26" s="132"/>
      <c r="N26" s="595"/>
      <c r="O26" s="16" t="s">
        <v>1458</v>
      </c>
      <c r="P26" s="608">
        <v>46090</v>
      </c>
    </row>
    <row r="27" spans="1:16" ht="20.399999999999999" hidden="1" customHeight="1" x14ac:dyDescent="0.3">
      <c r="A27" s="590" t="s">
        <v>62</v>
      </c>
      <c r="B27" s="590" t="s">
        <v>1450</v>
      </c>
      <c r="C27" s="591">
        <v>45901</v>
      </c>
      <c r="D27" s="592" t="s">
        <v>1466</v>
      </c>
      <c r="E27" s="592" t="s">
        <v>1467</v>
      </c>
      <c r="F27" s="592"/>
      <c r="G27" s="609" t="s">
        <v>1563</v>
      </c>
      <c r="H27" s="595" t="s">
        <v>1564</v>
      </c>
      <c r="I27" s="592" t="s">
        <v>1565</v>
      </c>
      <c r="J27" s="592" t="s">
        <v>1482</v>
      </c>
      <c r="K27" s="612" t="s">
        <v>1566</v>
      </c>
      <c r="L27" s="132"/>
      <c r="M27" s="132"/>
      <c r="N27" s="595"/>
      <c r="O27" s="16" t="s">
        <v>1488</v>
      </c>
      <c r="P27" s="608">
        <v>46090</v>
      </c>
    </row>
    <row r="28" spans="1:16" ht="20.399999999999999" hidden="1" customHeight="1" x14ac:dyDescent="0.3">
      <c r="A28" s="590" t="s">
        <v>175</v>
      </c>
      <c r="B28" s="590" t="s">
        <v>1450</v>
      </c>
      <c r="C28" s="591">
        <v>45870</v>
      </c>
      <c r="D28" s="592" t="s">
        <v>1489</v>
      </c>
      <c r="E28" s="592" t="s">
        <v>1490</v>
      </c>
      <c r="F28" s="592"/>
      <c r="G28" s="132" t="s">
        <v>1567</v>
      </c>
      <c r="H28" s="595" t="s">
        <v>1568</v>
      </c>
      <c r="I28" s="592" t="s">
        <v>1569</v>
      </c>
      <c r="J28" s="592" t="s">
        <v>1527</v>
      </c>
      <c r="K28" s="16" t="s">
        <v>1570</v>
      </c>
      <c r="L28" s="132"/>
      <c r="M28" s="132"/>
      <c r="N28" s="595"/>
      <c r="O28" s="16" t="s">
        <v>1458</v>
      </c>
      <c r="P28" s="608">
        <v>46087</v>
      </c>
    </row>
    <row r="29" spans="1:16" ht="20.399999999999999" hidden="1" customHeight="1" x14ac:dyDescent="0.3">
      <c r="A29" s="590" t="s">
        <v>176</v>
      </c>
      <c r="B29" s="590" t="s">
        <v>1450</v>
      </c>
      <c r="C29" s="591">
        <v>45931</v>
      </c>
      <c r="D29" s="592" t="s">
        <v>1451</v>
      </c>
      <c r="E29" s="592" t="s">
        <v>1452</v>
      </c>
      <c r="F29" s="592"/>
      <c r="G29" s="609" t="s">
        <v>1571</v>
      </c>
      <c r="H29" s="610" t="s">
        <v>1572</v>
      </c>
      <c r="I29" s="611" t="s">
        <v>1573</v>
      </c>
      <c r="J29" s="611" t="s">
        <v>1476</v>
      </c>
      <c r="K29" s="612" t="s">
        <v>1574</v>
      </c>
      <c r="L29" s="132"/>
      <c r="M29" s="132"/>
      <c r="N29" s="595"/>
      <c r="O29" s="16" t="s">
        <v>1458</v>
      </c>
      <c r="P29" s="608">
        <v>46090</v>
      </c>
    </row>
    <row r="30" spans="1:16" ht="20.399999999999999" hidden="1" customHeight="1" x14ac:dyDescent="0.3">
      <c r="A30" s="590" t="s">
        <v>177</v>
      </c>
      <c r="B30" s="590" t="s">
        <v>1450</v>
      </c>
      <c r="C30" s="591">
        <v>45870</v>
      </c>
      <c r="D30" s="592" t="s">
        <v>1489</v>
      </c>
      <c r="E30" s="592" t="s">
        <v>1490</v>
      </c>
      <c r="F30" s="592"/>
      <c r="G30" s="132" t="s">
        <v>1575</v>
      </c>
      <c r="H30" s="595" t="s">
        <v>1576</v>
      </c>
      <c r="I30" s="592" t="s">
        <v>1577</v>
      </c>
      <c r="J30" s="592" t="s">
        <v>1482</v>
      </c>
      <c r="K30" s="16" t="s">
        <v>1578</v>
      </c>
      <c r="L30" s="132"/>
      <c r="M30" s="132"/>
      <c r="N30" s="595"/>
      <c r="O30" s="16" t="s">
        <v>1458</v>
      </c>
      <c r="P30" s="608">
        <v>46087</v>
      </c>
    </row>
    <row r="31" spans="1:16" ht="20.399999999999999" hidden="1" customHeight="1" x14ac:dyDescent="0.3">
      <c r="A31" s="590" t="s">
        <v>70</v>
      </c>
      <c r="B31" s="590" t="s">
        <v>1450</v>
      </c>
      <c r="C31" s="591">
        <v>45962</v>
      </c>
      <c r="D31" s="617" t="s">
        <v>1489</v>
      </c>
      <c r="E31" s="592" t="s">
        <v>1490</v>
      </c>
      <c r="F31" s="592"/>
      <c r="G31" s="602" t="s">
        <v>1579</v>
      </c>
      <c r="H31" s="618" t="s">
        <v>1580</v>
      </c>
      <c r="I31" s="617" t="s">
        <v>1581</v>
      </c>
      <c r="J31" s="617" t="s">
        <v>1482</v>
      </c>
      <c r="K31" s="16"/>
      <c r="L31" s="132"/>
      <c r="M31" s="132"/>
      <c r="N31" s="595"/>
      <c r="O31" s="16" t="s">
        <v>1458</v>
      </c>
      <c r="P31" s="599">
        <v>46087</v>
      </c>
    </row>
    <row r="32" spans="1:16" ht="20.399999999999999" hidden="1" customHeight="1" x14ac:dyDescent="0.3">
      <c r="A32" s="590" t="s">
        <v>30</v>
      </c>
      <c r="B32" s="590" t="s">
        <v>1450</v>
      </c>
      <c r="C32" s="591">
        <v>45839</v>
      </c>
      <c r="D32" s="592" t="s">
        <v>1451</v>
      </c>
      <c r="E32" s="592" t="s">
        <v>1452</v>
      </c>
      <c r="F32" s="592" t="s">
        <v>1582</v>
      </c>
      <c r="G32" s="602" t="s">
        <v>1583</v>
      </c>
      <c r="H32" s="633" t="s">
        <v>1584</v>
      </c>
      <c r="I32" s="617" t="s">
        <v>1582</v>
      </c>
      <c r="J32" s="617" t="s">
        <v>1585</v>
      </c>
      <c r="K32" s="18" t="s">
        <v>1586</v>
      </c>
      <c r="L32" s="132" t="s">
        <v>178</v>
      </c>
      <c r="M32" s="132" t="s">
        <v>179</v>
      </c>
      <c r="N32" s="595" t="s">
        <v>180</v>
      </c>
      <c r="O32" s="16" t="s">
        <v>1458</v>
      </c>
      <c r="P32" s="608">
        <v>46090</v>
      </c>
    </row>
    <row r="33" spans="1:16" ht="20.399999999999999" hidden="1" customHeight="1" x14ac:dyDescent="0.3">
      <c r="A33" s="600" t="s">
        <v>181</v>
      </c>
      <c r="B33" s="590" t="s">
        <v>1450</v>
      </c>
      <c r="C33" s="591">
        <v>45992</v>
      </c>
      <c r="D33" s="601" t="s">
        <v>1451</v>
      </c>
      <c r="E33" s="592" t="s">
        <v>1452</v>
      </c>
      <c r="F33" s="592"/>
      <c r="G33" s="602" t="s">
        <v>1587</v>
      </c>
      <c r="H33" s="603" t="s">
        <v>1588</v>
      </c>
      <c r="I33" s="601" t="s">
        <v>1589</v>
      </c>
      <c r="J33" s="601" t="s">
        <v>1527</v>
      </c>
      <c r="K33" s="16"/>
      <c r="L33" s="605" t="s">
        <v>1590</v>
      </c>
      <c r="M33" s="606" t="s">
        <v>1591</v>
      </c>
      <c r="N33" s="629"/>
      <c r="O33" s="16" t="s">
        <v>1458</v>
      </c>
      <c r="P33" s="608">
        <v>46090</v>
      </c>
    </row>
    <row r="34" spans="1:16" ht="20.399999999999999" hidden="1" customHeight="1" x14ac:dyDescent="0.3">
      <c r="A34" s="590" t="s">
        <v>44</v>
      </c>
      <c r="B34" s="590" t="s">
        <v>1450</v>
      </c>
      <c r="C34" s="591">
        <v>45870</v>
      </c>
      <c r="D34" s="592" t="s">
        <v>1466</v>
      </c>
      <c r="E34" s="592" t="s">
        <v>1467</v>
      </c>
      <c r="F34" s="592"/>
      <c r="G34" s="132" t="s">
        <v>1592</v>
      </c>
      <c r="H34" s="595" t="s">
        <v>1593</v>
      </c>
      <c r="I34" s="592" t="s">
        <v>1594</v>
      </c>
      <c r="J34" s="592" t="s">
        <v>1527</v>
      </c>
      <c r="K34" s="16"/>
      <c r="L34" s="132" t="s">
        <v>182</v>
      </c>
      <c r="M34" s="132" t="s">
        <v>183</v>
      </c>
      <c r="N34" s="595">
        <v>9845467896</v>
      </c>
      <c r="O34" s="16" t="s">
        <v>1488</v>
      </c>
      <c r="P34" s="608">
        <v>46090</v>
      </c>
    </row>
    <row r="35" spans="1:16" ht="20.399999999999999" hidden="1" customHeight="1" x14ac:dyDescent="0.3">
      <c r="A35" s="600" t="s">
        <v>184</v>
      </c>
      <c r="B35" s="590" t="s">
        <v>1450</v>
      </c>
      <c r="C35" s="591">
        <v>45992</v>
      </c>
      <c r="D35" s="601" t="s">
        <v>1489</v>
      </c>
      <c r="E35" s="592" t="s">
        <v>1490</v>
      </c>
      <c r="F35" s="592"/>
      <c r="G35" s="602" t="s">
        <v>1595</v>
      </c>
      <c r="H35" s="603" t="s">
        <v>1596</v>
      </c>
      <c r="I35" s="601" t="s">
        <v>1565</v>
      </c>
      <c r="J35" s="601" t="s">
        <v>1482</v>
      </c>
      <c r="K35" s="16"/>
      <c r="L35" s="605" t="s">
        <v>1597</v>
      </c>
      <c r="M35" s="606" t="s">
        <v>1598</v>
      </c>
      <c r="N35" s="629">
        <v>9099720214</v>
      </c>
      <c r="O35" s="16" t="s">
        <v>1458</v>
      </c>
      <c r="P35" s="608">
        <v>46087</v>
      </c>
    </row>
    <row r="36" spans="1:16" ht="20.399999999999999" hidden="1" customHeight="1" x14ac:dyDescent="0.3">
      <c r="A36" s="590" t="s">
        <v>185</v>
      </c>
      <c r="B36" s="590" t="s">
        <v>1450</v>
      </c>
      <c r="C36" s="591">
        <v>45931</v>
      </c>
      <c r="D36" s="592" t="s">
        <v>1451</v>
      </c>
      <c r="E36" s="592" t="s">
        <v>1452</v>
      </c>
      <c r="F36" s="592"/>
      <c r="G36" s="609" t="s">
        <v>1599</v>
      </c>
      <c r="H36" s="610" t="s">
        <v>1600</v>
      </c>
      <c r="I36" s="611" t="s">
        <v>1601</v>
      </c>
      <c r="J36" s="611" t="s">
        <v>1476</v>
      </c>
      <c r="K36" s="612" t="s">
        <v>1602</v>
      </c>
      <c r="L36" s="132"/>
      <c r="M36" s="132"/>
      <c r="N36" s="595"/>
      <c r="O36" s="16" t="s">
        <v>1458</v>
      </c>
      <c r="P36" s="599">
        <v>46090</v>
      </c>
    </row>
    <row r="37" spans="1:16" ht="20.399999999999999" hidden="1" customHeight="1" x14ac:dyDescent="0.3">
      <c r="A37" s="590" t="s">
        <v>1603</v>
      </c>
      <c r="B37" s="600" t="s">
        <v>1450</v>
      </c>
      <c r="C37" s="591">
        <v>45992</v>
      </c>
      <c r="D37" s="592" t="s">
        <v>1466</v>
      </c>
      <c r="E37" s="592" t="s">
        <v>1467</v>
      </c>
      <c r="F37" s="626"/>
      <c r="G37" s="132"/>
      <c r="H37" s="595"/>
      <c r="I37" s="592"/>
      <c r="J37" s="592"/>
      <c r="K37" s="16"/>
      <c r="L37" s="634"/>
      <c r="M37" s="634"/>
      <c r="N37" s="635"/>
      <c r="O37" s="16" t="s">
        <v>1458</v>
      </c>
      <c r="P37" s="608">
        <v>46090</v>
      </c>
    </row>
    <row r="38" spans="1:16" ht="20.399999999999999" hidden="1" customHeight="1" x14ac:dyDescent="0.3">
      <c r="A38" s="590" t="s">
        <v>60</v>
      </c>
      <c r="B38" s="590" t="s">
        <v>1450</v>
      </c>
      <c r="C38" s="591">
        <v>45901</v>
      </c>
      <c r="D38" s="592" t="s">
        <v>1466</v>
      </c>
      <c r="E38" s="592" t="s">
        <v>1467</v>
      </c>
      <c r="F38" s="592"/>
      <c r="G38" s="609" t="s">
        <v>1604</v>
      </c>
      <c r="H38" s="636" t="s">
        <v>1605</v>
      </c>
      <c r="I38" s="630" t="s">
        <v>1557</v>
      </c>
      <c r="J38" s="630" t="s">
        <v>1482</v>
      </c>
      <c r="K38" s="612" t="s">
        <v>1606</v>
      </c>
      <c r="L38" s="132"/>
      <c r="M38" s="132"/>
      <c r="N38" s="595"/>
      <c r="O38" s="16" t="s">
        <v>1488</v>
      </c>
      <c r="P38" s="608">
        <v>46090</v>
      </c>
    </row>
    <row r="39" spans="1:16" ht="20.399999999999999" hidden="1" customHeight="1" x14ac:dyDescent="0.3">
      <c r="A39" s="590" t="s">
        <v>1607</v>
      </c>
      <c r="B39" s="600" t="s">
        <v>1450</v>
      </c>
      <c r="C39" s="591">
        <v>45992</v>
      </c>
      <c r="D39" s="592" t="s">
        <v>1466</v>
      </c>
      <c r="E39" s="592" t="s">
        <v>1467</v>
      </c>
      <c r="F39" s="626"/>
      <c r="G39" s="132"/>
      <c r="H39" s="595"/>
      <c r="I39" s="592"/>
      <c r="J39" s="592"/>
      <c r="K39" s="16"/>
      <c r="L39" s="132"/>
      <c r="M39" s="132"/>
      <c r="N39" s="595"/>
      <c r="O39" s="16" t="s">
        <v>1458</v>
      </c>
      <c r="P39" s="608">
        <v>46090</v>
      </c>
    </row>
    <row r="40" spans="1:16" ht="20.399999999999999" hidden="1" customHeight="1" x14ac:dyDescent="0.3">
      <c r="A40" s="37" t="s">
        <v>32</v>
      </c>
      <c r="B40" s="590" t="s">
        <v>1450</v>
      </c>
      <c r="C40" s="591">
        <v>45962</v>
      </c>
      <c r="D40" s="601" t="s">
        <v>1489</v>
      </c>
      <c r="E40" s="592" t="s">
        <v>1490</v>
      </c>
      <c r="F40" s="592"/>
      <c r="G40" s="602" t="s">
        <v>1608</v>
      </c>
      <c r="H40" s="603" t="s">
        <v>1609</v>
      </c>
      <c r="I40" s="601" t="s">
        <v>1610</v>
      </c>
      <c r="J40" s="601" t="s">
        <v>1482</v>
      </c>
      <c r="K40" s="16"/>
      <c r="L40" s="132"/>
      <c r="M40" s="132"/>
      <c r="N40" s="595"/>
      <c r="O40" s="16" t="s">
        <v>1458</v>
      </c>
      <c r="P40" s="608">
        <v>46087</v>
      </c>
    </row>
    <row r="41" spans="1:16" ht="20.399999999999999" hidden="1" customHeight="1" x14ac:dyDescent="0.3">
      <c r="A41" s="590" t="s">
        <v>71</v>
      </c>
      <c r="B41" s="590" t="s">
        <v>1450</v>
      </c>
      <c r="C41" s="591">
        <v>45870</v>
      </c>
      <c r="D41" s="592" t="s">
        <v>1489</v>
      </c>
      <c r="E41" s="592" t="s">
        <v>1490</v>
      </c>
      <c r="F41" s="593"/>
      <c r="G41" s="132"/>
      <c r="H41" s="595"/>
      <c r="I41" s="592"/>
      <c r="J41" s="592" t="s">
        <v>1527</v>
      </c>
      <c r="K41" s="16" t="s">
        <v>1611</v>
      </c>
      <c r="L41" s="132" t="s">
        <v>186</v>
      </c>
      <c r="M41" s="132" t="s">
        <v>187</v>
      </c>
      <c r="N41" s="595">
        <v>9979963653</v>
      </c>
      <c r="O41" s="16" t="s">
        <v>1458</v>
      </c>
      <c r="P41" s="608">
        <v>46087</v>
      </c>
    </row>
    <row r="42" spans="1:16" ht="20.399999999999999" hidden="1" customHeight="1" x14ac:dyDescent="0.3">
      <c r="A42" s="590" t="s">
        <v>188</v>
      </c>
      <c r="B42" s="590" t="s">
        <v>1450</v>
      </c>
      <c r="C42" s="591">
        <v>45870</v>
      </c>
      <c r="D42" s="592" t="s">
        <v>1451</v>
      </c>
      <c r="E42" s="592" t="s">
        <v>1452</v>
      </c>
      <c r="F42" s="592"/>
      <c r="G42" s="132" t="s">
        <v>1612</v>
      </c>
      <c r="H42" s="595" t="s">
        <v>1613</v>
      </c>
      <c r="I42" s="592" t="s">
        <v>1614</v>
      </c>
      <c r="J42" s="592" t="s">
        <v>1615</v>
      </c>
      <c r="K42" s="637" t="s">
        <v>1616</v>
      </c>
      <c r="L42" s="132"/>
      <c r="M42" s="132"/>
      <c r="N42" s="595"/>
      <c r="O42" s="16" t="s">
        <v>1458</v>
      </c>
      <c r="P42" s="608">
        <v>46090</v>
      </c>
    </row>
    <row r="43" spans="1:16" ht="20.399999999999999" hidden="1" customHeight="1" x14ac:dyDescent="0.3">
      <c r="A43" s="590" t="s">
        <v>189</v>
      </c>
      <c r="B43" s="590" t="s">
        <v>1450</v>
      </c>
      <c r="C43" s="591">
        <v>45809</v>
      </c>
      <c r="D43" s="592" t="s">
        <v>1617</v>
      </c>
      <c r="E43" s="592" t="s">
        <v>1452</v>
      </c>
      <c r="F43" s="592" t="s">
        <v>1618</v>
      </c>
      <c r="G43" s="638" t="s">
        <v>1619</v>
      </c>
      <c r="H43" s="610" t="s">
        <v>1620</v>
      </c>
      <c r="I43" s="592" t="s">
        <v>1618</v>
      </c>
      <c r="J43" s="611" t="s">
        <v>1621</v>
      </c>
      <c r="K43" s="639" t="s">
        <v>1622</v>
      </c>
      <c r="L43" s="132"/>
      <c r="M43" s="132"/>
      <c r="N43" s="595"/>
      <c r="O43" s="16" t="s">
        <v>1458</v>
      </c>
      <c r="P43" s="608">
        <v>46090</v>
      </c>
    </row>
    <row r="44" spans="1:16" ht="20.399999999999999" hidden="1" customHeight="1" x14ac:dyDescent="0.3">
      <c r="A44" s="590" t="s">
        <v>190</v>
      </c>
      <c r="B44" s="590" t="s">
        <v>1450</v>
      </c>
      <c r="C44" s="591">
        <v>45931</v>
      </c>
      <c r="D44" s="592" t="s">
        <v>1466</v>
      </c>
      <c r="E44" s="592" t="s">
        <v>1467</v>
      </c>
      <c r="F44" s="592"/>
      <c r="G44" s="609" t="s">
        <v>1623</v>
      </c>
      <c r="H44" s="610" t="s">
        <v>1624</v>
      </c>
      <c r="I44" s="611" t="s">
        <v>1557</v>
      </c>
      <c r="J44" s="611" t="s">
        <v>1527</v>
      </c>
      <c r="K44" s="612" t="s">
        <v>1625</v>
      </c>
      <c r="L44" s="132"/>
      <c r="M44" s="132"/>
      <c r="N44" s="595"/>
      <c r="O44" s="16" t="s">
        <v>1458</v>
      </c>
      <c r="P44" s="608">
        <v>46090</v>
      </c>
    </row>
    <row r="45" spans="1:16" ht="20.399999999999999" hidden="1" customHeight="1" x14ac:dyDescent="0.3">
      <c r="A45" s="590" t="s">
        <v>28</v>
      </c>
      <c r="B45" s="590" t="s">
        <v>1450</v>
      </c>
      <c r="C45" s="591">
        <v>45901</v>
      </c>
      <c r="D45" s="592" t="s">
        <v>1489</v>
      </c>
      <c r="E45" s="592" t="s">
        <v>1490</v>
      </c>
      <c r="F45" s="592"/>
      <c r="G45" s="609" t="s">
        <v>1626</v>
      </c>
      <c r="H45" s="595" t="s">
        <v>1627</v>
      </c>
      <c r="I45" s="592" t="s">
        <v>1628</v>
      </c>
      <c r="J45" s="592" t="s">
        <v>1482</v>
      </c>
      <c r="K45" s="612" t="s">
        <v>1629</v>
      </c>
      <c r="L45" s="132" t="s">
        <v>191</v>
      </c>
      <c r="M45" s="132" t="s">
        <v>192</v>
      </c>
      <c r="N45" s="595" t="s">
        <v>193</v>
      </c>
      <c r="O45" s="16" t="s">
        <v>1458</v>
      </c>
      <c r="P45" s="608">
        <v>46087</v>
      </c>
    </row>
    <row r="46" spans="1:16" ht="20.399999999999999" hidden="1" customHeight="1" x14ac:dyDescent="0.3">
      <c r="A46" s="590" t="s">
        <v>79</v>
      </c>
      <c r="B46" s="590" t="s">
        <v>1450</v>
      </c>
      <c r="C46" s="591">
        <v>45901</v>
      </c>
      <c r="D46" s="592" t="s">
        <v>1489</v>
      </c>
      <c r="E46" s="592" t="s">
        <v>1490</v>
      </c>
      <c r="F46" s="592"/>
      <c r="G46" s="609" t="s">
        <v>1630</v>
      </c>
      <c r="H46" s="595" t="s">
        <v>1631</v>
      </c>
      <c r="I46" s="592" t="s">
        <v>1632</v>
      </c>
      <c r="J46" s="592" t="s">
        <v>1527</v>
      </c>
      <c r="K46" s="612" t="s">
        <v>1633</v>
      </c>
      <c r="L46" s="132" t="s">
        <v>194</v>
      </c>
      <c r="M46" s="132" t="s">
        <v>195</v>
      </c>
      <c r="N46" s="595">
        <v>9974393935</v>
      </c>
      <c r="O46" s="16" t="s">
        <v>1458</v>
      </c>
      <c r="P46" s="608">
        <v>46087</v>
      </c>
    </row>
    <row r="47" spans="1:16" ht="20.399999999999999" hidden="1" customHeight="1" x14ac:dyDescent="0.3">
      <c r="A47" s="590" t="s">
        <v>49</v>
      </c>
      <c r="B47" s="590" t="s">
        <v>1450</v>
      </c>
      <c r="C47" s="591">
        <v>45870</v>
      </c>
      <c r="D47" s="592" t="s">
        <v>1451</v>
      </c>
      <c r="E47" s="592" t="s">
        <v>1452</v>
      </c>
      <c r="F47" s="593"/>
      <c r="G47" s="132" t="s">
        <v>1634</v>
      </c>
      <c r="H47" s="595" t="s">
        <v>1635</v>
      </c>
      <c r="I47" s="592" t="s">
        <v>1636</v>
      </c>
      <c r="J47" s="592" t="s">
        <v>1527</v>
      </c>
      <c r="K47" s="632" t="s">
        <v>1637</v>
      </c>
      <c r="L47" s="132" t="s">
        <v>196</v>
      </c>
      <c r="M47" s="132" t="s">
        <v>197</v>
      </c>
      <c r="N47" s="595">
        <v>9822448602</v>
      </c>
      <c r="O47" s="16" t="s">
        <v>1458</v>
      </c>
      <c r="P47" s="608">
        <v>46090</v>
      </c>
    </row>
    <row r="48" spans="1:16" ht="20.399999999999999" hidden="1" customHeight="1" x14ac:dyDescent="0.3">
      <c r="A48" s="590" t="s">
        <v>64</v>
      </c>
      <c r="B48" s="590" t="s">
        <v>1450</v>
      </c>
      <c r="C48" s="591">
        <v>45931</v>
      </c>
      <c r="D48" s="592" t="s">
        <v>1466</v>
      </c>
      <c r="E48" s="592" t="s">
        <v>1467</v>
      </c>
      <c r="F48" s="592"/>
      <c r="G48" s="609" t="s">
        <v>1638</v>
      </c>
      <c r="H48" s="640" t="s">
        <v>1639</v>
      </c>
      <c r="I48" s="641" t="s">
        <v>1470</v>
      </c>
      <c r="J48" s="641" t="s">
        <v>1482</v>
      </c>
      <c r="K48" s="612" t="s">
        <v>1640</v>
      </c>
      <c r="L48" s="132"/>
      <c r="M48" s="132"/>
      <c r="N48" s="595"/>
      <c r="O48" s="16" t="s">
        <v>1458</v>
      </c>
      <c r="P48" s="608">
        <v>46090</v>
      </c>
    </row>
    <row r="49" spans="1:16" ht="20.399999999999999" hidden="1" customHeight="1" x14ac:dyDescent="0.3">
      <c r="A49" s="600" t="s">
        <v>198</v>
      </c>
      <c r="B49" s="590" t="s">
        <v>1450</v>
      </c>
      <c r="C49" s="591">
        <v>45992</v>
      </c>
      <c r="D49" s="601" t="s">
        <v>1466</v>
      </c>
      <c r="E49" s="592" t="s">
        <v>1467</v>
      </c>
      <c r="F49" s="592"/>
      <c r="G49" s="602" t="s">
        <v>1641</v>
      </c>
      <c r="H49" s="603" t="s">
        <v>1642</v>
      </c>
      <c r="I49" s="601" t="s">
        <v>1643</v>
      </c>
      <c r="J49" s="601" t="s">
        <v>1510</v>
      </c>
      <c r="K49" s="16"/>
      <c r="L49" s="605" t="s">
        <v>1644</v>
      </c>
      <c r="M49" s="606" t="s">
        <v>1645</v>
      </c>
      <c r="N49" s="629">
        <v>9994792431</v>
      </c>
      <c r="O49" s="16" t="s">
        <v>1458</v>
      </c>
      <c r="P49" s="608">
        <v>46090</v>
      </c>
    </row>
    <row r="50" spans="1:16" ht="20.399999999999999" hidden="1" customHeight="1" x14ac:dyDescent="0.3">
      <c r="A50" s="590" t="s">
        <v>48</v>
      </c>
      <c r="B50" s="590" t="s">
        <v>1450</v>
      </c>
      <c r="C50" s="591">
        <v>45809</v>
      </c>
      <c r="D50" s="592" t="s">
        <v>1646</v>
      </c>
      <c r="E50" s="592" t="s">
        <v>1467</v>
      </c>
      <c r="F50" s="592" t="s">
        <v>1548</v>
      </c>
      <c r="G50" s="613" t="s">
        <v>1647</v>
      </c>
      <c r="H50" s="614" t="s">
        <v>1648</v>
      </c>
      <c r="I50" s="615" t="s">
        <v>1548</v>
      </c>
      <c r="J50" s="615" t="s">
        <v>1615</v>
      </c>
      <c r="K50" s="616" t="s">
        <v>1649</v>
      </c>
      <c r="L50" s="132" t="s">
        <v>199</v>
      </c>
      <c r="M50" s="132" t="s">
        <v>200</v>
      </c>
      <c r="N50" s="595">
        <v>9133925836</v>
      </c>
      <c r="O50" s="16" t="s">
        <v>1488</v>
      </c>
      <c r="P50" s="608">
        <v>46090</v>
      </c>
    </row>
    <row r="51" spans="1:16" ht="20.399999999999999" hidden="1" customHeight="1" x14ac:dyDescent="0.3">
      <c r="A51" s="590" t="s">
        <v>66</v>
      </c>
      <c r="B51" s="590" t="s">
        <v>1450</v>
      </c>
      <c r="C51" s="591">
        <v>45839</v>
      </c>
      <c r="D51" s="592" t="s">
        <v>1451</v>
      </c>
      <c r="E51" s="592" t="s">
        <v>1452</v>
      </c>
      <c r="F51" s="593" t="s">
        <v>1548</v>
      </c>
      <c r="G51" s="602" t="s">
        <v>1650</v>
      </c>
      <c r="H51" s="618" t="s">
        <v>1651</v>
      </c>
      <c r="I51" s="617" t="s">
        <v>1548</v>
      </c>
      <c r="J51" s="617" t="s">
        <v>1585</v>
      </c>
      <c r="K51" s="18" t="s">
        <v>1652</v>
      </c>
      <c r="L51" s="132" t="s">
        <v>201</v>
      </c>
      <c r="M51" s="132" t="s">
        <v>202</v>
      </c>
      <c r="N51" s="595">
        <v>7977012055</v>
      </c>
      <c r="O51" s="16" t="s">
        <v>1458</v>
      </c>
      <c r="P51" s="599">
        <v>46090</v>
      </c>
    </row>
    <row r="52" spans="1:16" ht="20.399999999999999" hidden="1" customHeight="1" x14ac:dyDescent="0.3">
      <c r="A52" s="590" t="s">
        <v>203</v>
      </c>
      <c r="B52" s="590" t="s">
        <v>1450</v>
      </c>
      <c r="C52" s="591">
        <v>45962</v>
      </c>
      <c r="D52" s="617" t="s">
        <v>1489</v>
      </c>
      <c r="E52" s="592" t="s">
        <v>1490</v>
      </c>
      <c r="F52" s="592"/>
      <c r="G52" s="602" t="s">
        <v>1653</v>
      </c>
      <c r="H52" s="618" t="s">
        <v>1654</v>
      </c>
      <c r="I52" s="617" t="s">
        <v>1655</v>
      </c>
      <c r="J52" s="617" t="s">
        <v>1482</v>
      </c>
      <c r="K52" s="16"/>
      <c r="L52" s="132"/>
      <c r="M52" s="132"/>
      <c r="N52" s="595"/>
      <c r="O52" s="16" t="s">
        <v>1458</v>
      </c>
      <c r="P52" s="608">
        <v>46087</v>
      </c>
    </row>
    <row r="53" spans="1:16" ht="20.399999999999999" hidden="1" customHeight="1" x14ac:dyDescent="0.3">
      <c r="A53" s="590" t="s">
        <v>204</v>
      </c>
      <c r="B53" s="590" t="s">
        <v>1450</v>
      </c>
      <c r="C53" s="591">
        <v>45901</v>
      </c>
      <c r="D53" s="592" t="s">
        <v>1451</v>
      </c>
      <c r="E53" s="592" t="s">
        <v>1452</v>
      </c>
      <c r="F53" s="592"/>
      <c r="G53" s="609" t="s">
        <v>1656</v>
      </c>
      <c r="H53" s="595" t="s">
        <v>1657</v>
      </c>
      <c r="I53" s="592" t="s">
        <v>1658</v>
      </c>
      <c r="J53" s="592" t="s">
        <v>1527</v>
      </c>
      <c r="K53" s="16"/>
      <c r="L53" s="132"/>
      <c r="M53" s="132"/>
      <c r="N53" s="595"/>
      <c r="O53" s="16" t="s">
        <v>1458</v>
      </c>
      <c r="P53" s="608">
        <v>46090</v>
      </c>
    </row>
    <row r="54" spans="1:16" ht="20.399999999999999" hidden="1" customHeight="1" x14ac:dyDescent="0.3">
      <c r="A54" s="590" t="s">
        <v>23</v>
      </c>
      <c r="B54" s="590" t="s">
        <v>1450</v>
      </c>
      <c r="C54" s="591">
        <v>45870</v>
      </c>
      <c r="D54" s="592" t="s">
        <v>1451</v>
      </c>
      <c r="E54" s="592" t="s">
        <v>1452</v>
      </c>
      <c r="F54" s="592"/>
      <c r="G54" s="132" t="s">
        <v>1659</v>
      </c>
      <c r="H54" s="595" t="s">
        <v>1660</v>
      </c>
      <c r="I54" s="592" t="s">
        <v>1661</v>
      </c>
      <c r="J54" s="592" t="s">
        <v>1527</v>
      </c>
      <c r="K54" s="16"/>
      <c r="L54" s="132" t="s">
        <v>205</v>
      </c>
      <c r="M54" s="132" t="s">
        <v>206</v>
      </c>
      <c r="N54" s="595">
        <v>8149993555</v>
      </c>
      <c r="O54" s="16" t="s">
        <v>1458</v>
      </c>
      <c r="P54" s="608">
        <v>46090</v>
      </c>
    </row>
    <row r="55" spans="1:16" ht="20.399999999999999" hidden="1" customHeight="1" x14ac:dyDescent="0.3">
      <c r="A55" s="590" t="s">
        <v>207</v>
      </c>
      <c r="B55" s="590" t="s">
        <v>1450</v>
      </c>
      <c r="C55" s="591">
        <v>45901</v>
      </c>
      <c r="D55" s="592" t="s">
        <v>1466</v>
      </c>
      <c r="E55" s="592" t="s">
        <v>1467</v>
      </c>
      <c r="F55" s="592"/>
      <c r="G55" s="609" t="s">
        <v>1662</v>
      </c>
      <c r="H55" s="595" t="s">
        <v>1663</v>
      </c>
      <c r="I55" s="630" t="s">
        <v>1664</v>
      </c>
      <c r="J55" s="592" t="s">
        <v>1482</v>
      </c>
      <c r="K55" s="642"/>
      <c r="L55" s="132"/>
      <c r="M55" s="132"/>
      <c r="N55" s="595"/>
      <c r="O55" s="16" t="s">
        <v>1488</v>
      </c>
      <c r="P55" s="608">
        <v>46090</v>
      </c>
    </row>
    <row r="56" spans="1:16" ht="20.399999999999999" hidden="1" customHeight="1" x14ac:dyDescent="0.3">
      <c r="A56" s="37" t="s">
        <v>208</v>
      </c>
      <c r="B56" s="590" t="s">
        <v>1450</v>
      </c>
      <c r="C56" s="591">
        <v>45962</v>
      </c>
      <c r="D56" s="601" t="s">
        <v>1451</v>
      </c>
      <c r="E56" s="592" t="s">
        <v>1452</v>
      </c>
      <c r="F56" s="592"/>
      <c r="G56" s="602" t="s">
        <v>1665</v>
      </c>
      <c r="H56" s="603" t="s">
        <v>1666</v>
      </c>
      <c r="I56" s="601" t="s">
        <v>1667</v>
      </c>
      <c r="J56" s="601" t="s">
        <v>1527</v>
      </c>
      <c r="K56" s="16"/>
      <c r="L56" s="132"/>
      <c r="M56" s="132"/>
      <c r="N56" s="595"/>
      <c r="O56" s="16" t="s">
        <v>1458</v>
      </c>
      <c r="P56" s="599">
        <v>46090</v>
      </c>
    </row>
    <row r="57" spans="1:16" ht="20.399999999999999" hidden="1" customHeight="1" x14ac:dyDescent="0.3">
      <c r="A57" s="590" t="s">
        <v>209</v>
      </c>
      <c r="B57" s="590" t="s">
        <v>1450</v>
      </c>
      <c r="C57" s="591">
        <v>45870</v>
      </c>
      <c r="D57" s="592" t="s">
        <v>1489</v>
      </c>
      <c r="E57" s="592" t="s">
        <v>1490</v>
      </c>
      <c r="F57" s="592"/>
      <c r="G57" s="132" t="s">
        <v>1668</v>
      </c>
      <c r="H57" s="595" t="s">
        <v>1669</v>
      </c>
      <c r="I57" s="592" t="s">
        <v>1569</v>
      </c>
      <c r="J57" s="592" t="s">
        <v>1482</v>
      </c>
      <c r="K57" s="643" t="s">
        <v>1670</v>
      </c>
      <c r="L57" s="132"/>
      <c r="M57" s="132"/>
      <c r="N57" s="595"/>
      <c r="O57" s="16" t="s">
        <v>1458</v>
      </c>
      <c r="P57" s="608">
        <v>46087</v>
      </c>
    </row>
    <row r="58" spans="1:16" ht="20.399999999999999" hidden="1" customHeight="1" x14ac:dyDescent="0.3">
      <c r="A58" s="590" t="s">
        <v>41</v>
      </c>
      <c r="B58" s="590" t="s">
        <v>1450</v>
      </c>
      <c r="C58" s="591">
        <v>45962</v>
      </c>
      <c r="D58" s="617" t="s">
        <v>1489</v>
      </c>
      <c r="E58" s="592" t="s">
        <v>1490</v>
      </c>
      <c r="F58" s="592"/>
      <c r="G58" s="602" t="s">
        <v>1671</v>
      </c>
      <c r="H58" s="618" t="s">
        <v>1672</v>
      </c>
      <c r="I58" s="617" t="s">
        <v>1594</v>
      </c>
      <c r="J58" s="617" t="s">
        <v>1482</v>
      </c>
      <c r="K58" s="16"/>
      <c r="L58" t="s">
        <v>1673</v>
      </c>
      <c r="M58" s="172" t="s">
        <v>1674</v>
      </c>
      <c r="N58">
        <v>8849498178</v>
      </c>
      <c r="O58" s="16" t="s">
        <v>1458</v>
      </c>
      <c r="P58" s="599">
        <v>46087</v>
      </c>
    </row>
    <row r="59" spans="1:16" ht="20.399999999999999" hidden="1" customHeight="1" x14ac:dyDescent="0.3">
      <c r="A59" s="590" t="s">
        <v>53</v>
      </c>
      <c r="B59" s="590" t="s">
        <v>1450</v>
      </c>
      <c r="C59" s="591">
        <v>45901</v>
      </c>
      <c r="D59" s="592" t="s">
        <v>1466</v>
      </c>
      <c r="E59" s="592" t="s">
        <v>1467</v>
      </c>
      <c r="F59" s="592"/>
      <c r="G59" s="609" t="s">
        <v>1675</v>
      </c>
      <c r="H59" s="595" t="s">
        <v>1676</v>
      </c>
      <c r="I59" s="592" t="s">
        <v>1557</v>
      </c>
      <c r="J59" s="592" t="s">
        <v>1482</v>
      </c>
      <c r="K59" s="612" t="s">
        <v>1677</v>
      </c>
      <c r="L59" s="132"/>
      <c r="M59" s="132"/>
      <c r="N59" s="595"/>
      <c r="O59" s="16" t="s">
        <v>1488</v>
      </c>
      <c r="P59" s="608">
        <v>46090</v>
      </c>
    </row>
    <row r="60" spans="1:16" ht="20.399999999999999" hidden="1" customHeight="1" x14ac:dyDescent="0.3">
      <c r="A60" s="590" t="s">
        <v>210</v>
      </c>
      <c r="B60" s="590" t="s">
        <v>1450</v>
      </c>
      <c r="C60" s="591">
        <v>45870</v>
      </c>
      <c r="D60" s="592" t="s">
        <v>1451</v>
      </c>
      <c r="E60" s="592" t="s">
        <v>1452</v>
      </c>
      <c r="F60" s="592"/>
      <c r="G60" s="132" t="s">
        <v>1678</v>
      </c>
      <c r="H60" s="595" t="s">
        <v>1679</v>
      </c>
      <c r="I60" s="592" t="s">
        <v>1680</v>
      </c>
      <c r="J60" s="592" t="s">
        <v>1585</v>
      </c>
      <c r="K60" s="16"/>
      <c r="L60" s="132"/>
      <c r="M60" s="132"/>
      <c r="N60" s="595"/>
      <c r="O60" s="16" t="s">
        <v>1458</v>
      </c>
      <c r="P60" s="608">
        <v>46090</v>
      </c>
    </row>
    <row r="61" spans="1:16" ht="20.399999999999999" hidden="1" customHeight="1" x14ac:dyDescent="0.3">
      <c r="A61" s="590" t="s">
        <v>211</v>
      </c>
      <c r="B61" s="37" t="s">
        <v>1681</v>
      </c>
      <c r="C61" s="644">
        <v>45901</v>
      </c>
      <c r="D61" s="626" t="s">
        <v>1466</v>
      </c>
      <c r="E61" s="626" t="s">
        <v>1682</v>
      </c>
      <c r="F61" s="626"/>
      <c r="G61" s="132"/>
      <c r="H61" s="645"/>
      <c r="I61" s="626" t="s">
        <v>1562</v>
      </c>
      <c r="J61" s="592"/>
      <c r="K61" s="16"/>
      <c r="L61" s="132"/>
      <c r="M61" s="132"/>
      <c r="N61" s="595"/>
      <c r="O61" s="16" t="s">
        <v>1683</v>
      </c>
      <c r="P61" s="16"/>
    </row>
    <row r="62" spans="1:16" ht="20.399999999999999" hidden="1" customHeight="1" x14ac:dyDescent="0.3">
      <c r="A62" s="590" t="s">
        <v>212</v>
      </c>
      <c r="B62" s="37" t="s">
        <v>1681</v>
      </c>
      <c r="C62" s="644">
        <v>45839</v>
      </c>
      <c r="D62" s="626" t="s">
        <v>1489</v>
      </c>
      <c r="E62" s="626" t="s">
        <v>1684</v>
      </c>
      <c r="F62" s="626"/>
      <c r="G62" s="132"/>
      <c r="H62" s="645" t="s">
        <v>1685</v>
      </c>
      <c r="I62" s="626" t="s">
        <v>1562</v>
      </c>
      <c r="J62" s="592"/>
      <c r="K62" s="16"/>
      <c r="L62" s="132"/>
      <c r="M62" s="132"/>
      <c r="N62" s="595"/>
      <c r="O62" s="16" t="s">
        <v>1683</v>
      </c>
      <c r="P62" s="16"/>
    </row>
    <row r="63" spans="1:16" ht="20.399999999999999" hidden="1" customHeight="1" x14ac:dyDescent="0.3">
      <c r="A63" s="590" t="s">
        <v>213</v>
      </c>
      <c r="B63" s="37" t="s">
        <v>1686</v>
      </c>
      <c r="C63" s="644">
        <v>45870</v>
      </c>
      <c r="D63" s="626" t="s">
        <v>1489</v>
      </c>
      <c r="E63" s="626" t="s">
        <v>1687</v>
      </c>
      <c r="F63" s="626"/>
      <c r="G63" s="132"/>
      <c r="H63" s="645" t="s">
        <v>1688</v>
      </c>
      <c r="I63" s="626" t="s">
        <v>1562</v>
      </c>
      <c r="J63" s="592"/>
      <c r="K63" s="16"/>
      <c r="L63" s="132"/>
      <c r="M63" s="132"/>
      <c r="N63" s="595"/>
      <c r="O63" s="16" t="s">
        <v>1683</v>
      </c>
      <c r="P63" s="16"/>
    </row>
    <row r="64" spans="1:16" ht="20.399999999999999" hidden="1" customHeight="1" x14ac:dyDescent="0.3">
      <c r="A64" s="590" t="s">
        <v>214</v>
      </c>
      <c r="B64" s="37" t="s">
        <v>1681</v>
      </c>
      <c r="C64" s="644">
        <v>45809</v>
      </c>
      <c r="D64" s="626" t="s">
        <v>1489</v>
      </c>
      <c r="E64" s="626" t="s">
        <v>1687</v>
      </c>
      <c r="F64" s="626"/>
      <c r="G64" s="132"/>
      <c r="H64" s="645" t="s">
        <v>1689</v>
      </c>
      <c r="I64" s="626" t="s">
        <v>1562</v>
      </c>
      <c r="J64" s="592"/>
      <c r="K64" s="16"/>
      <c r="L64" s="132"/>
      <c r="M64" s="132"/>
      <c r="N64" s="595"/>
      <c r="O64" s="16" t="s">
        <v>1683</v>
      </c>
      <c r="P64" s="598"/>
    </row>
    <row r="65" spans="1:16" ht="20.399999999999999" hidden="1" customHeight="1" x14ac:dyDescent="0.3">
      <c r="A65" s="590" t="s">
        <v>215</v>
      </c>
      <c r="B65" s="37" t="s">
        <v>1681</v>
      </c>
      <c r="C65" s="644">
        <v>45901</v>
      </c>
      <c r="D65" s="626" t="s">
        <v>1489</v>
      </c>
      <c r="E65" s="626" t="s">
        <v>1687</v>
      </c>
      <c r="F65" s="626"/>
      <c r="G65" s="132"/>
      <c r="H65" s="645" t="s">
        <v>1690</v>
      </c>
      <c r="I65" s="626" t="s">
        <v>1562</v>
      </c>
      <c r="J65" s="592"/>
      <c r="K65" s="16"/>
      <c r="L65" s="132"/>
      <c r="M65" s="132"/>
      <c r="N65" s="595"/>
      <c r="O65" s="16" t="s">
        <v>1683</v>
      </c>
      <c r="P65" s="16"/>
    </row>
    <row r="66" spans="1:16" ht="20.399999999999999" hidden="1" customHeight="1" x14ac:dyDescent="0.3">
      <c r="A66" s="590" t="s">
        <v>216</v>
      </c>
      <c r="B66" s="37" t="s">
        <v>1681</v>
      </c>
      <c r="C66" s="644">
        <v>45901</v>
      </c>
      <c r="D66" s="626" t="s">
        <v>1466</v>
      </c>
      <c r="E66" s="626" t="s">
        <v>1682</v>
      </c>
      <c r="F66" s="626"/>
      <c r="G66" s="132"/>
      <c r="H66" s="645" t="s">
        <v>1691</v>
      </c>
      <c r="I66" s="626" t="s">
        <v>1562</v>
      </c>
      <c r="J66" s="592"/>
      <c r="K66" s="16"/>
      <c r="L66" s="132"/>
      <c r="M66" s="132"/>
      <c r="N66" s="595"/>
      <c r="O66" s="16" t="s">
        <v>1683</v>
      </c>
      <c r="P66" s="16"/>
    </row>
    <row r="67" spans="1:16" ht="20.399999999999999" hidden="1" customHeight="1" x14ac:dyDescent="0.3">
      <c r="A67" s="590" t="s">
        <v>217</v>
      </c>
      <c r="B67" s="37" t="s">
        <v>1681</v>
      </c>
      <c r="C67" s="644">
        <v>45839</v>
      </c>
      <c r="D67" s="626" t="s">
        <v>1451</v>
      </c>
      <c r="E67" s="626" t="s">
        <v>1692</v>
      </c>
      <c r="F67" s="626"/>
      <c r="G67" s="132"/>
      <c r="H67" s="645" t="s">
        <v>1693</v>
      </c>
      <c r="I67" s="626" t="s">
        <v>1562</v>
      </c>
      <c r="J67" s="592"/>
      <c r="K67" s="16"/>
      <c r="L67" s="132"/>
      <c r="M67" s="132"/>
      <c r="N67" s="595"/>
      <c r="O67" s="16" t="s">
        <v>1683</v>
      </c>
      <c r="P67" s="598"/>
    </row>
    <row r="68" spans="1:16" ht="20.399999999999999" hidden="1" customHeight="1" x14ac:dyDescent="0.3">
      <c r="A68" s="590" t="s">
        <v>52</v>
      </c>
      <c r="B68" s="37" t="s">
        <v>1686</v>
      </c>
      <c r="C68" s="644">
        <v>45870</v>
      </c>
      <c r="D68" s="626" t="s">
        <v>1489</v>
      </c>
      <c r="E68" s="626" t="s">
        <v>1687</v>
      </c>
      <c r="F68" s="626"/>
      <c r="G68" s="132"/>
      <c r="H68" s="645" t="s">
        <v>1694</v>
      </c>
      <c r="I68" s="626" t="s">
        <v>1562</v>
      </c>
      <c r="J68" s="592"/>
      <c r="K68" s="16"/>
      <c r="L68" s="132"/>
      <c r="M68" s="132"/>
      <c r="N68" s="595"/>
      <c r="O68" s="16" t="s">
        <v>1683</v>
      </c>
      <c r="P68" s="598"/>
    </row>
    <row r="69" spans="1:16" ht="20.399999999999999" hidden="1" customHeight="1" x14ac:dyDescent="0.3">
      <c r="A69" s="590" t="s">
        <v>218</v>
      </c>
      <c r="B69" s="37" t="s">
        <v>1681</v>
      </c>
      <c r="C69" s="644">
        <v>45870</v>
      </c>
      <c r="D69" s="626" t="s">
        <v>1466</v>
      </c>
      <c r="E69" s="626" t="s">
        <v>1682</v>
      </c>
      <c r="F69" s="626"/>
      <c r="G69" s="132"/>
      <c r="H69" s="645" t="s">
        <v>1695</v>
      </c>
      <c r="I69" s="626" t="s">
        <v>1696</v>
      </c>
      <c r="J69" s="592"/>
      <c r="K69" s="16"/>
      <c r="L69" s="132"/>
      <c r="M69" s="132"/>
      <c r="N69" s="595"/>
      <c r="O69" s="16" t="s">
        <v>1683</v>
      </c>
      <c r="P69" s="16"/>
    </row>
    <row r="70" spans="1:16" ht="20.399999999999999" hidden="1" customHeight="1" x14ac:dyDescent="0.3">
      <c r="A70" s="590" t="s">
        <v>219</v>
      </c>
      <c r="B70" s="37" t="s">
        <v>1681</v>
      </c>
      <c r="C70" s="644">
        <v>45870</v>
      </c>
      <c r="D70" s="626" t="s">
        <v>1489</v>
      </c>
      <c r="E70" s="626" t="s">
        <v>1684</v>
      </c>
      <c r="F70" s="626"/>
      <c r="G70" s="132"/>
      <c r="H70" s="645" t="s">
        <v>1697</v>
      </c>
      <c r="I70" s="626" t="s">
        <v>1562</v>
      </c>
      <c r="J70" s="592"/>
      <c r="K70" s="16"/>
      <c r="L70" s="132"/>
      <c r="M70" s="132"/>
      <c r="N70" s="595"/>
      <c r="O70" s="16" t="s">
        <v>1683</v>
      </c>
      <c r="P70" s="16"/>
    </row>
    <row r="71" spans="1:16" ht="20.399999999999999" hidden="1" customHeight="1" x14ac:dyDescent="0.3">
      <c r="A71" s="590" t="s">
        <v>220</v>
      </c>
      <c r="B71" s="37" t="s">
        <v>1686</v>
      </c>
      <c r="C71" s="644"/>
      <c r="D71" s="626" t="s">
        <v>1489</v>
      </c>
      <c r="E71" s="626" t="s">
        <v>1687</v>
      </c>
      <c r="F71" s="626"/>
      <c r="G71" s="132"/>
      <c r="H71" s="645" t="s">
        <v>1698</v>
      </c>
      <c r="I71" s="626" t="s">
        <v>1562</v>
      </c>
      <c r="J71" s="592"/>
      <c r="K71" s="16"/>
      <c r="L71" s="132"/>
      <c r="M71" s="132"/>
      <c r="N71" s="595"/>
      <c r="O71" s="16" t="s">
        <v>1683</v>
      </c>
      <c r="P71" s="16"/>
    </row>
    <row r="72" spans="1:16" ht="20.399999999999999" hidden="1" customHeight="1" x14ac:dyDescent="0.3">
      <c r="A72" s="590" t="s">
        <v>221</v>
      </c>
      <c r="B72" s="37" t="s">
        <v>1681</v>
      </c>
      <c r="C72" s="644">
        <v>45839</v>
      </c>
      <c r="D72" s="626" t="s">
        <v>1489</v>
      </c>
      <c r="E72" s="626" t="s">
        <v>1684</v>
      </c>
      <c r="F72" s="626"/>
      <c r="G72" s="132"/>
      <c r="H72" s="645" t="s">
        <v>1699</v>
      </c>
      <c r="I72" s="626" t="s">
        <v>1562</v>
      </c>
      <c r="J72" s="592"/>
      <c r="K72" s="16"/>
      <c r="L72" s="132"/>
      <c r="M72" s="132"/>
      <c r="N72" s="595"/>
      <c r="O72" s="16" t="s">
        <v>1683</v>
      </c>
      <c r="P72" s="16"/>
    </row>
    <row r="73" spans="1:16" ht="20.399999999999999" hidden="1" customHeight="1" x14ac:dyDescent="0.3">
      <c r="A73" s="590" t="s">
        <v>222</v>
      </c>
      <c r="B73" s="37" t="s">
        <v>1686</v>
      </c>
      <c r="C73" s="644">
        <v>45870</v>
      </c>
      <c r="D73" s="626" t="s">
        <v>1489</v>
      </c>
      <c r="E73" s="626" t="s">
        <v>1687</v>
      </c>
      <c r="F73" s="626"/>
      <c r="G73" s="132"/>
      <c r="H73" s="645" t="s">
        <v>1700</v>
      </c>
      <c r="I73" s="626" t="s">
        <v>1562</v>
      </c>
      <c r="J73" s="592"/>
      <c r="K73" s="16"/>
      <c r="L73" s="132"/>
      <c r="M73" s="132"/>
      <c r="N73" s="595"/>
      <c r="O73" s="16" t="s">
        <v>1683</v>
      </c>
      <c r="P73" s="16"/>
    </row>
    <row r="74" spans="1:16" ht="20.399999999999999" hidden="1" customHeight="1" x14ac:dyDescent="0.3">
      <c r="A74" s="590" t="s">
        <v>223</v>
      </c>
      <c r="B74" s="37" t="s">
        <v>1681</v>
      </c>
      <c r="C74" s="644">
        <v>45901</v>
      </c>
      <c r="D74" s="626" t="s">
        <v>1489</v>
      </c>
      <c r="E74" s="626" t="s">
        <v>1684</v>
      </c>
      <c r="F74" s="626"/>
      <c r="G74" s="132"/>
      <c r="H74" s="645" t="s">
        <v>1701</v>
      </c>
      <c r="I74" s="626" t="s">
        <v>1562</v>
      </c>
      <c r="J74" s="592"/>
      <c r="K74" s="16"/>
      <c r="L74" s="132"/>
      <c r="M74" s="132"/>
      <c r="N74" s="595"/>
      <c r="O74" s="16" t="s">
        <v>1683</v>
      </c>
      <c r="P74" s="16"/>
    </row>
    <row r="75" spans="1:16" ht="20.399999999999999" hidden="1" customHeight="1" x14ac:dyDescent="0.3">
      <c r="A75" s="590" t="s">
        <v>224</v>
      </c>
      <c r="B75" s="37" t="s">
        <v>1681</v>
      </c>
      <c r="C75" s="644">
        <v>45931</v>
      </c>
      <c r="D75" s="626" t="s">
        <v>1466</v>
      </c>
      <c r="E75" s="626" t="s">
        <v>1682</v>
      </c>
      <c r="F75" s="626"/>
      <c r="G75" s="132"/>
      <c r="H75" s="645" t="s">
        <v>1702</v>
      </c>
      <c r="I75" s="626" t="s">
        <v>1562</v>
      </c>
      <c r="J75" s="592"/>
      <c r="K75" s="16"/>
      <c r="L75" s="132"/>
      <c r="M75" s="132"/>
      <c r="N75" s="595"/>
      <c r="O75" s="16" t="s">
        <v>1683</v>
      </c>
      <c r="P75" s="16"/>
    </row>
    <row r="76" spans="1:16" ht="20.399999999999999" hidden="1" customHeight="1" x14ac:dyDescent="0.3">
      <c r="A76" s="590" t="s">
        <v>225</v>
      </c>
      <c r="B76" s="37" t="s">
        <v>1681</v>
      </c>
      <c r="C76" s="644">
        <v>45901</v>
      </c>
      <c r="D76" s="626" t="s">
        <v>1489</v>
      </c>
      <c r="E76" s="626" t="s">
        <v>1687</v>
      </c>
      <c r="F76" s="626"/>
      <c r="G76" s="132"/>
      <c r="H76" s="645" t="s">
        <v>1703</v>
      </c>
      <c r="I76" s="626" t="s">
        <v>1696</v>
      </c>
      <c r="J76" s="592"/>
      <c r="K76" s="16"/>
      <c r="L76" s="132"/>
      <c r="M76" s="132"/>
      <c r="N76" s="595"/>
      <c r="O76" s="16" t="s">
        <v>1683</v>
      </c>
      <c r="P76" s="16"/>
    </row>
    <row r="77" spans="1:16" ht="20.399999999999999" hidden="1" customHeight="1" x14ac:dyDescent="0.3">
      <c r="A77" s="590" t="s">
        <v>226</v>
      </c>
      <c r="B77" s="37" t="s">
        <v>1686</v>
      </c>
      <c r="C77" s="644">
        <v>45870</v>
      </c>
      <c r="D77" s="626" t="s">
        <v>1489</v>
      </c>
      <c r="E77" s="626" t="s">
        <v>1684</v>
      </c>
      <c r="F77" s="626"/>
      <c r="G77" s="132"/>
      <c r="H77" s="645" t="s">
        <v>1704</v>
      </c>
      <c r="I77" s="626" t="s">
        <v>1562</v>
      </c>
      <c r="J77" s="592"/>
      <c r="K77" s="16"/>
      <c r="L77" s="132"/>
      <c r="M77" s="132"/>
      <c r="N77" s="595"/>
      <c r="O77" s="16" t="s">
        <v>1683</v>
      </c>
      <c r="P77" s="16"/>
    </row>
    <row r="78" spans="1:16" ht="20.399999999999999" hidden="1" customHeight="1" x14ac:dyDescent="0.3">
      <c r="A78" s="590" t="s">
        <v>227</v>
      </c>
      <c r="B78" s="37" t="s">
        <v>1686</v>
      </c>
      <c r="C78" s="644">
        <v>45901</v>
      </c>
      <c r="D78" s="626" t="s">
        <v>1451</v>
      </c>
      <c r="E78" s="626" t="s">
        <v>1692</v>
      </c>
      <c r="F78" s="626"/>
      <c r="G78" s="132"/>
      <c r="H78" s="645" t="s">
        <v>1705</v>
      </c>
      <c r="I78" s="626" t="s">
        <v>1562</v>
      </c>
      <c r="J78" s="592"/>
      <c r="K78" s="16"/>
      <c r="L78" s="132"/>
      <c r="M78" s="132"/>
      <c r="N78" s="595"/>
      <c r="O78" s="16" t="s">
        <v>1683</v>
      </c>
      <c r="P78" s="16"/>
    </row>
    <row r="79" spans="1:16" ht="20.399999999999999" hidden="1" customHeight="1" x14ac:dyDescent="0.3">
      <c r="A79" s="590" t="s">
        <v>228</v>
      </c>
      <c r="B79" s="37" t="s">
        <v>1681</v>
      </c>
      <c r="C79" s="644">
        <v>45901</v>
      </c>
      <c r="D79" s="626" t="s">
        <v>1451</v>
      </c>
      <c r="E79" s="626" t="s">
        <v>1692</v>
      </c>
      <c r="F79" s="626"/>
      <c r="G79" s="132"/>
      <c r="H79" s="645" t="s">
        <v>1706</v>
      </c>
      <c r="I79" s="626" t="s">
        <v>1696</v>
      </c>
      <c r="J79" s="592"/>
      <c r="K79" s="16"/>
      <c r="L79" s="132"/>
      <c r="M79" s="132"/>
      <c r="N79" s="595"/>
      <c r="O79" s="16" t="s">
        <v>1683</v>
      </c>
      <c r="P79" s="16"/>
    </row>
    <row r="80" spans="1:16" ht="20.399999999999999" hidden="1" customHeight="1" x14ac:dyDescent="0.3">
      <c r="A80" s="590" t="s">
        <v>229</v>
      </c>
      <c r="B80" s="37" t="s">
        <v>1681</v>
      </c>
      <c r="C80" s="644">
        <v>45870</v>
      </c>
      <c r="D80" s="626" t="s">
        <v>1451</v>
      </c>
      <c r="E80" s="626" t="s">
        <v>1692</v>
      </c>
      <c r="F80" s="626"/>
      <c r="G80" s="132"/>
      <c r="H80" s="645" t="s">
        <v>1707</v>
      </c>
      <c r="I80" s="626" t="s">
        <v>1562</v>
      </c>
      <c r="J80" s="592"/>
      <c r="K80" s="16"/>
      <c r="L80" s="132"/>
      <c r="M80" s="132"/>
      <c r="N80" s="595"/>
      <c r="O80" s="16" t="s">
        <v>1683</v>
      </c>
      <c r="P80" s="16"/>
    </row>
    <row r="81" spans="1:16" ht="20.399999999999999" hidden="1" customHeight="1" x14ac:dyDescent="0.3">
      <c r="A81" s="590" t="s">
        <v>230</v>
      </c>
      <c r="B81" s="37" t="s">
        <v>1681</v>
      </c>
      <c r="C81" s="644">
        <v>45901</v>
      </c>
      <c r="D81" s="626" t="s">
        <v>1466</v>
      </c>
      <c r="E81" s="626" t="s">
        <v>1682</v>
      </c>
      <c r="F81" s="626"/>
      <c r="G81" s="132"/>
      <c r="H81" s="645" t="s">
        <v>1708</v>
      </c>
      <c r="I81" s="626" t="s">
        <v>1562</v>
      </c>
      <c r="J81" s="592"/>
      <c r="K81" s="16"/>
      <c r="L81" s="132"/>
      <c r="M81" s="132"/>
      <c r="N81" s="595"/>
      <c r="O81" s="16" t="s">
        <v>1683</v>
      </c>
      <c r="P81" s="16"/>
    </row>
    <row r="82" spans="1:16" ht="20.399999999999999" hidden="1" customHeight="1" x14ac:dyDescent="0.3">
      <c r="A82" s="590" t="s">
        <v>231</v>
      </c>
      <c r="B82" s="37" t="s">
        <v>1681</v>
      </c>
      <c r="C82" s="644">
        <v>45870</v>
      </c>
      <c r="D82" s="626" t="s">
        <v>1489</v>
      </c>
      <c r="E82" s="626" t="s">
        <v>1684</v>
      </c>
      <c r="F82" s="626"/>
      <c r="G82" s="132"/>
      <c r="H82" s="645"/>
      <c r="I82" s="626" t="s">
        <v>1562</v>
      </c>
      <c r="J82" s="592"/>
      <c r="K82" s="16"/>
      <c r="L82" s="132"/>
      <c r="M82" s="132"/>
      <c r="N82" s="595"/>
      <c r="O82" s="16" t="s">
        <v>1683</v>
      </c>
      <c r="P82" s="598"/>
    </row>
    <row r="83" spans="1:16" ht="20.399999999999999" hidden="1" customHeight="1" x14ac:dyDescent="0.3">
      <c r="A83" s="590" t="s">
        <v>232</v>
      </c>
      <c r="B83" s="37" t="s">
        <v>233</v>
      </c>
      <c r="C83" s="644">
        <v>45839</v>
      </c>
      <c r="D83" s="626" t="s">
        <v>1489</v>
      </c>
      <c r="E83" s="626" t="s">
        <v>1684</v>
      </c>
      <c r="F83" s="626"/>
      <c r="G83" s="132"/>
      <c r="H83" s="645" t="s">
        <v>1709</v>
      </c>
      <c r="I83" s="626" t="s">
        <v>1562</v>
      </c>
      <c r="J83" s="592"/>
      <c r="K83" s="16"/>
      <c r="L83" s="132"/>
      <c r="M83" s="132"/>
      <c r="N83" s="595"/>
      <c r="O83" s="16" t="s">
        <v>1683</v>
      </c>
      <c r="P83" s="16"/>
    </row>
    <row r="84" spans="1:16" ht="20.399999999999999" hidden="1" customHeight="1" x14ac:dyDescent="0.3">
      <c r="A84" s="590" t="s">
        <v>234</v>
      </c>
      <c r="B84" s="37" t="s">
        <v>1686</v>
      </c>
      <c r="C84" s="644">
        <v>45901</v>
      </c>
      <c r="D84" s="626" t="s">
        <v>1466</v>
      </c>
      <c r="E84" s="626" t="s">
        <v>1682</v>
      </c>
      <c r="F84" s="626"/>
      <c r="G84" s="132"/>
      <c r="H84" s="645" t="s">
        <v>1710</v>
      </c>
      <c r="I84" s="626" t="s">
        <v>1562</v>
      </c>
      <c r="J84" s="592"/>
      <c r="K84" s="16"/>
      <c r="L84" s="132"/>
      <c r="M84" s="132"/>
      <c r="N84" s="595"/>
      <c r="O84" s="16" t="s">
        <v>1683</v>
      </c>
      <c r="P84" s="16"/>
    </row>
    <row r="85" spans="1:16" ht="20.399999999999999" hidden="1" customHeight="1" x14ac:dyDescent="0.3">
      <c r="A85" s="590" t="s">
        <v>235</v>
      </c>
      <c r="B85" s="37" t="s">
        <v>1681</v>
      </c>
      <c r="C85" s="644">
        <v>45839</v>
      </c>
      <c r="D85" s="626" t="s">
        <v>1489</v>
      </c>
      <c r="E85" s="626" t="s">
        <v>1684</v>
      </c>
      <c r="F85" s="626"/>
      <c r="G85" s="132"/>
      <c r="H85" s="645" t="s">
        <v>1711</v>
      </c>
      <c r="I85" s="626" t="s">
        <v>1562</v>
      </c>
      <c r="J85" s="592"/>
      <c r="K85" s="16"/>
      <c r="L85" s="132"/>
      <c r="M85" s="132"/>
      <c r="N85" s="595"/>
      <c r="O85" s="16" t="s">
        <v>1683</v>
      </c>
      <c r="P85" s="16"/>
    </row>
    <row r="86" spans="1:16" ht="20.399999999999999" hidden="1" customHeight="1" x14ac:dyDescent="0.3">
      <c r="A86" s="590" t="s">
        <v>236</v>
      </c>
      <c r="B86" s="37" t="s">
        <v>1681</v>
      </c>
      <c r="C86" s="644">
        <v>45901</v>
      </c>
      <c r="D86" s="626" t="s">
        <v>1466</v>
      </c>
      <c r="E86" s="626" t="s">
        <v>1682</v>
      </c>
      <c r="F86" s="626"/>
      <c r="G86" s="132"/>
      <c r="H86" s="645" t="s">
        <v>1712</v>
      </c>
      <c r="I86" s="626" t="s">
        <v>1562</v>
      </c>
      <c r="J86" s="592"/>
      <c r="K86" s="16"/>
      <c r="L86" s="132"/>
      <c r="M86" s="132"/>
      <c r="N86" s="595"/>
      <c r="O86" s="16" t="s">
        <v>1683</v>
      </c>
      <c r="P86" s="598"/>
    </row>
    <row r="87" spans="1:16" ht="20.399999999999999" hidden="1" customHeight="1" x14ac:dyDescent="0.3">
      <c r="A87" s="590" t="s">
        <v>237</v>
      </c>
      <c r="B87" s="37" t="s">
        <v>1686</v>
      </c>
      <c r="C87" s="644">
        <v>45870</v>
      </c>
      <c r="D87" s="626" t="s">
        <v>1451</v>
      </c>
      <c r="E87" s="626" t="s">
        <v>1692</v>
      </c>
      <c r="F87" s="626"/>
      <c r="G87" s="132"/>
      <c r="H87" s="645" t="s">
        <v>1713</v>
      </c>
      <c r="I87" s="626" t="s">
        <v>1696</v>
      </c>
      <c r="J87" s="592"/>
      <c r="K87" s="16"/>
      <c r="L87" s="132"/>
      <c r="M87" s="132"/>
      <c r="N87" s="595"/>
      <c r="O87" s="16" t="s">
        <v>1683</v>
      </c>
      <c r="P87" s="16"/>
    </row>
    <row r="88" spans="1:16" ht="57.6" hidden="1" x14ac:dyDescent="0.3">
      <c r="A88" s="590" t="s">
        <v>238</v>
      </c>
      <c r="B88" s="37" t="s">
        <v>1686</v>
      </c>
      <c r="C88" s="644">
        <v>45839</v>
      </c>
      <c r="D88" s="626" t="s">
        <v>1489</v>
      </c>
      <c r="E88" s="626" t="s">
        <v>1687</v>
      </c>
      <c r="F88" s="626"/>
      <c r="G88" s="132"/>
      <c r="H88" s="645" t="s">
        <v>1714</v>
      </c>
      <c r="I88" s="626" t="s">
        <v>1562</v>
      </c>
      <c r="J88" s="646"/>
      <c r="K88" s="16"/>
      <c r="L88" s="132"/>
      <c r="M88" s="132"/>
      <c r="N88" s="595"/>
      <c r="O88" s="16" t="s">
        <v>1683</v>
      </c>
      <c r="P88" s="16"/>
    </row>
    <row r="89" spans="1:16" ht="158.4" hidden="1" x14ac:dyDescent="0.3">
      <c r="A89" s="590" t="s">
        <v>239</v>
      </c>
      <c r="B89" s="37" t="s">
        <v>1681</v>
      </c>
      <c r="C89" s="644">
        <v>45839</v>
      </c>
      <c r="D89" s="626" t="s">
        <v>1451</v>
      </c>
      <c r="E89" s="626" t="s">
        <v>1692</v>
      </c>
      <c r="F89" s="626"/>
      <c r="G89" s="132"/>
      <c r="H89" s="645" t="s">
        <v>1715</v>
      </c>
      <c r="I89" s="626" t="s">
        <v>1562</v>
      </c>
      <c r="J89" s="646"/>
      <c r="K89" s="16"/>
      <c r="L89" s="132"/>
      <c r="M89" s="132"/>
      <c r="N89" s="595"/>
      <c r="O89" s="16" t="s">
        <v>1683</v>
      </c>
      <c r="P89" s="16"/>
    </row>
    <row r="90" spans="1:16" ht="57.6" hidden="1" x14ac:dyDescent="0.3">
      <c r="A90" s="590" t="s">
        <v>240</v>
      </c>
      <c r="B90" s="37" t="s">
        <v>1681</v>
      </c>
      <c r="C90" s="644">
        <v>45901</v>
      </c>
      <c r="D90" s="626" t="s">
        <v>1451</v>
      </c>
      <c r="E90" s="626" t="s">
        <v>1692</v>
      </c>
      <c r="F90" s="626"/>
      <c r="G90" s="132"/>
      <c r="H90" s="645" t="s">
        <v>1716</v>
      </c>
      <c r="I90" s="626" t="s">
        <v>1562</v>
      </c>
      <c r="J90" s="646"/>
      <c r="K90" s="16"/>
      <c r="L90" s="132"/>
      <c r="M90" s="132"/>
      <c r="N90" s="595"/>
      <c r="O90" s="16" t="s">
        <v>1683</v>
      </c>
      <c r="P90" s="16"/>
    </row>
    <row r="91" spans="1:16" hidden="1" x14ac:dyDescent="0.3">
      <c r="A91" s="590" t="s">
        <v>241</v>
      </c>
      <c r="B91" s="37" t="s">
        <v>1681</v>
      </c>
      <c r="C91" s="591">
        <v>45992</v>
      </c>
      <c r="D91" s="592" t="s">
        <v>1451</v>
      </c>
      <c r="E91" s="592" t="s">
        <v>1692</v>
      </c>
      <c r="F91" s="626"/>
      <c r="G91" s="132"/>
      <c r="H91" s="595"/>
      <c r="I91" s="592"/>
      <c r="J91" s="646"/>
      <c r="K91" s="16"/>
      <c r="L91" s="132"/>
      <c r="M91" s="132"/>
      <c r="N91" s="595"/>
      <c r="O91" s="16"/>
      <c r="P91" s="16"/>
    </row>
    <row r="92" spans="1:16" ht="57.6" hidden="1" x14ac:dyDescent="0.3">
      <c r="A92" s="590" t="s">
        <v>242</v>
      </c>
      <c r="B92" s="37" t="s">
        <v>1681</v>
      </c>
      <c r="C92" s="644"/>
      <c r="D92" s="626" t="s">
        <v>1451</v>
      </c>
      <c r="E92" s="626" t="s">
        <v>1692</v>
      </c>
      <c r="F92" s="626"/>
      <c r="G92" s="132"/>
      <c r="H92" s="645" t="s">
        <v>1717</v>
      </c>
      <c r="I92" s="626" t="s">
        <v>1562</v>
      </c>
      <c r="J92" s="646"/>
      <c r="K92" s="16"/>
      <c r="L92" s="132"/>
      <c r="M92" s="132"/>
      <c r="N92" s="595"/>
      <c r="O92" s="16" t="s">
        <v>1683</v>
      </c>
      <c r="P92" s="16"/>
    </row>
    <row r="93" spans="1:16" ht="28.8" hidden="1" x14ac:dyDescent="0.3">
      <c r="A93" s="590" t="s">
        <v>243</v>
      </c>
      <c r="B93" s="37" t="s">
        <v>1686</v>
      </c>
      <c r="C93" s="644">
        <v>45839</v>
      </c>
      <c r="D93" s="626" t="s">
        <v>1489</v>
      </c>
      <c r="E93" s="626" t="s">
        <v>1684</v>
      </c>
      <c r="F93" s="626"/>
      <c r="G93" s="132"/>
      <c r="H93" s="645" t="s">
        <v>1718</v>
      </c>
      <c r="I93" s="626" t="s">
        <v>1562</v>
      </c>
      <c r="J93" s="646"/>
      <c r="K93" s="16"/>
      <c r="L93" s="132"/>
      <c r="M93" s="132"/>
      <c r="N93" s="595"/>
      <c r="O93" s="16" t="s">
        <v>1683</v>
      </c>
      <c r="P93" s="16"/>
    </row>
    <row r="94" spans="1:16" ht="57.6" hidden="1" x14ac:dyDescent="0.3">
      <c r="A94" s="590" t="s">
        <v>244</v>
      </c>
      <c r="B94" s="37" t="s">
        <v>1681</v>
      </c>
      <c r="C94" s="644"/>
      <c r="D94" s="626" t="s">
        <v>1489</v>
      </c>
      <c r="E94" s="626" t="s">
        <v>1687</v>
      </c>
      <c r="F94" s="626"/>
      <c r="G94" s="132"/>
      <c r="H94" s="645" t="s">
        <v>1719</v>
      </c>
      <c r="I94" s="626" t="s">
        <v>1696</v>
      </c>
      <c r="J94" s="646"/>
      <c r="K94" s="16"/>
      <c r="L94" s="132"/>
      <c r="M94" s="132"/>
      <c r="N94" s="595"/>
      <c r="O94" s="16" t="s">
        <v>1683</v>
      </c>
      <c r="P94" s="16"/>
    </row>
    <row r="95" spans="1:16" hidden="1" x14ac:dyDescent="0.3">
      <c r="A95" s="590" t="s">
        <v>245</v>
      </c>
      <c r="B95" s="37" t="s">
        <v>1681</v>
      </c>
      <c r="C95" s="644">
        <v>45809</v>
      </c>
      <c r="D95" s="626" t="s">
        <v>1489</v>
      </c>
      <c r="E95" s="626" t="s">
        <v>1687</v>
      </c>
      <c r="F95" s="626"/>
      <c r="G95" s="132"/>
      <c r="H95" s="645" t="s">
        <v>1720</v>
      </c>
      <c r="I95" s="626" t="s">
        <v>1562</v>
      </c>
      <c r="J95" s="646"/>
      <c r="K95" s="16"/>
      <c r="L95" s="132"/>
      <c r="M95" s="132"/>
      <c r="N95" s="595"/>
      <c r="O95" s="16" t="s">
        <v>1683</v>
      </c>
      <c r="P95" s="16"/>
    </row>
    <row r="96" spans="1:16" ht="28.8" hidden="1" x14ac:dyDescent="0.3">
      <c r="A96" s="590" t="s">
        <v>246</v>
      </c>
      <c r="B96" s="37" t="s">
        <v>1681</v>
      </c>
      <c r="C96" s="644">
        <v>45901</v>
      </c>
      <c r="D96" s="626" t="s">
        <v>1466</v>
      </c>
      <c r="E96" s="626" t="s">
        <v>1682</v>
      </c>
      <c r="F96" s="626"/>
      <c r="G96" s="132"/>
      <c r="H96" s="645"/>
      <c r="I96" s="626" t="s">
        <v>1562</v>
      </c>
      <c r="J96" s="646"/>
      <c r="K96" s="16"/>
      <c r="L96" s="132"/>
      <c r="M96" s="132"/>
      <c r="N96" s="595"/>
      <c r="O96" s="16" t="s">
        <v>1683</v>
      </c>
      <c r="P96" s="16"/>
    </row>
    <row r="97" spans="1:16" ht="28.8" hidden="1" x14ac:dyDescent="0.3">
      <c r="A97" s="590" t="s">
        <v>247</v>
      </c>
      <c r="B97" s="37" t="s">
        <v>233</v>
      </c>
      <c r="C97" s="644">
        <v>45901</v>
      </c>
      <c r="D97" s="626" t="s">
        <v>1489</v>
      </c>
      <c r="E97" s="626" t="s">
        <v>1687</v>
      </c>
      <c r="F97" s="626"/>
      <c r="G97" s="132"/>
      <c r="H97" s="645" t="s">
        <v>1721</v>
      </c>
      <c r="I97" s="626" t="s">
        <v>1562</v>
      </c>
      <c r="J97" s="646"/>
      <c r="K97" s="16"/>
      <c r="L97" s="132"/>
      <c r="M97" s="132"/>
      <c r="N97" s="595"/>
      <c r="O97" s="16" t="s">
        <v>1683</v>
      </c>
      <c r="P97" s="16"/>
    </row>
    <row r="98" spans="1:16" ht="57.6" hidden="1" x14ac:dyDescent="0.3">
      <c r="A98" s="626" t="s">
        <v>248</v>
      </c>
      <c r="B98" s="37" t="s">
        <v>1686</v>
      </c>
      <c r="C98" s="644"/>
      <c r="D98" s="626" t="s">
        <v>1489</v>
      </c>
      <c r="E98" s="626" t="s">
        <v>1687</v>
      </c>
      <c r="F98" s="626"/>
      <c r="G98" s="132"/>
      <c r="H98" s="645" t="s">
        <v>1722</v>
      </c>
      <c r="I98" s="626" t="s">
        <v>1562</v>
      </c>
      <c r="J98" s="646"/>
      <c r="K98" s="16"/>
      <c r="L98" s="132"/>
      <c r="M98" s="132"/>
      <c r="N98" s="595"/>
      <c r="O98" s="16" t="s">
        <v>1683</v>
      </c>
      <c r="P98" s="16"/>
    </row>
    <row r="99" spans="1:16" hidden="1" x14ac:dyDescent="0.3">
      <c r="A99" s="590" t="s">
        <v>249</v>
      </c>
      <c r="B99" s="37" t="s">
        <v>1681</v>
      </c>
      <c r="C99" s="591">
        <v>45992</v>
      </c>
      <c r="D99" s="592" t="s">
        <v>1451</v>
      </c>
      <c r="E99" s="592" t="s">
        <v>1692</v>
      </c>
      <c r="F99" s="626"/>
      <c r="G99" s="132"/>
      <c r="H99" s="595"/>
      <c r="I99" s="592"/>
      <c r="J99" s="646"/>
      <c r="K99" s="16"/>
      <c r="L99" s="132"/>
      <c r="M99" s="132"/>
      <c r="N99" s="595"/>
      <c r="O99" s="16"/>
      <c r="P99" s="16"/>
    </row>
    <row r="100" spans="1:16" hidden="1" x14ac:dyDescent="0.3">
      <c r="A100" s="590" t="s">
        <v>250</v>
      </c>
      <c r="B100" s="37" t="s">
        <v>233</v>
      </c>
      <c r="C100" s="644">
        <v>45870</v>
      </c>
      <c r="D100" s="626" t="s">
        <v>1489</v>
      </c>
      <c r="E100" s="626" t="s">
        <v>1684</v>
      </c>
      <c r="F100" s="626"/>
      <c r="G100" s="132"/>
      <c r="H100" s="645"/>
      <c r="I100" s="626" t="s">
        <v>1562</v>
      </c>
      <c r="J100" s="646"/>
      <c r="K100" s="16"/>
      <c r="L100" s="132"/>
      <c r="M100" s="132"/>
      <c r="N100" s="595"/>
      <c r="O100" s="16" t="s">
        <v>1683</v>
      </c>
      <c r="P100" s="16"/>
    </row>
    <row r="101" spans="1:16" ht="57.6" hidden="1" x14ac:dyDescent="0.3">
      <c r="A101" s="590" t="s">
        <v>251</v>
      </c>
      <c r="B101" s="37" t="s">
        <v>1681</v>
      </c>
      <c r="C101" s="644">
        <v>45901</v>
      </c>
      <c r="D101" s="626" t="s">
        <v>1466</v>
      </c>
      <c r="E101" s="626" t="s">
        <v>1682</v>
      </c>
      <c r="F101" s="626"/>
      <c r="G101" s="132"/>
      <c r="H101" s="645" t="s">
        <v>1723</v>
      </c>
      <c r="I101" s="626" t="s">
        <v>1696</v>
      </c>
      <c r="J101" s="646"/>
      <c r="K101" s="16"/>
      <c r="L101" s="132"/>
      <c r="M101" s="132"/>
      <c r="N101" s="595"/>
      <c r="O101" s="16" t="s">
        <v>1683</v>
      </c>
      <c r="P101" s="16"/>
    </row>
    <row r="102" spans="1:16" ht="86.4" hidden="1" x14ac:dyDescent="0.3">
      <c r="A102" s="590" t="s">
        <v>252</v>
      </c>
      <c r="B102" s="37" t="s">
        <v>1681</v>
      </c>
      <c r="C102" s="644">
        <v>45839</v>
      </c>
      <c r="D102" s="626" t="s">
        <v>1489</v>
      </c>
      <c r="E102" s="626" t="s">
        <v>1687</v>
      </c>
      <c r="F102" s="626"/>
      <c r="G102" s="132"/>
      <c r="H102" s="645" t="s">
        <v>1724</v>
      </c>
      <c r="I102" s="626" t="s">
        <v>1696</v>
      </c>
      <c r="J102" s="646"/>
      <c r="K102" s="16"/>
      <c r="L102" s="132"/>
      <c r="M102" s="132"/>
      <c r="N102" s="595"/>
      <c r="O102" s="16" t="s">
        <v>1683</v>
      </c>
      <c r="P102" s="16"/>
    </row>
    <row r="103" spans="1:16" ht="43.2" hidden="1" x14ac:dyDescent="0.3">
      <c r="A103" s="590" t="s">
        <v>54</v>
      </c>
      <c r="B103" s="37" t="s">
        <v>1681</v>
      </c>
      <c r="C103" s="644">
        <v>45839</v>
      </c>
      <c r="D103" s="626" t="s">
        <v>1489</v>
      </c>
      <c r="E103" s="626" t="s">
        <v>1687</v>
      </c>
      <c r="F103" s="626"/>
      <c r="G103" s="132"/>
      <c r="H103" s="645" t="s">
        <v>1725</v>
      </c>
      <c r="I103" s="626" t="s">
        <v>1562</v>
      </c>
      <c r="J103" s="646"/>
      <c r="K103" s="16"/>
      <c r="L103" s="132" t="s">
        <v>253</v>
      </c>
      <c r="M103" s="53" t="s">
        <v>254</v>
      </c>
      <c r="N103" s="595">
        <v>9825135716</v>
      </c>
      <c r="O103" s="16" t="s">
        <v>1683</v>
      </c>
      <c r="P103" s="16"/>
    </row>
    <row r="104" spans="1:16" ht="409.6" hidden="1" x14ac:dyDescent="0.3">
      <c r="A104" s="590" t="s">
        <v>255</v>
      </c>
      <c r="B104" s="600" t="s">
        <v>1450</v>
      </c>
      <c r="C104" s="644">
        <v>45901</v>
      </c>
      <c r="D104" s="626" t="s">
        <v>1489</v>
      </c>
      <c r="E104" s="626" t="s">
        <v>1687</v>
      </c>
      <c r="F104" s="626"/>
      <c r="G104" s="132"/>
      <c r="H104" s="645" t="s">
        <v>1726</v>
      </c>
      <c r="I104" s="626" t="s">
        <v>1562</v>
      </c>
      <c r="J104" s="646"/>
      <c r="K104" s="16"/>
      <c r="L104" s="132"/>
      <c r="M104" s="132"/>
      <c r="N104" s="595"/>
      <c r="O104" s="16" t="s">
        <v>1458</v>
      </c>
      <c r="P104" s="16"/>
    </row>
    <row r="105" spans="1:16" ht="43.2" hidden="1" x14ac:dyDescent="0.3">
      <c r="A105" s="590" t="s">
        <v>46</v>
      </c>
      <c r="B105" s="590" t="s">
        <v>1681</v>
      </c>
      <c r="C105" s="591">
        <v>45901</v>
      </c>
      <c r="D105" s="592" t="s">
        <v>1466</v>
      </c>
      <c r="E105" s="592" t="s">
        <v>256</v>
      </c>
      <c r="F105" s="592"/>
      <c r="G105" s="647" t="s">
        <v>1727</v>
      </c>
      <c r="H105" s="636" t="s">
        <v>1728</v>
      </c>
      <c r="I105" s="592" t="s">
        <v>1727</v>
      </c>
      <c r="J105" s="646" t="s">
        <v>1482</v>
      </c>
      <c r="K105" s="612" t="s">
        <v>1729</v>
      </c>
      <c r="L105" s="132" t="s">
        <v>257</v>
      </c>
      <c r="M105" s="132" t="s">
        <v>258</v>
      </c>
      <c r="N105" s="595">
        <v>9884422270</v>
      </c>
      <c r="O105" s="16" t="s">
        <v>1683</v>
      </c>
      <c r="P105" s="16"/>
    </row>
    <row r="106" spans="1:16" ht="115.2" hidden="1" x14ac:dyDescent="0.3">
      <c r="A106" s="590" t="s">
        <v>50</v>
      </c>
      <c r="B106" s="590" t="s">
        <v>1681</v>
      </c>
      <c r="C106" s="591">
        <v>45962</v>
      </c>
      <c r="D106" s="617" t="s">
        <v>1489</v>
      </c>
      <c r="E106" s="592" t="s">
        <v>1730</v>
      </c>
      <c r="F106" s="592"/>
      <c r="G106" s="602" t="s">
        <v>1731</v>
      </c>
      <c r="H106" s="618" t="s">
        <v>1732</v>
      </c>
      <c r="I106" s="617" t="s">
        <v>1557</v>
      </c>
      <c r="J106" s="648" t="s">
        <v>1527</v>
      </c>
      <c r="K106" s="16"/>
      <c r="L106" s="132"/>
      <c r="M106" s="132"/>
      <c r="N106" s="595"/>
      <c r="O106" s="16" t="s">
        <v>1683</v>
      </c>
      <c r="P106" s="16"/>
    </row>
    <row r="107" spans="1:16" ht="43.2" hidden="1" x14ac:dyDescent="0.3">
      <c r="A107" s="590" t="s">
        <v>42</v>
      </c>
      <c r="B107" s="590" t="s">
        <v>1681</v>
      </c>
      <c r="C107" s="591">
        <v>45962</v>
      </c>
      <c r="D107" s="617" t="s">
        <v>1489</v>
      </c>
      <c r="E107" s="592" t="s">
        <v>1730</v>
      </c>
      <c r="F107" s="592"/>
      <c r="G107" s="602" t="s">
        <v>1733</v>
      </c>
      <c r="H107" s="618" t="s">
        <v>1734</v>
      </c>
      <c r="I107" s="617" t="s">
        <v>1636</v>
      </c>
      <c r="J107" s="648" t="s">
        <v>1527</v>
      </c>
      <c r="K107" s="16"/>
      <c r="L107" s="132"/>
      <c r="M107" s="132"/>
      <c r="N107" s="595"/>
      <c r="O107" s="16" t="s">
        <v>1683</v>
      </c>
      <c r="P107" s="16"/>
    </row>
    <row r="108" spans="1:16" ht="93.6" hidden="1" x14ac:dyDescent="0.3">
      <c r="A108" s="590" t="s">
        <v>12</v>
      </c>
      <c r="B108" s="590" t="s">
        <v>1681</v>
      </c>
      <c r="C108" s="591">
        <v>45839</v>
      </c>
      <c r="D108" s="592" t="s">
        <v>1735</v>
      </c>
      <c r="E108" s="592" t="s">
        <v>1730</v>
      </c>
      <c r="F108" s="592" t="s">
        <v>1736</v>
      </c>
      <c r="G108" s="649" t="s">
        <v>1737</v>
      </c>
      <c r="H108" s="595" t="s">
        <v>1738</v>
      </c>
      <c r="I108" s="592" t="s">
        <v>1736</v>
      </c>
      <c r="J108" s="646" t="s">
        <v>1585</v>
      </c>
      <c r="K108" s="632" t="s">
        <v>1739</v>
      </c>
      <c r="L108" s="132"/>
      <c r="M108" s="132"/>
      <c r="N108" s="595"/>
      <c r="O108" s="16" t="s">
        <v>1683</v>
      </c>
      <c r="P108" s="16"/>
    </row>
    <row r="109" spans="1:16" hidden="1" x14ac:dyDescent="0.3">
      <c r="A109" s="590" t="s">
        <v>259</v>
      </c>
      <c r="B109" s="590" t="s">
        <v>1681</v>
      </c>
      <c r="C109" s="591">
        <v>45870</v>
      </c>
      <c r="D109" s="592" t="s">
        <v>1466</v>
      </c>
      <c r="E109" s="592" t="s">
        <v>256</v>
      </c>
      <c r="F109" s="592"/>
      <c r="G109" s="132" t="s">
        <v>1740</v>
      </c>
      <c r="H109" s="595" t="s">
        <v>1741</v>
      </c>
      <c r="I109" s="592" t="s">
        <v>1562</v>
      </c>
      <c r="J109" s="646" t="s">
        <v>1527</v>
      </c>
      <c r="K109" s="16"/>
      <c r="L109" s="132"/>
      <c r="M109" s="132"/>
      <c r="N109" s="595"/>
      <c r="O109" s="16" t="s">
        <v>1683</v>
      </c>
      <c r="P109" s="16"/>
    </row>
    <row r="110" spans="1:16" ht="43.2" hidden="1" x14ac:dyDescent="0.3">
      <c r="A110" s="600" t="s">
        <v>29</v>
      </c>
      <c r="B110" s="590" t="s">
        <v>1681</v>
      </c>
      <c r="C110" s="591">
        <v>45992</v>
      </c>
      <c r="D110" s="601" t="s">
        <v>1489</v>
      </c>
      <c r="E110" s="592" t="s">
        <v>1730</v>
      </c>
      <c r="F110" s="592"/>
      <c r="G110" s="602" t="s">
        <v>1742</v>
      </c>
      <c r="H110" s="603" t="s">
        <v>1743</v>
      </c>
      <c r="I110" s="601" t="s">
        <v>1744</v>
      </c>
      <c r="J110" s="650" t="s">
        <v>1527</v>
      </c>
      <c r="K110" s="16"/>
      <c r="L110" s="605" t="s">
        <v>260</v>
      </c>
      <c r="M110" s="606" t="s">
        <v>261</v>
      </c>
      <c r="N110" s="629">
        <v>9712377798</v>
      </c>
      <c r="O110" s="16" t="s">
        <v>1683</v>
      </c>
      <c r="P110" s="16"/>
    </row>
    <row r="111" spans="1:16" ht="43.2" hidden="1" x14ac:dyDescent="0.3">
      <c r="A111" s="590" t="s">
        <v>262</v>
      </c>
      <c r="B111" s="590" t="s">
        <v>1681</v>
      </c>
      <c r="C111" s="591">
        <v>45962</v>
      </c>
      <c r="D111" s="617" t="s">
        <v>1489</v>
      </c>
      <c r="E111" s="651" t="s">
        <v>1730</v>
      </c>
      <c r="F111" s="651"/>
      <c r="G111" s="602" t="s">
        <v>1745</v>
      </c>
      <c r="H111" s="618" t="s">
        <v>1746</v>
      </c>
      <c r="I111" s="617" t="s">
        <v>1747</v>
      </c>
      <c r="J111" s="648" t="s">
        <v>1527</v>
      </c>
      <c r="K111" s="16"/>
      <c r="L111" s="132"/>
      <c r="M111" s="132"/>
      <c r="N111" s="595"/>
      <c r="O111" s="16" t="s">
        <v>1683</v>
      </c>
      <c r="P111" s="16"/>
    </row>
    <row r="112" spans="1:16" ht="60" hidden="1" x14ac:dyDescent="0.3">
      <c r="A112" s="590" t="s">
        <v>263</v>
      </c>
      <c r="B112" s="590" t="s">
        <v>1681</v>
      </c>
      <c r="C112" s="591">
        <v>45901</v>
      </c>
      <c r="D112" s="592" t="s">
        <v>1466</v>
      </c>
      <c r="E112" s="592" t="s">
        <v>256</v>
      </c>
      <c r="F112" s="592"/>
      <c r="G112" s="609" t="s">
        <v>1748</v>
      </c>
      <c r="H112" s="636" t="s">
        <v>1749</v>
      </c>
      <c r="I112" s="630" t="s">
        <v>1750</v>
      </c>
      <c r="J112" s="646" t="s">
        <v>1482</v>
      </c>
      <c r="K112" s="612" t="s">
        <v>1751</v>
      </c>
      <c r="L112" s="132"/>
      <c r="M112" s="132"/>
      <c r="N112" s="595"/>
      <c r="O112" s="16" t="s">
        <v>1683</v>
      </c>
      <c r="P112" s="16"/>
    </row>
    <row r="113" spans="1:16" ht="72" hidden="1" x14ac:dyDescent="0.3">
      <c r="A113" s="590" t="s">
        <v>74</v>
      </c>
      <c r="B113" s="590" t="s">
        <v>1681</v>
      </c>
      <c r="C113" s="591">
        <v>45931</v>
      </c>
      <c r="D113" s="592" t="s">
        <v>1466</v>
      </c>
      <c r="E113" s="592" t="s">
        <v>256</v>
      </c>
      <c r="F113" s="592"/>
      <c r="G113" s="609" t="s">
        <v>1752</v>
      </c>
      <c r="H113" s="610" t="s">
        <v>1753</v>
      </c>
      <c r="I113" s="641"/>
      <c r="J113" s="652" t="s">
        <v>1527</v>
      </c>
      <c r="K113" s="612" t="s">
        <v>1754</v>
      </c>
      <c r="L113" s="132"/>
      <c r="M113" s="132"/>
      <c r="N113" s="595"/>
      <c r="O113" s="16" t="s">
        <v>1683</v>
      </c>
      <c r="P113" s="16"/>
    </row>
    <row r="114" spans="1:16" ht="144" hidden="1" x14ac:dyDescent="0.3">
      <c r="A114" s="600" t="s">
        <v>78</v>
      </c>
      <c r="B114" s="590" t="s">
        <v>1681</v>
      </c>
      <c r="C114" s="591">
        <v>45992</v>
      </c>
      <c r="D114" s="601" t="s">
        <v>1489</v>
      </c>
      <c r="E114" s="592" t="s">
        <v>1730</v>
      </c>
      <c r="F114" s="592"/>
      <c r="G114" s="602" t="s">
        <v>1755</v>
      </c>
      <c r="H114" s="603" t="s">
        <v>1756</v>
      </c>
      <c r="I114" s="601" t="s">
        <v>1557</v>
      </c>
      <c r="J114" s="650" t="s">
        <v>1527</v>
      </c>
      <c r="K114" s="16"/>
      <c r="L114" s="605" t="s">
        <v>264</v>
      </c>
      <c r="M114" s="606" t="s">
        <v>265</v>
      </c>
      <c r="N114" s="629">
        <v>9664922209</v>
      </c>
      <c r="O114" s="16" t="s">
        <v>1683</v>
      </c>
      <c r="P114" s="16"/>
    </row>
    <row r="115" spans="1:16" ht="57.6" hidden="1" x14ac:dyDescent="0.3">
      <c r="A115" s="590" t="s">
        <v>266</v>
      </c>
      <c r="B115" s="590" t="s">
        <v>1681</v>
      </c>
      <c r="C115" s="591">
        <v>45870</v>
      </c>
      <c r="D115" s="592" t="s">
        <v>1451</v>
      </c>
      <c r="E115" s="592" t="s">
        <v>1757</v>
      </c>
      <c r="F115" s="592"/>
      <c r="G115" s="132" t="s">
        <v>1758</v>
      </c>
      <c r="H115" s="595" t="s">
        <v>1759</v>
      </c>
      <c r="I115" s="592" t="s">
        <v>1760</v>
      </c>
      <c r="J115" s="646" t="s">
        <v>1482</v>
      </c>
      <c r="K115" s="16"/>
      <c r="L115" s="132"/>
      <c r="M115" s="132"/>
      <c r="N115" s="595"/>
      <c r="O115" s="16" t="s">
        <v>1683</v>
      </c>
      <c r="P115" s="16"/>
    </row>
    <row r="116" spans="1:16" ht="100.8" hidden="1" x14ac:dyDescent="0.3">
      <c r="A116" s="590" t="s">
        <v>267</v>
      </c>
      <c r="B116" s="590" t="s">
        <v>1681</v>
      </c>
      <c r="C116" s="591">
        <v>45870</v>
      </c>
      <c r="D116" s="592" t="s">
        <v>1451</v>
      </c>
      <c r="E116" s="592" t="s">
        <v>1757</v>
      </c>
      <c r="F116" s="592"/>
      <c r="G116" s="132" t="s">
        <v>1761</v>
      </c>
      <c r="H116" s="595" t="s">
        <v>1762</v>
      </c>
      <c r="I116" s="592" t="s">
        <v>1763</v>
      </c>
      <c r="J116" s="646" t="s">
        <v>1527</v>
      </c>
      <c r="K116" s="16"/>
      <c r="L116" s="132"/>
      <c r="M116" s="132"/>
      <c r="N116" s="595"/>
      <c r="O116" s="16" t="s">
        <v>1683</v>
      </c>
      <c r="P116" s="16"/>
    </row>
    <row r="117" spans="1:16" ht="57.6" hidden="1" x14ac:dyDescent="0.3">
      <c r="A117" s="590" t="s">
        <v>268</v>
      </c>
      <c r="B117" s="590" t="s">
        <v>1681</v>
      </c>
      <c r="C117" s="591">
        <v>45901</v>
      </c>
      <c r="D117" s="592" t="s">
        <v>1451</v>
      </c>
      <c r="E117" s="592" t="s">
        <v>1757</v>
      </c>
      <c r="F117" s="592"/>
      <c r="G117" s="609" t="s">
        <v>1764</v>
      </c>
      <c r="H117" s="595" t="s">
        <v>1765</v>
      </c>
      <c r="I117" s="592" t="s">
        <v>1643</v>
      </c>
      <c r="J117" s="646" t="s">
        <v>1476</v>
      </c>
      <c r="K117" s="16"/>
      <c r="L117" s="132"/>
      <c r="M117" s="132"/>
      <c r="N117" s="595"/>
      <c r="O117" s="16" t="s">
        <v>1683</v>
      </c>
      <c r="P117" s="16"/>
    </row>
    <row r="118" spans="1:16" hidden="1" x14ac:dyDescent="0.3">
      <c r="A118" s="590" t="s">
        <v>269</v>
      </c>
      <c r="B118" s="590" t="s">
        <v>1681</v>
      </c>
      <c r="C118" s="591">
        <v>45931</v>
      </c>
      <c r="D118" s="592" t="s">
        <v>1466</v>
      </c>
      <c r="E118" s="592" t="s">
        <v>256</v>
      </c>
      <c r="F118" s="592"/>
      <c r="G118" s="653"/>
      <c r="H118" s="640" t="s">
        <v>1766</v>
      </c>
      <c r="I118" s="641" t="s">
        <v>1767</v>
      </c>
      <c r="J118" s="652" t="s">
        <v>1527</v>
      </c>
      <c r="K118" s="612" t="s">
        <v>1768</v>
      </c>
      <c r="L118" s="132"/>
      <c r="M118" s="132"/>
      <c r="N118" s="595"/>
      <c r="O118" s="16" t="s">
        <v>1683</v>
      </c>
      <c r="P118" s="598"/>
    </row>
    <row r="119" spans="1:16" ht="57.6" hidden="1" x14ac:dyDescent="0.3">
      <c r="A119" s="589" t="s">
        <v>270</v>
      </c>
      <c r="B119" s="590" t="s">
        <v>1681</v>
      </c>
      <c r="C119" s="591">
        <v>45839</v>
      </c>
      <c r="D119" s="592" t="s">
        <v>1466</v>
      </c>
      <c r="E119" s="593" t="s">
        <v>256</v>
      </c>
      <c r="F119" s="593" t="s">
        <v>1589</v>
      </c>
      <c r="G119" s="654" t="s">
        <v>1769</v>
      </c>
      <c r="H119" s="618" t="s">
        <v>1770</v>
      </c>
      <c r="I119" s="617" t="s">
        <v>1589</v>
      </c>
      <c r="J119" s="648" t="s">
        <v>1585</v>
      </c>
      <c r="K119" s="18" t="s">
        <v>1771</v>
      </c>
      <c r="L119" s="132" t="s">
        <v>271</v>
      </c>
      <c r="M119" s="132" t="s">
        <v>272</v>
      </c>
      <c r="N119" s="595" t="s">
        <v>273</v>
      </c>
      <c r="O119" s="16" t="s">
        <v>1683</v>
      </c>
      <c r="P119" s="598"/>
    </row>
    <row r="120" spans="1:16" ht="72" hidden="1" x14ac:dyDescent="0.3">
      <c r="A120" s="590" t="s">
        <v>274</v>
      </c>
      <c r="B120" s="590" t="s">
        <v>1681</v>
      </c>
      <c r="C120" s="591">
        <v>45901</v>
      </c>
      <c r="D120" s="592" t="s">
        <v>1451</v>
      </c>
      <c r="E120" s="592" t="s">
        <v>1757</v>
      </c>
      <c r="F120" s="592"/>
      <c r="G120" s="609" t="s">
        <v>1772</v>
      </c>
      <c r="H120" s="595" t="s">
        <v>1773</v>
      </c>
      <c r="I120" s="592" t="s">
        <v>1774</v>
      </c>
      <c r="J120" s="646" t="s">
        <v>1527</v>
      </c>
      <c r="K120" s="612" t="s">
        <v>1775</v>
      </c>
      <c r="L120" s="132"/>
      <c r="M120" s="132"/>
      <c r="N120" s="595"/>
      <c r="O120" s="16" t="s">
        <v>1683</v>
      </c>
      <c r="P120" s="598"/>
    </row>
    <row r="121" spans="1:16" ht="72" hidden="1" x14ac:dyDescent="0.3">
      <c r="A121" s="590" t="s">
        <v>275</v>
      </c>
      <c r="B121" s="590" t="s">
        <v>1681</v>
      </c>
      <c r="C121" s="591">
        <v>45931</v>
      </c>
      <c r="D121" s="592" t="s">
        <v>1466</v>
      </c>
      <c r="E121" s="592" t="s">
        <v>256</v>
      </c>
      <c r="F121" s="592"/>
      <c r="G121" s="609" t="s">
        <v>1776</v>
      </c>
      <c r="H121" s="640" t="s">
        <v>1777</v>
      </c>
      <c r="I121" s="641" t="s">
        <v>1601</v>
      </c>
      <c r="J121" s="652" t="s">
        <v>1482</v>
      </c>
      <c r="K121" s="612" t="s">
        <v>275</v>
      </c>
      <c r="L121" s="132"/>
      <c r="M121" s="132"/>
      <c r="N121" s="595"/>
      <c r="O121" s="16" t="s">
        <v>1683</v>
      </c>
      <c r="P121" s="16"/>
    </row>
    <row r="122" spans="1:16" ht="273.60000000000002" hidden="1" x14ac:dyDescent="0.3">
      <c r="A122" s="37" t="s">
        <v>276</v>
      </c>
      <c r="B122" s="590" t="s">
        <v>1681</v>
      </c>
      <c r="C122" s="591">
        <v>45962</v>
      </c>
      <c r="D122" s="601" t="s">
        <v>1489</v>
      </c>
      <c r="E122" s="592" t="s">
        <v>1730</v>
      </c>
      <c r="F122" s="592"/>
      <c r="G122" s="19" t="s">
        <v>1778</v>
      </c>
      <c r="H122" s="603" t="s">
        <v>1779</v>
      </c>
      <c r="I122" s="601" t="s">
        <v>1780</v>
      </c>
      <c r="J122" s="650" t="s">
        <v>1482</v>
      </c>
      <c r="K122" s="16"/>
      <c r="L122" s="132"/>
      <c r="M122" s="132"/>
      <c r="N122" s="595"/>
      <c r="O122" s="16" t="s">
        <v>1683</v>
      </c>
      <c r="P122" s="16"/>
    </row>
    <row r="123" spans="1:16" ht="48" hidden="1" x14ac:dyDescent="0.3">
      <c r="A123" s="590" t="s">
        <v>277</v>
      </c>
      <c r="B123" s="590" t="s">
        <v>1681</v>
      </c>
      <c r="C123" s="591">
        <v>45901</v>
      </c>
      <c r="D123" s="592" t="s">
        <v>1466</v>
      </c>
      <c r="E123" s="592" t="s">
        <v>256</v>
      </c>
      <c r="F123" s="592"/>
      <c r="G123" s="609" t="s">
        <v>1781</v>
      </c>
      <c r="H123" s="655" t="s">
        <v>1782</v>
      </c>
      <c r="I123" s="656" t="s">
        <v>1557</v>
      </c>
      <c r="J123" s="656" t="s">
        <v>1527</v>
      </c>
      <c r="K123" s="612" t="s">
        <v>1783</v>
      </c>
      <c r="L123" s="132"/>
      <c r="M123" s="132"/>
      <c r="N123" s="595"/>
      <c r="O123" s="16" t="s">
        <v>1683</v>
      </c>
      <c r="P123" s="598"/>
    </row>
    <row r="124" spans="1:16" ht="129.6" hidden="1" x14ac:dyDescent="0.3">
      <c r="A124" s="600" t="s">
        <v>278</v>
      </c>
      <c r="B124" s="590" t="s">
        <v>1681</v>
      </c>
      <c r="C124" s="591">
        <v>45992</v>
      </c>
      <c r="D124" s="601" t="s">
        <v>1489</v>
      </c>
      <c r="E124" s="592" t="s">
        <v>1730</v>
      </c>
      <c r="F124" s="592"/>
      <c r="G124" s="602" t="s">
        <v>1784</v>
      </c>
      <c r="H124" s="603" t="s">
        <v>1785</v>
      </c>
      <c r="I124" s="601" t="s">
        <v>1786</v>
      </c>
      <c r="J124" s="650" t="s">
        <v>1527</v>
      </c>
      <c r="K124" s="16"/>
      <c r="L124" s="605" t="s">
        <v>1787</v>
      </c>
      <c r="M124" s="606" t="s">
        <v>1788</v>
      </c>
      <c r="N124" s="629">
        <v>7990875403</v>
      </c>
      <c r="O124" s="16" t="s">
        <v>1683</v>
      </c>
      <c r="P124" s="598"/>
    </row>
    <row r="125" spans="1:16" ht="86.4" hidden="1" x14ac:dyDescent="0.3">
      <c r="A125" s="600" t="s">
        <v>38</v>
      </c>
      <c r="B125" s="590" t="s">
        <v>1681</v>
      </c>
      <c r="C125" s="591">
        <v>45992</v>
      </c>
      <c r="D125" s="657" t="s">
        <v>1489</v>
      </c>
      <c r="E125" s="60" t="s">
        <v>1730</v>
      </c>
      <c r="F125" s="60"/>
      <c r="G125" s="658" t="s">
        <v>1789</v>
      </c>
      <c r="H125" s="658" t="s">
        <v>1790</v>
      </c>
      <c r="I125" s="659" t="s">
        <v>1636</v>
      </c>
      <c r="J125" s="660" t="s">
        <v>1527</v>
      </c>
      <c r="K125" s="661" t="s">
        <v>1791</v>
      </c>
      <c r="L125" s="662" t="s">
        <v>279</v>
      </c>
      <c r="M125" s="663" t="s">
        <v>280</v>
      </c>
      <c r="N125" s="662">
        <v>9879467360</v>
      </c>
      <c r="O125" s="16" t="s">
        <v>1683</v>
      </c>
      <c r="P125" s="16"/>
    </row>
    <row r="126" spans="1:16" ht="43.95" hidden="1" customHeight="1" x14ac:dyDescent="0.3">
      <c r="A126" s="600" t="s">
        <v>281</v>
      </c>
      <c r="B126" s="590" t="s">
        <v>1681</v>
      </c>
      <c r="C126" s="591">
        <v>45992</v>
      </c>
      <c r="D126" s="601" t="s">
        <v>1451</v>
      </c>
      <c r="E126" s="592" t="s">
        <v>1757</v>
      </c>
      <c r="F126" s="592"/>
      <c r="G126" s="602" t="s">
        <v>1792</v>
      </c>
      <c r="H126" s="603" t="s">
        <v>1793</v>
      </c>
      <c r="I126" s="601" t="s">
        <v>1461</v>
      </c>
      <c r="J126" s="650" t="s">
        <v>1462</v>
      </c>
      <c r="K126" s="16"/>
      <c r="L126" s="605" t="s">
        <v>1794</v>
      </c>
      <c r="M126" s="606" t="s">
        <v>1795</v>
      </c>
      <c r="N126" s="607" t="s">
        <v>1796</v>
      </c>
      <c r="O126" s="16" t="s">
        <v>1683</v>
      </c>
      <c r="P126" s="16"/>
    </row>
    <row r="127" spans="1:16" ht="72" hidden="1" x14ac:dyDescent="0.3">
      <c r="A127" s="37" t="s">
        <v>282</v>
      </c>
      <c r="B127" s="590" t="s">
        <v>1681</v>
      </c>
      <c r="C127" s="591">
        <v>45962</v>
      </c>
      <c r="D127" s="601" t="s">
        <v>1466</v>
      </c>
      <c r="E127" s="592" t="s">
        <v>256</v>
      </c>
      <c r="F127" s="592"/>
      <c r="G127" s="602" t="s">
        <v>1797</v>
      </c>
      <c r="H127" s="628" t="s">
        <v>1798</v>
      </c>
      <c r="I127" s="619" t="s">
        <v>1799</v>
      </c>
      <c r="J127" s="650"/>
      <c r="K127" s="16"/>
      <c r="L127" s="132"/>
      <c r="M127" s="132"/>
      <c r="N127" s="595"/>
      <c r="O127" s="16" t="s">
        <v>1683</v>
      </c>
      <c r="P127" s="16"/>
    </row>
    <row r="128" spans="1:16" ht="57.6" hidden="1" x14ac:dyDescent="0.3">
      <c r="A128" s="590" t="s">
        <v>283</v>
      </c>
      <c r="B128" s="590" t="s">
        <v>1681</v>
      </c>
      <c r="C128" s="591">
        <v>45870</v>
      </c>
      <c r="D128" s="592" t="s">
        <v>1451</v>
      </c>
      <c r="E128" s="592" t="s">
        <v>1757</v>
      </c>
      <c r="F128" s="592"/>
      <c r="G128" s="132" t="s">
        <v>1800</v>
      </c>
      <c r="H128" s="595" t="s">
        <v>1801</v>
      </c>
      <c r="I128" s="592" t="s">
        <v>1569</v>
      </c>
      <c r="J128" s="646" t="s">
        <v>1527</v>
      </c>
      <c r="K128" s="16"/>
      <c r="L128" s="132"/>
      <c r="M128" s="132"/>
      <c r="N128" s="595"/>
      <c r="O128" s="16" t="s">
        <v>1683</v>
      </c>
      <c r="P128" s="16"/>
    </row>
    <row r="129" spans="1:16" ht="72" hidden="1" x14ac:dyDescent="0.3">
      <c r="A129" s="590" t="s">
        <v>40</v>
      </c>
      <c r="B129" s="590" t="s">
        <v>1681</v>
      </c>
      <c r="C129" s="591">
        <v>45870</v>
      </c>
      <c r="D129" s="592" t="s">
        <v>1451</v>
      </c>
      <c r="E129" s="592" t="s">
        <v>1757</v>
      </c>
      <c r="F129" s="592"/>
      <c r="G129" s="132" t="s">
        <v>1802</v>
      </c>
      <c r="H129" s="595" t="s">
        <v>1803</v>
      </c>
      <c r="I129" s="592" t="s">
        <v>1736</v>
      </c>
      <c r="J129" s="646" t="s">
        <v>1527</v>
      </c>
      <c r="K129" s="16"/>
      <c r="L129" s="132" t="s">
        <v>284</v>
      </c>
      <c r="M129" s="132" t="s">
        <v>285</v>
      </c>
      <c r="N129" s="595">
        <v>9552435003</v>
      </c>
      <c r="O129" s="16" t="s">
        <v>1683</v>
      </c>
      <c r="P129" s="16"/>
    </row>
    <row r="130" spans="1:16" ht="67.2" hidden="1" customHeight="1" x14ac:dyDescent="0.3">
      <c r="A130" s="664" t="s">
        <v>286</v>
      </c>
      <c r="B130" s="590" t="s">
        <v>1681</v>
      </c>
      <c r="C130" s="591">
        <v>45992</v>
      </c>
      <c r="D130" s="601" t="s">
        <v>1466</v>
      </c>
      <c r="E130" s="592" t="s">
        <v>256</v>
      </c>
      <c r="F130" s="592"/>
      <c r="G130" s="602" t="s">
        <v>1804</v>
      </c>
      <c r="H130" s="603" t="s">
        <v>1805</v>
      </c>
      <c r="I130" s="601" t="s">
        <v>1557</v>
      </c>
      <c r="J130" s="650" t="s">
        <v>1510</v>
      </c>
      <c r="K130" s="665"/>
      <c r="L130" s="666" t="s">
        <v>1806</v>
      </c>
      <c r="M130" s="666" t="s">
        <v>1807</v>
      </c>
      <c r="N130" s="629">
        <v>9884009110</v>
      </c>
      <c r="O130" s="16" t="s">
        <v>1683</v>
      </c>
      <c r="P130" s="16"/>
    </row>
    <row r="131" spans="1:16" ht="54" hidden="1" customHeight="1" x14ac:dyDescent="0.3">
      <c r="A131" s="667" t="s">
        <v>287</v>
      </c>
      <c r="B131" s="590" t="s">
        <v>1681</v>
      </c>
      <c r="C131" s="591">
        <v>45901</v>
      </c>
      <c r="D131" s="627" t="s">
        <v>1466</v>
      </c>
      <c r="E131" s="627" t="s">
        <v>256</v>
      </c>
      <c r="F131" s="627" t="s">
        <v>1643</v>
      </c>
      <c r="G131" s="609" t="s">
        <v>1808</v>
      </c>
      <c r="H131" s="595" t="s">
        <v>1809</v>
      </c>
      <c r="I131" s="592" t="s">
        <v>1643</v>
      </c>
      <c r="J131" s="646" t="s">
        <v>1810</v>
      </c>
      <c r="K131" s="612" t="s">
        <v>1811</v>
      </c>
      <c r="L131" s="132"/>
      <c r="M131" s="132"/>
      <c r="N131" s="595"/>
      <c r="O131" s="16" t="s">
        <v>1683</v>
      </c>
      <c r="P131" s="16"/>
    </row>
    <row r="132" spans="1:16" ht="72" x14ac:dyDescent="0.3">
      <c r="A132" s="37" t="s">
        <v>288</v>
      </c>
      <c r="B132" s="590" t="s">
        <v>1681</v>
      </c>
      <c r="C132" s="591">
        <v>45962</v>
      </c>
      <c r="D132" s="601" t="s">
        <v>1466</v>
      </c>
      <c r="E132" s="592" t="s">
        <v>256</v>
      </c>
      <c r="F132" s="627" t="s">
        <v>1812</v>
      </c>
      <c r="G132" s="668"/>
      <c r="H132" s="603" t="s">
        <v>1813</v>
      </c>
      <c r="I132" s="601" t="s">
        <v>1812</v>
      </c>
      <c r="J132" s="669" t="s">
        <v>1814</v>
      </c>
      <c r="K132" s="665"/>
      <c r="L132" s="670"/>
      <c r="M132" s="670"/>
      <c r="N132" s="671"/>
      <c r="O132" s="16" t="s">
        <v>1683</v>
      </c>
      <c r="P132" s="16"/>
    </row>
    <row r="133" spans="1:16" ht="57.6" hidden="1" x14ac:dyDescent="0.3">
      <c r="A133" s="590" t="s">
        <v>37</v>
      </c>
      <c r="B133" s="590" t="s">
        <v>1681</v>
      </c>
      <c r="C133" s="591">
        <v>45901</v>
      </c>
      <c r="D133" s="592" t="s">
        <v>1451</v>
      </c>
      <c r="E133" s="592" t="s">
        <v>1757</v>
      </c>
      <c r="F133" s="672" t="s">
        <v>1526</v>
      </c>
      <c r="G133" s="609" t="s">
        <v>1815</v>
      </c>
      <c r="H133" s="595" t="s">
        <v>1816</v>
      </c>
      <c r="I133" s="592" t="s">
        <v>1526</v>
      </c>
      <c r="J133" s="592" t="s">
        <v>1527</v>
      </c>
      <c r="K133" s="16"/>
      <c r="L133" s="132" t="s">
        <v>289</v>
      </c>
      <c r="M133" s="132" t="s">
        <v>290</v>
      </c>
      <c r="N133" s="595">
        <v>9028123366</v>
      </c>
      <c r="O133" s="16" t="s">
        <v>1683</v>
      </c>
      <c r="P133" s="16"/>
    </row>
    <row r="134" spans="1:16" ht="57.6" hidden="1" x14ac:dyDescent="0.3">
      <c r="A134" s="600" t="s">
        <v>291</v>
      </c>
      <c r="B134" s="590" t="s">
        <v>1681</v>
      </c>
      <c r="C134" s="591">
        <v>45992</v>
      </c>
      <c r="D134" s="601" t="s">
        <v>1466</v>
      </c>
      <c r="E134" s="592" t="s">
        <v>256</v>
      </c>
      <c r="F134" s="592"/>
      <c r="G134" s="602" t="s">
        <v>1817</v>
      </c>
      <c r="H134" s="603" t="s">
        <v>1818</v>
      </c>
      <c r="I134" s="601" t="s">
        <v>1819</v>
      </c>
      <c r="J134" s="601" t="s">
        <v>1482</v>
      </c>
      <c r="K134" s="16"/>
      <c r="L134" s="673" t="s">
        <v>1820</v>
      </c>
      <c r="M134" s="605" t="s">
        <v>1821</v>
      </c>
      <c r="N134" s="620">
        <v>8610507447</v>
      </c>
      <c r="O134" s="16" t="s">
        <v>1683</v>
      </c>
      <c r="P134" s="16"/>
    </row>
    <row r="135" spans="1:16" ht="57.6" hidden="1" x14ac:dyDescent="0.3">
      <c r="A135" s="590" t="s">
        <v>292</v>
      </c>
      <c r="B135" s="590" t="s">
        <v>1681</v>
      </c>
      <c r="C135" s="591">
        <v>45931</v>
      </c>
      <c r="D135" s="592" t="s">
        <v>1451</v>
      </c>
      <c r="E135" s="592" t="s">
        <v>1757</v>
      </c>
      <c r="F135" s="592"/>
      <c r="G135" s="609" t="s">
        <v>1822</v>
      </c>
      <c r="H135" s="610" t="s">
        <v>1823</v>
      </c>
      <c r="I135" s="611" t="s">
        <v>1774</v>
      </c>
      <c r="J135" s="611" t="s">
        <v>1476</v>
      </c>
      <c r="K135" s="612" t="s">
        <v>1824</v>
      </c>
      <c r="L135" s="132"/>
      <c r="M135" s="132"/>
      <c r="N135" s="595"/>
      <c r="O135" s="16" t="s">
        <v>1683</v>
      </c>
      <c r="P135" s="16"/>
    </row>
    <row r="136" spans="1:16" ht="62.4" hidden="1" x14ac:dyDescent="0.3">
      <c r="A136" s="590" t="s">
        <v>15</v>
      </c>
      <c r="B136" s="590" t="s">
        <v>1681</v>
      </c>
      <c r="C136" s="591">
        <v>45839</v>
      </c>
      <c r="D136" s="592" t="s">
        <v>1489</v>
      </c>
      <c r="E136" s="592" t="s">
        <v>1730</v>
      </c>
      <c r="F136" s="592" t="s">
        <v>1825</v>
      </c>
      <c r="G136" s="649" t="s">
        <v>1826</v>
      </c>
      <c r="H136" s="595" t="s">
        <v>1827</v>
      </c>
      <c r="I136" s="592" t="s">
        <v>1825</v>
      </c>
      <c r="J136" s="592" t="s">
        <v>1810</v>
      </c>
      <c r="K136" s="632" t="s">
        <v>1828</v>
      </c>
      <c r="L136" s="132"/>
      <c r="M136" s="132"/>
      <c r="N136" s="595"/>
      <c r="O136" s="16" t="s">
        <v>1683</v>
      </c>
      <c r="P136" s="16"/>
    </row>
    <row r="137" spans="1:16" ht="86.4" hidden="1" x14ac:dyDescent="0.3">
      <c r="A137" s="590" t="s">
        <v>293</v>
      </c>
      <c r="B137" s="590" t="s">
        <v>1681</v>
      </c>
      <c r="C137" s="591">
        <v>45931</v>
      </c>
      <c r="D137" s="592" t="s">
        <v>1466</v>
      </c>
      <c r="E137" s="592" t="s">
        <v>256</v>
      </c>
      <c r="F137" s="592"/>
      <c r="G137" s="609" t="s">
        <v>1829</v>
      </c>
      <c r="H137" s="640" t="s">
        <v>1830</v>
      </c>
      <c r="I137" s="641" t="s">
        <v>1831</v>
      </c>
      <c r="J137" s="641" t="s">
        <v>1527</v>
      </c>
      <c r="K137" s="612" t="s">
        <v>1832</v>
      </c>
      <c r="L137" s="132"/>
      <c r="M137" s="132"/>
      <c r="N137" s="595"/>
      <c r="O137" s="16" t="s">
        <v>1683</v>
      </c>
      <c r="P137" s="16"/>
    </row>
    <row r="138" spans="1:16" ht="57.6" hidden="1" x14ac:dyDescent="0.3">
      <c r="A138" s="590" t="s">
        <v>75</v>
      </c>
      <c r="B138" s="590" t="s">
        <v>1681</v>
      </c>
      <c r="C138" s="591">
        <v>45839</v>
      </c>
      <c r="D138" s="592" t="s">
        <v>1466</v>
      </c>
      <c r="E138" s="593" t="s">
        <v>256</v>
      </c>
      <c r="F138" s="593" t="s">
        <v>1833</v>
      </c>
      <c r="G138" s="674" t="s">
        <v>1834</v>
      </c>
      <c r="H138" s="675" t="s">
        <v>1835</v>
      </c>
      <c r="I138" s="596" t="s">
        <v>1833</v>
      </c>
      <c r="J138" s="676" t="s">
        <v>1527</v>
      </c>
      <c r="K138" s="632" t="s">
        <v>1836</v>
      </c>
      <c r="L138" s="132" t="s">
        <v>294</v>
      </c>
      <c r="M138" s="132" t="s">
        <v>295</v>
      </c>
      <c r="N138" s="595">
        <v>9962279984</v>
      </c>
      <c r="O138" s="16" t="s">
        <v>1683</v>
      </c>
      <c r="P138" s="16"/>
    </row>
    <row r="139" spans="1:16" ht="57.6" hidden="1" x14ac:dyDescent="0.3">
      <c r="A139" s="590" t="s">
        <v>296</v>
      </c>
      <c r="B139" s="590" t="s">
        <v>1681</v>
      </c>
      <c r="C139" s="591">
        <v>45931</v>
      </c>
      <c r="D139" s="592" t="s">
        <v>1451</v>
      </c>
      <c r="E139" s="592" t="s">
        <v>1757</v>
      </c>
      <c r="F139" s="592"/>
      <c r="G139" s="609" t="s">
        <v>1837</v>
      </c>
      <c r="H139" s="610" t="s">
        <v>1838</v>
      </c>
      <c r="I139" s="611" t="s">
        <v>1839</v>
      </c>
      <c r="J139" s="611" t="s">
        <v>1476</v>
      </c>
      <c r="K139" s="612" t="s">
        <v>1840</v>
      </c>
      <c r="L139" s="132"/>
      <c r="M139" s="132"/>
      <c r="N139" s="595"/>
      <c r="O139" s="16" t="s">
        <v>1683</v>
      </c>
      <c r="P139" s="16"/>
    </row>
    <row r="140" spans="1:16" hidden="1" x14ac:dyDescent="0.3">
      <c r="A140" s="590" t="s">
        <v>77</v>
      </c>
      <c r="B140" s="590" t="s">
        <v>1681</v>
      </c>
      <c r="C140" s="591">
        <v>45870</v>
      </c>
      <c r="D140" s="592" t="s">
        <v>1466</v>
      </c>
      <c r="E140" s="592" t="s">
        <v>256</v>
      </c>
      <c r="F140" s="592"/>
      <c r="G140" s="132" t="s">
        <v>1841</v>
      </c>
      <c r="H140" s="595" t="s">
        <v>1842</v>
      </c>
      <c r="I140" s="592" t="s">
        <v>1843</v>
      </c>
      <c r="J140" s="592" t="s">
        <v>1527</v>
      </c>
      <c r="K140" s="16"/>
      <c r="L140" s="132"/>
      <c r="M140" s="132"/>
      <c r="N140" s="595"/>
      <c r="O140" s="16" t="s">
        <v>1683</v>
      </c>
      <c r="P140" s="16"/>
    </row>
    <row r="141" spans="1:16" ht="43.2" hidden="1" x14ac:dyDescent="0.3">
      <c r="A141" s="590" t="s">
        <v>61</v>
      </c>
      <c r="B141" s="590" t="s">
        <v>1681</v>
      </c>
      <c r="C141" s="591">
        <v>45931</v>
      </c>
      <c r="D141" s="592" t="s">
        <v>1489</v>
      </c>
      <c r="E141" s="592" t="s">
        <v>1730</v>
      </c>
      <c r="F141" s="592"/>
      <c r="G141" s="609" t="s">
        <v>1844</v>
      </c>
      <c r="H141" s="610" t="s">
        <v>1845</v>
      </c>
      <c r="I141" s="611" t="s">
        <v>1846</v>
      </c>
      <c r="J141" s="611" t="s">
        <v>1527</v>
      </c>
      <c r="K141" s="612" t="s">
        <v>1847</v>
      </c>
      <c r="L141" s="132"/>
      <c r="M141" s="132"/>
      <c r="N141" s="595"/>
      <c r="O141" s="16" t="s">
        <v>1683</v>
      </c>
      <c r="P141" s="16"/>
    </row>
    <row r="142" spans="1:16" ht="57.6" hidden="1" x14ac:dyDescent="0.3">
      <c r="A142" s="590" t="s">
        <v>45</v>
      </c>
      <c r="B142" s="590" t="s">
        <v>1681</v>
      </c>
      <c r="C142" s="591">
        <v>45931</v>
      </c>
      <c r="D142" s="592" t="s">
        <v>1451</v>
      </c>
      <c r="E142" s="592" t="s">
        <v>1757</v>
      </c>
      <c r="F142" s="592"/>
      <c r="G142" s="609" t="s">
        <v>1848</v>
      </c>
      <c r="H142" s="610" t="s">
        <v>1849</v>
      </c>
      <c r="I142" s="611" t="s">
        <v>1850</v>
      </c>
      <c r="J142" s="611" t="s">
        <v>1527</v>
      </c>
      <c r="K142" s="612" t="s">
        <v>1851</v>
      </c>
      <c r="L142" s="132"/>
      <c r="M142" s="132"/>
      <c r="N142" s="595"/>
      <c r="O142" s="16" t="s">
        <v>1683</v>
      </c>
      <c r="P142" s="16"/>
    </row>
    <row r="143" spans="1:16" ht="86.4" hidden="1" x14ac:dyDescent="0.3">
      <c r="A143" s="590" t="s">
        <v>80</v>
      </c>
      <c r="B143" s="590" t="s">
        <v>1681</v>
      </c>
      <c r="C143" s="591">
        <v>45839</v>
      </c>
      <c r="D143" s="592" t="s">
        <v>1466</v>
      </c>
      <c r="E143" s="593" t="s">
        <v>256</v>
      </c>
      <c r="F143" s="593" t="s">
        <v>1852</v>
      </c>
      <c r="G143" s="674" t="s">
        <v>1853</v>
      </c>
      <c r="H143" s="618" t="s">
        <v>1854</v>
      </c>
      <c r="I143" s="596" t="s">
        <v>1852</v>
      </c>
      <c r="J143" s="596" t="s">
        <v>1510</v>
      </c>
      <c r="K143" s="677" t="s">
        <v>1855</v>
      </c>
      <c r="L143" s="132" t="s">
        <v>297</v>
      </c>
      <c r="M143" s="132" t="s">
        <v>298</v>
      </c>
      <c r="N143" s="595">
        <v>9884613600</v>
      </c>
      <c r="O143" s="16" t="s">
        <v>1683</v>
      </c>
      <c r="P143" s="16"/>
    </row>
    <row r="144" spans="1:16" ht="86.4" hidden="1" x14ac:dyDescent="0.3">
      <c r="A144" s="590" t="s">
        <v>56</v>
      </c>
      <c r="B144" s="590" t="s">
        <v>1681</v>
      </c>
      <c r="C144" s="591">
        <v>45839</v>
      </c>
      <c r="D144" s="592" t="s">
        <v>1466</v>
      </c>
      <c r="E144" s="593" t="s">
        <v>256</v>
      </c>
      <c r="F144" s="593" t="s">
        <v>1736</v>
      </c>
      <c r="G144" s="649" t="s">
        <v>1856</v>
      </c>
      <c r="H144" s="595" t="s">
        <v>1857</v>
      </c>
      <c r="I144" s="592" t="s">
        <v>1736</v>
      </c>
      <c r="J144" s="592" t="s">
        <v>1810</v>
      </c>
      <c r="K144" s="632" t="s">
        <v>1858</v>
      </c>
      <c r="L144" s="132" t="s">
        <v>299</v>
      </c>
      <c r="M144" s="132" t="s">
        <v>300</v>
      </c>
      <c r="N144" s="595" t="s">
        <v>301</v>
      </c>
      <c r="O144" s="16" t="s">
        <v>1683</v>
      </c>
      <c r="P144" s="16"/>
    </row>
    <row r="145" spans="1:16" ht="86.4" hidden="1" x14ac:dyDescent="0.3">
      <c r="A145" s="590" t="s">
        <v>27</v>
      </c>
      <c r="B145" s="590" t="s">
        <v>1681</v>
      </c>
      <c r="C145" s="591">
        <v>45870</v>
      </c>
      <c r="D145" s="592" t="s">
        <v>1466</v>
      </c>
      <c r="E145" s="592" t="s">
        <v>1682</v>
      </c>
      <c r="F145" s="592"/>
      <c r="G145" s="132" t="s">
        <v>1859</v>
      </c>
      <c r="H145" s="595" t="s">
        <v>1860</v>
      </c>
      <c r="I145" s="592" t="s">
        <v>1562</v>
      </c>
      <c r="J145" s="592" t="s">
        <v>1527</v>
      </c>
      <c r="K145" s="16" t="s">
        <v>1861</v>
      </c>
      <c r="L145" s="19" t="s">
        <v>302</v>
      </c>
      <c r="M145" s="602" t="s">
        <v>303</v>
      </c>
      <c r="N145" s="678" t="s">
        <v>304</v>
      </c>
      <c r="O145" s="16" t="s">
        <v>1683</v>
      </c>
      <c r="P145" s="16"/>
    </row>
    <row r="146" spans="1:16" ht="72" hidden="1" x14ac:dyDescent="0.3">
      <c r="A146" s="590" t="s">
        <v>59</v>
      </c>
      <c r="B146" s="590" t="s">
        <v>1681</v>
      </c>
      <c r="C146" s="591">
        <v>45931</v>
      </c>
      <c r="D146" s="592" t="s">
        <v>1489</v>
      </c>
      <c r="E146" s="592" t="s">
        <v>1730</v>
      </c>
      <c r="F146" s="592"/>
      <c r="G146" s="609" t="s">
        <v>1862</v>
      </c>
      <c r="H146" s="610" t="s">
        <v>1863</v>
      </c>
      <c r="I146" s="611" t="s">
        <v>1864</v>
      </c>
      <c r="J146" s="611" t="s">
        <v>1527</v>
      </c>
      <c r="K146" s="612" t="s">
        <v>1865</v>
      </c>
      <c r="L146" s="132"/>
      <c r="M146" s="132"/>
      <c r="N146" s="595"/>
      <c r="O146" s="16" t="s">
        <v>1683</v>
      </c>
      <c r="P146" s="16"/>
    </row>
    <row r="147" spans="1:16" ht="86.4" hidden="1" x14ac:dyDescent="0.3">
      <c r="A147" s="590" t="s">
        <v>305</v>
      </c>
      <c r="B147" s="590" t="s">
        <v>1681</v>
      </c>
      <c r="C147" s="591">
        <v>45870</v>
      </c>
      <c r="D147" s="592" t="s">
        <v>1466</v>
      </c>
      <c r="E147" s="592" t="s">
        <v>256</v>
      </c>
      <c r="F147" s="592"/>
      <c r="G147" s="132" t="s">
        <v>1866</v>
      </c>
      <c r="H147" s="595" t="s">
        <v>1867</v>
      </c>
      <c r="I147" s="592" t="s">
        <v>1548</v>
      </c>
      <c r="J147" s="592" t="s">
        <v>1527</v>
      </c>
      <c r="K147" s="16"/>
      <c r="L147" s="132"/>
      <c r="M147" s="132"/>
      <c r="N147" s="595"/>
      <c r="O147" s="16" t="s">
        <v>1683</v>
      </c>
      <c r="P147" s="16"/>
    </row>
    <row r="148" spans="1:16" ht="100.8" hidden="1" x14ac:dyDescent="0.3">
      <c r="A148" s="590" t="s">
        <v>306</v>
      </c>
      <c r="B148" s="590" t="s">
        <v>1681</v>
      </c>
      <c r="C148" s="591">
        <v>45870</v>
      </c>
      <c r="D148" s="592" t="s">
        <v>1466</v>
      </c>
      <c r="E148" s="592" t="s">
        <v>256</v>
      </c>
      <c r="F148" s="592"/>
      <c r="G148" s="132" t="s">
        <v>1868</v>
      </c>
      <c r="H148" s="595" t="s">
        <v>1869</v>
      </c>
      <c r="I148" s="592" t="s">
        <v>1870</v>
      </c>
      <c r="J148" s="592" t="s">
        <v>1527</v>
      </c>
      <c r="K148" s="643" t="s">
        <v>1871</v>
      </c>
      <c r="L148" s="132"/>
      <c r="M148" s="132"/>
      <c r="N148" s="595"/>
      <c r="O148" s="16" t="s">
        <v>1683</v>
      </c>
      <c r="P148" s="16"/>
    </row>
    <row r="149" spans="1:16" ht="43.2" hidden="1" x14ac:dyDescent="0.3">
      <c r="A149" s="590" t="s">
        <v>2</v>
      </c>
      <c r="B149" s="590" t="s">
        <v>1681</v>
      </c>
      <c r="C149" s="591">
        <v>45809</v>
      </c>
      <c r="D149" s="592" t="s">
        <v>1489</v>
      </c>
      <c r="E149" s="592" t="s">
        <v>1730</v>
      </c>
      <c r="F149" s="592" t="s">
        <v>1872</v>
      </c>
      <c r="G149" s="613" t="s">
        <v>1873</v>
      </c>
      <c r="H149" s="614" t="s">
        <v>1874</v>
      </c>
      <c r="I149" s="615" t="s">
        <v>1872</v>
      </c>
      <c r="J149" s="615" t="s">
        <v>1456</v>
      </c>
      <c r="K149" s="616" t="s">
        <v>1875</v>
      </c>
      <c r="L149" s="132" t="s">
        <v>307</v>
      </c>
      <c r="M149" s="132" t="s">
        <v>308</v>
      </c>
      <c r="N149" s="595">
        <v>8320421625</v>
      </c>
      <c r="O149" s="16" t="s">
        <v>1683</v>
      </c>
      <c r="P149" s="16"/>
    </row>
    <row r="150" spans="1:16" ht="72" hidden="1" x14ac:dyDescent="0.3">
      <c r="A150" s="590" t="s">
        <v>31</v>
      </c>
      <c r="B150" s="590" t="s">
        <v>1681</v>
      </c>
      <c r="C150" s="591">
        <v>45901</v>
      </c>
      <c r="D150" s="592" t="s">
        <v>1489</v>
      </c>
      <c r="E150" s="592" t="s">
        <v>1730</v>
      </c>
      <c r="F150" s="592"/>
      <c r="G150" s="609" t="s">
        <v>1876</v>
      </c>
      <c r="H150" s="595" t="s">
        <v>1877</v>
      </c>
      <c r="I150" s="592" t="s">
        <v>1878</v>
      </c>
      <c r="J150" s="592" t="s">
        <v>1482</v>
      </c>
      <c r="K150" s="612" t="s">
        <v>1879</v>
      </c>
      <c r="L150" s="132" t="s">
        <v>309</v>
      </c>
      <c r="M150" s="132" t="s">
        <v>310</v>
      </c>
      <c r="N150" s="595">
        <v>8511100751</v>
      </c>
      <c r="O150" s="16" t="s">
        <v>1683</v>
      </c>
      <c r="P150" s="16"/>
    </row>
    <row r="151" spans="1:16" ht="86.4" hidden="1" x14ac:dyDescent="0.3">
      <c r="A151" s="590" t="s">
        <v>67</v>
      </c>
      <c r="B151" s="590" t="s">
        <v>1681</v>
      </c>
      <c r="C151" s="591">
        <v>45931</v>
      </c>
      <c r="D151" s="592" t="s">
        <v>1451</v>
      </c>
      <c r="E151" s="592" t="s">
        <v>1757</v>
      </c>
      <c r="F151" s="592"/>
      <c r="G151" s="609" t="s">
        <v>1880</v>
      </c>
      <c r="H151" s="610" t="s">
        <v>1881</v>
      </c>
      <c r="I151" s="611" t="s">
        <v>1643</v>
      </c>
      <c r="J151" s="611" t="s">
        <v>1476</v>
      </c>
      <c r="K151" s="612" t="s">
        <v>1882</v>
      </c>
      <c r="L151" s="132"/>
      <c r="M151" s="132"/>
      <c r="N151" s="595"/>
      <c r="O151" s="16" t="s">
        <v>1683</v>
      </c>
      <c r="P151" s="16"/>
    </row>
    <row r="152" spans="1:16" ht="57.6" hidden="1" x14ac:dyDescent="0.3">
      <c r="A152" s="590" t="s">
        <v>4</v>
      </c>
      <c r="B152" s="590" t="s">
        <v>1681</v>
      </c>
      <c r="C152" s="591">
        <v>45809</v>
      </c>
      <c r="D152" s="592" t="s">
        <v>1883</v>
      </c>
      <c r="E152" s="592" t="s">
        <v>1730</v>
      </c>
      <c r="F152" s="592" t="s">
        <v>1884</v>
      </c>
      <c r="G152" s="638" t="s">
        <v>1885</v>
      </c>
      <c r="H152" s="595" t="s">
        <v>1886</v>
      </c>
      <c r="I152" s="592" t="s">
        <v>1884</v>
      </c>
      <c r="J152" s="592" t="s">
        <v>1482</v>
      </c>
      <c r="K152" s="16"/>
      <c r="L152" s="132" t="s">
        <v>311</v>
      </c>
      <c r="M152" s="132" t="s">
        <v>312</v>
      </c>
      <c r="N152" s="595">
        <v>9409611194</v>
      </c>
      <c r="O152" s="16" t="s">
        <v>1683</v>
      </c>
      <c r="P152" s="16"/>
    </row>
    <row r="153" spans="1:16" s="13" customFormat="1" ht="57.6" hidden="1" x14ac:dyDescent="0.3">
      <c r="A153" s="590" t="s">
        <v>20</v>
      </c>
      <c r="B153" s="590" t="s">
        <v>1681</v>
      </c>
      <c r="C153" s="621">
        <v>45962</v>
      </c>
      <c r="D153" s="679" t="s">
        <v>1489</v>
      </c>
      <c r="E153" s="590" t="s">
        <v>1730</v>
      </c>
      <c r="F153" s="590"/>
      <c r="G153" s="623" t="s">
        <v>1887</v>
      </c>
      <c r="H153" s="618" t="s">
        <v>1888</v>
      </c>
      <c r="I153" s="679" t="s">
        <v>1889</v>
      </c>
      <c r="J153" s="679" t="s">
        <v>1527</v>
      </c>
      <c r="K153" s="680"/>
      <c r="L153" s="595"/>
      <c r="M153" s="595"/>
      <c r="N153" s="595"/>
      <c r="O153" s="680" t="s">
        <v>1683</v>
      </c>
      <c r="P153" s="680"/>
    </row>
    <row r="154" spans="1:16" ht="129.6" hidden="1" x14ac:dyDescent="0.3">
      <c r="A154" s="590" t="s">
        <v>313</v>
      </c>
      <c r="B154" s="590" t="s">
        <v>1681</v>
      </c>
      <c r="C154" s="591">
        <v>45901</v>
      </c>
      <c r="D154" s="592" t="s">
        <v>1451</v>
      </c>
      <c r="E154" s="592" t="s">
        <v>1757</v>
      </c>
      <c r="F154" s="592"/>
      <c r="G154" s="609" t="s">
        <v>1890</v>
      </c>
      <c r="H154" s="595" t="s">
        <v>1891</v>
      </c>
      <c r="I154" s="592" t="s">
        <v>1892</v>
      </c>
      <c r="J154" s="592" t="s">
        <v>1527</v>
      </c>
      <c r="K154" s="612" t="s">
        <v>1893</v>
      </c>
      <c r="L154" s="132"/>
      <c r="M154" s="132"/>
      <c r="N154" s="595"/>
      <c r="O154" s="16" t="s">
        <v>1683</v>
      </c>
      <c r="P154" s="16"/>
    </row>
    <row r="155" spans="1:16" ht="403.2" hidden="1" x14ac:dyDescent="0.3">
      <c r="A155" s="590" t="s">
        <v>26</v>
      </c>
      <c r="B155" s="590" t="s">
        <v>1681</v>
      </c>
      <c r="C155" s="591">
        <v>45809</v>
      </c>
      <c r="D155" s="592" t="s">
        <v>1466</v>
      </c>
      <c r="E155" s="592" t="s">
        <v>256</v>
      </c>
      <c r="F155" s="592" t="s">
        <v>1894</v>
      </c>
      <c r="G155" s="613" t="s">
        <v>1895</v>
      </c>
      <c r="H155" s="614" t="s">
        <v>1896</v>
      </c>
      <c r="I155" s="615" t="s">
        <v>1894</v>
      </c>
      <c r="J155" s="615" t="s">
        <v>1897</v>
      </c>
      <c r="K155" s="616" t="s">
        <v>1898</v>
      </c>
      <c r="L155" s="132" t="s">
        <v>314</v>
      </c>
      <c r="M155" s="132" t="s">
        <v>315</v>
      </c>
      <c r="N155" s="595">
        <v>9444796926</v>
      </c>
      <c r="O155" s="16" t="s">
        <v>1683</v>
      </c>
      <c r="P155" s="16"/>
    </row>
    <row r="156" spans="1:16" ht="57.6" hidden="1" x14ac:dyDescent="0.3">
      <c r="A156" s="590" t="s">
        <v>33</v>
      </c>
      <c r="B156" s="590" t="s">
        <v>1681</v>
      </c>
      <c r="C156" s="591">
        <v>45931</v>
      </c>
      <c r="D156" s="592" t="s">
        <v>1489</v>
      </c>
      <c r="E156" s="592" t="s">
        <v>1730</v>
      </c>
      <c r="F156" s="592"/>
      <c r="G156" s="609" t="s">
        <v>1899</v>
      </c>
      <c r="H156" s="610" t="s">
        <v>1900</v>
      </c>
      <c r="I156" s="611" t="s">
        <v>1557</v>
      </c>
      <c r="J156" s="611" t="s">
        <v>1476</v>
      </c>
      <c r="K156" s="612" t="s">
        <v>1901</v>
      </c>
      <c r="L156" s="132"/>
      <c r="M156" s="132"/>
      <c r="N156" s="595"/>
      <c r="O156" s="16" t="s">
        <v>1683</v>
      </c>
      <c r="P156" s="16"/>
    </row>
    <row r="157" spans="1:16" ht="57.6" hidden="1" x14ac:dyDescent="0.3">
      <c r="A157" s="590" t="s">
        <v>39</v>
      </c>
      <c r="B157" s="590" t="s">
        <v>1681</v>
      </c>
      <c r="C157" s="591">
        <v>45931</v>
      </c>
      <c r="D157" s="592" t="s">
        <v>1489</v>
      </c>
      <c r="E157" s="592" t="s">
        <v>1730</v>
      </c>
      <c r="F157" s="592"/>
      <c r="G157" s="609" t="s">
        <v>1902</v>
      </c>
      <c r="H157" s="610" t="s">
        <v>1903</v>
      </c>
      <c r="I157" s="611" t="s">
        <v>1904</v>
      </c>
      <c r="J157" s="611" t="s">
        <v>1527</v>
      </c>
      <c r="K157" s="612" t="s">
        <v>1905</v>
      </c>
      <c r="L157" s="132"/>
      <c r="M157" s="132"/>
      <c r="N157" s="595"/>
      <c r="O157" s="16" t="s">
        <v>1683</v>
      </c>
      <c r="P157" s="16"/>
    </row>
    <row r="158" spans="1:16" hidden="1" x14ac:dyDescent="0.3">
      <c r="A158" s="37" t="s">
        <v>55</v>
      </c>
      <c r="B158" s="590" t="s">
        <v>1681</v>
      </c>
      <c r="C158" s="591">
        <v>45962</v>
      </c>
      <c r="D158" s="601" t="s">
        <v>1466</v>
      </c>
      <c r="E158" s="592" t="s">
        <v>256</v>
      </c>
      <c r="F158" s="592"/>
      <c r="G158" s="602" t="s">
        <v>1906</v>
      </c>
      <c r="H158" s="603" t="s">
        <v>1907</v>
      </c>
      <c r="I158" s="601" t="s">
        <v>1548</v>
      </c>
      <c r="J158" s="601"/>
      <c r="K158" s="16"/>
      <c r="L158" s="132"/>
      <c r="M158" s="132"/>
      <c r="N158" s="595"/>
      <c r="O158" s="16" t="s">
        <v>1683</v>
      </c>
      <c r="P158" s="16"/>
    </row>
    <row r="159" spans="1:16" ht="57.6" hidden="1" x14ac:dyDescent="0.3">
      <c r="A159" s="590" t="s">
        <v>316</v>
      </c>
      <c r="B159" s="590" t="s">
        <v>1681</v>
      </c>
      <c r="C159" s="591">
        <v>45931</v>
      </c>
      <c r="D159" s="592" t="s">
        <v>1451</v>
      </c>
      <c r="E159" s="592" t="s">
        <v>1757</v>
      </c>
      <c r="F159" s="592"/>
      <c r="G159" s="609" t="s">
        <v>1908</v>
      </c>
      <c r="H159" s="610" t="s">
        <v>1909</v>
      </c>
      <c r="I159" s="611" t="s">
        <v>1774</v>
      </c>
      <c r="J159" s="611" t="s">
        <v>1476</v>
      </c>
      <c r="K159" s="612" t="s">
        <v>1910</v>
      </c>
      <c r="L159" s="132"/>
      <c r="M159" s="132"/>
      <c r="N159" s="595"/>
      <c r="O159" s="16" t="s">
        <v>1683</v>
      </c>
      <c r="P159" s="16"/>
    </row>
    <row r="160" spans="1:16" ht="41.4" hidden="1" x14ac:dyDescent="0.3">
      <c r="A160" s="600" t="s">
        <v>317</v>
      </c>
      <c r="B160" s="590" t="s">
        <v>1681</v>
      </c>
      <c r="C160" s="591">
        <v>45992</v>
      </c>
      <c r="D160" s="601" t="s">
        <v>1466</v>
      </c>
      <c r="E160" s="592" t="s">
        <v>256</v>
      </c>
      <c r="F160" s="592"/>
      <c r="G160" s="19"/>
      <c r="H160" s="628" t="s">
        <v>1911</v>
      </c>
      <c r="I160" s="601" t="s">
        <v>1912</v>
      </c>
      <c r="J160" s="619" t="s">
        <v>1527</v>
      </c>
      <c r="K160" s="16"/>
      <c r="L160" s="673" t="s">
        <v>1913</v>
      </c>
      <c r="M160" s="606" t="s">
        <v>1914</v>
      </c>
      <c r="N160" s="629"/>
      <c r="O160" s="16" t="s">
        <v>1683</v>
      </c>
      <c r="P160" s="16"/>
    </row>
    <row r="161" spans="1:16" ht="43.2" hidden="1" x14ac:dyDescent="0.3">
      <c r="A161" s="590" t="s">
        <v>318</v>
      </c>
      <c r="B161" s="590" t="s">
        <v>1681</v>
      </c>
      <c r="C161" s="591">
        <v>45962</v>
      </c>
      <c r="D161" s="617" t="s">
        <v>1451</v>
      </c>
      <c r="E161" s="592" t="s">
        <v>1757</v>
      </c>
      <c r="F161" s="592"/>
      <c r="G161" s="602" t="s">
        <v>1915</v>
      </c>
      <c r="H161" s="618" t="s">
        <v>1916</v>
      </c>
      <c r="I161" s="617" t="s">
        <v>1493</v>
      </c>
      <c r="J161" s="617" t="s">
        <v>1517</v>
      </c>
      <c r="K161" s="16"/>
      <c r="L161" s="132"/>
      <c r="M161" s="132"/>
      <c r="N161" s="595"/>
      <c r="O161" s="16" t="s">
        <v>1683</v>
      </c>
      <c r="P161" s="16"/>
    </row>
    <row r="162" spans="1:16" ht="43.2" hidden="1" x14ac:dyDescent="0.3">
      <c r="A162" s="37" t="s">
        <v>319</v>
      </c>
      <c r="B162" s="590" t="s">
        <v>1681</v>
      </c>
      <c r="C162" s="591">
        <v>45962</v>
      </c>
      <c r="D162" s="601" t="s">
        <v>1489</v>
      </c>
      <c r="E162" s="592" t="s">
        <v>1730</v>
      </c>
      <c r="F162" s="592"/>
      <c r="G162" s="19" t="s">
        <v>1917</v>
      </c>
      <c r="H162" s="603" t="s">
        <v>1918</v>
      </c>
      <c r="I162" s="601" t="s">
        <v>1919</v>
      </c>
      <c r="J162" s="601" t="s">
        <v>1527</v>
      </c>
      <c r="K162" s="16"/>
      <c r="L162" s="132"/>
      <c r="M162" s="132"/>
      <c r="N162" s="595"/>
      <c r="O162" s="16" t="s">
        <v>1683</v>
      </c>
      <c r="P162" s="16"/>
    </row>
    <row r="163" spans="1:16" ht="100.8" hidden="1" x14ac:dyDescent="0.3">
      <c r="A163" s="37" t="s">
        <v>320</v>
      </c>
      <c r="B163" s="590" t="s">
        <v>1681</v>
      </c>
      <c r="C163" s="591">
        <v>45962</v>
      </c>
      <c r="D163" s="601" t="s">
        <v>1451</v>
      </c>
      <c r="E163" s="592" t="s">
        <v>1757</v>
      </c>
      <c r="F163" s="592"/>
      <c r="G163" s="602" t="s">
        <v>1920</v>
      </c>
      <c r="H163" s="603" t="s">
        <v>1921</v>
      </c>
      <c r="I163" s="601" t="s">
        <v>1774</v>
      </c>
      <c r="J163" s="601" t="s">
        <v>1517</v>
      </c>
      <c r="K163" s="16"/>
      <c r="L163" s="132"/>
      <c r="M163" s="132"/>
      <c r="N163" s="595"/>
      <c r="O163" s="16" t="s">
        <v>1683</v>
      </c>
      <c r="P163" s="16"/>
    </row>
    <row r="164" spans="1:16" ht="72" hidden="1" x14ac:dyDescent="0.3">
      <c r="A164" s="590" t="s">
        <v>25</v>
      </c>
      <c r="B164" s="590" t="s">
        <v>1681</v>
      </c>
      <c r="C164" s="591">
        <v>45931</v>
      </c>
      <c r="D164" s="592" t="s">
        <v>1489</v>
      </c>
      <c r="E164" s="592" t="s">
        <v>1730</v>
      </c>
      <c r="F164" s="592"/>
      <c r="G164" s="609" t="s">
        <v>1922</v>
      </c>
      <c r="H164" s="610" t="s">
        <v>1923</v>
      </c>
      <c r="I164" s="611" t="s">
        <v>1924</v>
      </c>
      <c r="J164" s="611" t="s">
        <v>1527</v>
      </c>
      <c r="K164" s="612" t="s">
        <v>1925</v>
      </c>
      <c r="L164" s="132"/>
      <c r="M164" s="132"/>
      <c r="N164" s="595"/>
      <c r="O164" s="16" t="s">
        <v>1683</v>
      </c>
      <c r="P164" s="16"/>
    </row>
    <row r="165" spans="1:16" ht="158.4" hidden="1" x14ac:dyDescent="0.3">
      <c r="A165" s="37" t="s">
        <v>321</v>
      </c>
      <c r="B165" s="590" t="s">
        <v>1681</v>
      </c>
      <c r="C165" s="591">
        <v>45962</v>
      </c>
      <c r="D165" s="601" t="s">
        <v>1451</v>
      </c>
      <c r="E165" s="592" t="s">
        <v>1757</v>
      </c>
      <c r="F165" s="592"/>
      <c r="G165" s="602" t="s">
        <v>1926</v>
      </c>
      <c r="H165" s="603" t="s">
        <v>1927</v>
      </c>
      <c r="I165" s="601" t="s">
        <v>1928</v>
      </c>
      <c r="J165" s="601" t="s">
        <v>1482</v>
      </c>
      <c r="K165" s="16"/>
      <c r="L165" s="132"/>
      <c r="M165" s="132"/>
      <c r="N165" s="595"/>
      <c r="O165" s="16" t="s">
        <v>1683</v>
      </c>
      <c r="P165" s="16"/>
    </row>
    <row r="166" spans="1:16" ht="57.6" hidden="1" x14ac:dyDescent="0.3">
      <c r="A166" s="590" t="s">
        <v>51</v>
      </c>
      <c r="B166" s="590" t="s">
        <v>1681</v>
      </c>
      <c r="C166" s="591">
        <v>45901</v>
      </c>
      <c r="D166" s="592" t="s">
        <v>1451</v>
      </c>
      <c r="E166" s="592" t="s">
        <v>1757</v>
      </c>
      <c r="F166" s="592"/>
      <c r="G166" s="609" t="s">
        <v>1929</v>
      </c>
      <c r="H166" s="595" t="s">
        <v>1930</v>
      </c>
      <c r="I166" s="592" t="s">
        <v>1931</v>
      </c>
      <c r="J166" s="681" t="s">
        <v>1482</v>
      </c>
      <c r="K166" s="612" t="s">
        <v>1932</v>
      </c>
      <c r="L166" s="132"/>
      <c r="M166" s="132"/>
      <c r="N166" s="595"/>
      <c r="O166" s="16" t="s">
        <v>1683</v>
      </c>
      <c r="P166" s="16"/>
    </row>
    <row r="167" spans="1:16" hidden="1" x14ac:dyDescent="0.3">
      <c r="A167" s="37" t="s">
        <v>24</v>
      </c>
      <c r="B167" s="590" t="s">
        <v>1681</v>
      </c>
      <c r="C167" s="591">
        <v>45962</v>
      </c>
      <c r="D167" s="601" t="s">
        <v>1466</v>
      </c>
      <c r="E167" s="592" t="s">
        <v>256</v>
      </c>
      <c r="F167" s="592"/>
      <c r="G167" s="602" t="s">
        <v>1933</v>
      </c>
      <c r="H167" s="628" t="s">
        <v>1934</v>
      </c>
      <c r="I167" s="619" t="s">
        <v>1935</v>
      </c>
      <c r="J167" s="619" t="s">
        <v>1471</v>
      </c>
      <c r="K167" s="16"/>
      <c r="L167" s="132"/>
      <c r="M167" s="132"/>
      <c r="N167" s="595"/>
      <c r="O167" s="16" t="s">
        <v>1683</v>
      </c>
      <c r="P167" s="16"/>
    </row>
    <row r="168" spans="1:16" ht="57.6" hidden="1" x14ac:dyDescent="0.3">
      <c r="A168" s="590" t="s">
        <v>58</v>
      </c>
      <c r="B168" s="590" t="s">
        <v>1681</v>
      </c>
      <c r="C168" s="591">
        <v>45962</v>
      </c>
      <c r="D168" s="617" t="s">
        <v>1489</v>
      </c>
      <c r="E168" s="592" t="s">
        <v>1730</v>
      </c>
      <c r="F168" s="592"/>
      <c r="G168" s="602" t="s">
        <v>1936</v>
      </c>
      <c r="H168" s="618" t="s">
        <v>1937</v>
      </c>
      <c r="I168" s="617" t="s">
        <v>1928</v>
      </c>
      <c r="J168" s="617" t="s">
        <v>1517</v>
      </c>
      <c r="K168" s="16"/>
      <c r="L168" s="132"/>
      <c r="M168" s="132"/>
      <c r="N168" s="595"/>
      <c r="O168" s="16" t="s">
        <v>1683</v>
      </c>
      <c r="P168" s="16"/>
    </row>
    <row r="169" spans="1:16" ht="115.2" hidden="1" x14ac:dyDescent="0.3">
      <c r="A169" s="600" t="s">
        <v>322</v>
      </c>
      <c r="B169" s="590" t="s">
        <v>1681</v>
      </c>
      <c r="C169" s="591">
        <v>45962</v>
      </c>
      <c r="D169" s="592" t="s">
        <v>1938</v>
      </c>
      <c r="E169" s="592" t="s">
        <v>1757</v>
      </c>
      <c r="F169" s="592"/>
      <c r="G169" s="661" t="s">
        <v>1939</v>
      </c>
      <c r="H169" s="658" t="s">
        <v>1940</v>
      </c>
      <c r="I169" s="657" t="s">
        <v>1493</v>
      </c>
      <c r="J169" s="657" t="s">
        <v>1517</v>
      </c>
      <c r="K169" s="661" t="s">
        <v>1941</v>
      </c>
      <c r="L169" s="662" t="s">
        <v>1942</v>
      </c>
      <c r="M169" s="662"/>
      <c r="N169" s="662" t="s">
        <v>1943</v>
      </c>
      <c r="O169" s="16" t="s">
        <v>1683</v>
      </c>
      <c r="P169" s="16"/>
    </row>
    <row r="170" spans="1:16" hidden="1" x14ac:dyDescent="0.3">
      <c r="A170" s="37" t="s">
        <v>323</v>
      </c>
      <c r="B170" s="590" t="s">
        <v>1681</v>
      </c>
      <c r="C170" s="591">
        <v>45962</v>
      </c>
      <c r="D170" s="601" t="s">
        <v>1466</v>
      </c>
      <c r="E170" s="592" t="s">
        <v>256</v>
      </c>
      <c r="F170" s="592"/>
      <c r="G170" s="602" t="s">
        <v>1944</v>
      </c>
      <c r="H170" s="628" t="s">
        <v>1945</v>
      </c>
      <c r="I170" s="619" t="s">
        <v>1946</v>
      </c>
      <c r="J170" s="619" t="s">
        <v>1527</v>
      </c>
      <c r="K170" s="16"/>
      <c r="L170" s="132"/>
      <c r="M170" s="132"/>
      <c r="N170" s="595"/>
      <c r="O170" s="16" t="s">
        <v>1683</v>
      </c>
      <c r="P170" s="16"/>
    </row>
    <row r="171" spans="1:16" ht="100.8" hidden="1" x14ac:dyDescent="0.3">
      <c r="A171" s="590" t="s">
        <v>16</v>
      </c>
      <c r="B171" s="590" t="s">
        <v>1681</v>
      </c>
      <c r="C171" s="591">
        <v>45839</v>
      </c>
      <c r="D171" s="592" t="s">
        <v>1947</v>
      </c>
      <c r="E171" s="592" t="s">
        <v>1730</v>
      </c>
      <c r="F171" s="592" t="s">
        <v>1948</v>
      </c>
      <c r="G171" s="649" t="s">
        <v>1949</v>
      </c>
      <c r="H171" s="595" t="s">
        <v>1950</v>
      </c>
      <c r="I171" s="592" t="s">
        <v>1948</v>
      </c>
      <c r="J171" s="592" t="s">
        <v>1527</v>
      </c>
      <c r="K171" s="632" t="s">
        <v>1951</v>
      </c>
      <c r="L171" s="132"/>
      <c r="M171" s="132"/>
      <c r="N171" s="595"/>
      <c r="O171" s="16" t="s">
        <v>1683</v>
      </c>
      <c r="P171" s="16"/>
    </row>
    <row r="172" spans="1:16" ht="72" hidden="1" x14ac:dyDescent="0.3">
      <c r="A172" s="590" t="s">
        <v>47</v>
      </c>
      <c r="B172" s="590" t="s">
        <v>1681</v>
      </c>
      <c r="C172" s="591">
        <v>45839</v>
      </c>
      <c r="D172" s="592" t="s">
        <v>1466</v>
      </c>
      <c r="E172" s="592" t="s">
        <v>256</v>
      </c>
      <c r="F172" s="592" t="s">
        <v>1643</v>
      </c>
      <c r="G172" s="674" t="s">
        <v>1952</v>
      </c>
      <c r="H172" s="675" t="s">
        <v>1953</v>
      </c>
      <c r="I172" s="596" t="s">
        <v>1643</v>
      </c>
      <c r="J172" s="596" t="s">
        <v>1482</v>
      </c>
      <c r="K172" s="632" t="s">
        <v>1954</v>
      </c>
      <c r="L172" s="132" t="s">
        <v>324</v>
      </c>
      <c r="M172" s="132" t="s">
        <v>325</v>
      </c>
      <c r="N172" s="595">
        <v>9995698162</v>
      </c>
      <c r="O172" s="16" t="s">
        <v>1683</v>
      </c>
      <c r="P172" s="16"/>
    </row>
    <row r="173" spans="1:16" ht="57.6" hidden="1" x14ac:dyDescent="0.3">
      <c r="A173" s="667" t="s">
        <v>73</v>
      </c>
      <c r="B173" s="590" t="s">
        <v>1681</v>
      </c>
      <c r="C173" s="591">
        <v>45809</v>
      </c>
      <c r="D173" s="592" t="s">
        <v>1451</v>
      </c>
      <c r="E173" s="592" t="s">
        <v>1757</v>
      </c>
      <c r="F173" s="627" t="s">
        <v>1727</v>
      </c>
      <c r="G173" s="670" t="s">
        <v>1955</v>
      </c>
      <c r="H173" s="595" t="s">
        <v>1956</v>
      </c>
      <c r="I173" s="592" t="s">
        <v>1727</v>
      </c>
      <c r="J173" s="627" t="s">
        <v>1482</v>
      </c>
      <c r="K173" s="665"/>
      <c r="L173" s="670" t="s">
        <v>146</v>
      </c>
      <c r="M173" s="670" t="s">
        <v>326</v>
      </c>
      <c r="N173" s="671">
        <v>7774034634</v>
      </c>
      <c r="O173" s="16" t="s">
        <v>1683</v>
      </c>
      <c r="P173" s="16"/>
    </row>
    <row r="174" spans="1:16" ht="129.6" hidden="1" x14ac:dyDescent="0.3">
      <c r="A174" s="667" t="s">
        <v>21</v>
      </c>
      <c r="B174" s="590" t="s">
        <v>1681</v>
      </c>
      <c r="C174" s="591">
        <v>45870</v>
      </c>
      <c r="D174" s="627" t="s">
        <v>1451</v>
      </c>
      <c r="E174" s="592" t="s">
        <v>1757</v>
      </c>
      <c r="F174" s="682"/>
      <c r="G174" s="670" t="s">
        <v>1957</v>
      </c>
      <c r="H174" s="671" t="s">
        <v>1958</v>
      </c>
      <c r="I174" s="627" t="s">
        <v>1959</v>
      </c>
      <c r="J174" s="627" t="s">
        <v>1527</v>
      </c>
      <c r="K174" s="683" t="s">
        <v>1960</v>
      </c>
      <c r="L174" s="670" t="s">
        <v>327</v>
      </c>
      <c r="M174" s="670" t="s">
        <v>328</v>
      </c>
      <c r="N174" s="671">
        <v>9822020629</v>
      </c>
      <c r="O174" s="16" t="s">
        <v>1683</v>
      </c>
      <c r="P174" s="598"/>
    </row>
    <row r="175" spans="1:16" ht="115.2" hidden="1" x14ac:dyDescent="0.3">
      <c r="A175" s="667" t="s">
        <v>329</v>
      </c>
      <c r="B175" s="590" t="s">
        <v>1681</v>
      </c>
      <c r="C175" s="684">
        <v>45901</v>
      </c>
      <c r="D175" s="627" t="s">
        <v>1451</v>
      </c>
      <c r="E175" s="592" t="s">
        <v>1757</v>
      </c>
      <c r="F175" s="627"/>
      <c r="G175" s="685" t="s">
        <v>1961</v>
      </c>
      <c r="H175" s="671" t="s">
        <v>1962</v>
      </c>
      <c r="I175" s="627" t="s">
        <v>1963</v>
      </c>
      <c r="J175" s="627" t="s">
        <v>1476</v>
      </c>
      <c r="K175" s="686" t="s">
        <v>1964</v>
      </c>
      <c r="L175" s="670"/>
      <c r="M175" s="670"/>
      <c r="N175" s="671"/>
      <c r="O175" s="16" t="s">
        <v>1683</v>
      </c>
      <c r="P175" s="16"/>
    </row>
    <row r="176" spans="1:16" ht="57.6" hidden="1" x14ac:dyDescent="0.3">
      <c r="A176" s="667" t="s">
        <v>8</v>
      </c>
      <c r="B176" s="590" t="s">
        <v>1681</v>
      </c>
      <c r="C176" s="684">
        <v>45809</v>
      </c>
      <c r="D176" s="627" t="s">
        <v>1489</v>
      </c>
      <c r="E176" s="592" t="s">
        <v>1730</v>
      </c>
      <c r="F176" s="627" t="s">
        <v>1965</v>
      </c>
      <c r="G176" s="670" t="s">
        <v>1966</v>
      </c>
      <c r="H176" s="671" t="s">
        <v>1967</v>
      </c>
      <c r="I176" s="627" t="s">
        <v>1965</v>
      </c>
      <c r="J176" s="627" t="s">
        <v>1510</v>
      </c>
      <c r="K176" s="687"/>
      <c r="L176" s="688" t="s">
        <v>330</v>
      </c>
      <c r="M176" s="689" t="s">
        <v>331</v>
      </c>
      <c r="N176" s="690" t="s">
        <v>332</v>
      </c>
      <c r="O176" s="16" t="s">
        <v>1683</v>
      </c>
      <c r="P176" s="598"/>
    </row>
    <row r="177" spans="1:16" ht="72" hidden="1" x14ac:dyDescent="0.3">
      <c r="A177" s="664" t="s">
        <v>333</v>
      </c>
      <c r="B177" s="590" t="s">
        <v>1681</v>
      </c>
      <c r="C177" s="684">
        <v>45992</v>
      </c>
      <c r="D177" s="669" t="s">
        <v>1451</v>
      </c>
      <c r="E177" s="592" t="s">
        <v>1757</v>
      </c>
      <c r="F177" s="627"/>
      <c r="G177" s="689" t="s">
        <v>1968</v>
      </c>
      <c r="H177" s="691" t="s">
        <v>1969</v>
      </c>
      <c r="I177" s="669" t="s">
        <v>1970</v>
      </c>
      <c r="J177" s="669" t="s">
        <v>1517</v>
      </c>
      <c r="K177" s="665"/>
      <c r="L177" s="666" t="s">
        <v>1971</v>
      </c>
      <c r="M177" s="692" t="s">
        <v>1972</v>
      </c>
      <c r="N177" s="693">
        <v>8806364347</v>
      </c>
      <c r="O177" s="16" t="s">
        <v>1683</v>
      </c>
      <c r="P177" s="598"/>
    </row>
    <row r="178" spans="1:16" ht="57.6" hidden="1" x14ac:dyDescent="0.3">
      <c r="A178" s="37" t="s">
        <v>334</v>
      </c>
      <c r="B178" s="590" t="s">
        <v>1681</v>
      </c>
      <c r="C178" s="591">
        <v>45962</v>
      </c>
      <c r="D178" s="601" t="s">
        <v>1466</v>
      </c>
      <c r="E178" s="592" t="s">
        <v>256</v>
      </c>
      <c r="F178" s="627"/>
      <c r="G178" s="602" t="s">
        <v>1973</v>
      </c>
      <c r="H178" s="603" t="s">
        <v>1974</v>
      </c>
      <c r="I178" s="619" t="s">
        <v>1470</v>
      </c>
      <c r="J178" s="601"/>
      <c r="K178" s="16"/>
      <c r="L178" s="132"/>
      <c r="M178" s="132"/>
      <c r="N178" s="595"/>
      <c r="O178" s="16" t="s">
        <v>1683</v>
      </c>
      <c r="P178" s="16"/>
    </row>
    <row r="179" spans="1:16" hidden="1" x14ac:dyDescent="0.3">
      <c r="A179" s="664" t="s">
        <v>335</v>
      </c>
      <c r="B179" s="590" t="s">
        <v>1681</v>
      </c>
      <c r="C179" s="591">
        <v>45992</v>
      </c>
      <c r="D179" s="669" t="s">
        <v>1466</v>
      </c>
      <c r="E179" s="592" t="s">
        <v>256</v>
      </c>
      <c r="F179" s="694"/>
      <c r="G179" s="689" t="s">
        <v>1975</v>
      </c>
      <c r="H179" s="695" t="s">
        <v>1976</v>
      </c>
      <c r="I179" s="669" t="s">
        <v>1812</v>
      </c>
      <c r="J179" s="696" t="s">
        <v>1482</v>
      </c>
      <c r="K179" s="665"/>
      <c r="L179" s="697" t="s">
        <v>1977</v>
      </c>
      <c r="M179" s="692" t="s">
        <v>1978</v>
      </c>
      <c r="N179" s="693"/>
      <c r="O179" s="665" t="s">
        <v>1683</v>
      </c>
      <c r="P179" s="665"/>
    </row>
  </sheetData>
  <dataValidations count="1">
    <dataValidation allowBlank="1" showInputMessage="1" showErrorMessage="1" sqref="D94:D95 D97 D88:D91" xr:uid="{6953F773-8F66-4441-93D0-79FA882301EA}"/>
  </dataValidations>
  <hyperlinks>
    <hyperlink ref="G2" r:id="rId1" xr:uid="{F714546D-7562-4CF4-95F0-B772E0676187}"/>
    <hyperlink ref="K2" r:id="rId2" xr:uid="{C6B6BFB3-80D3-40F5-A116-27F30CAFA779}"/>
    <hyperlink ref="G21" r:id="rId3" xr:uid="{009AB4A3-0663-4CC2-8B5A-7D3AD08CFFEB}"/>
    <hyperlink ref="G12" r:id="rId4" xr:uid="{470261B1-5ECB-4960-83D0-A0F2317C2C25}"/>
    <hyperlink ref="G172" r:id="rId5" xr:uid="{93B24FB3-0F51-4769-A967-F774A7FC98F8}"/>
    <hyperlink ref="K172" r:id="rId6" location="slide=id.g3371b67b069_3_87" xr:uid="{AA417B78-5CF7-4771-8A26-CC50A3B332ED}"/>
    <hyperlink ref="K138" r:id="rId7" xr:uid="{52B98C99-B0B5-48EE-BE25-F8BFE8C06B93}"/>
    <hyperlink ref="G138" r:id="rId8" xr:uid="{E94880F4-9559-458F-8C9C-E2563543C00C}"/>
    <hyperlink ref="G144" r:id="rId9" xr:uid="{90B988B2-3353-49C6-BEA8-EE5AFA349DC2}"/>
    <hyperlink ref="K144" r:id="rId10" xr:uid="{273C5AF3-40EE-45E7-A683-1B1A9471C95C}"/>
    <hyperlink ref="G136" r:id="rId11" xr:uid="{431CC11D-B996-4EB3-BE64-43562173F006}"/>
    <hyperlink ref="K136" r:id="rId12" xr:uid="{AF16E4EB-0670-4328-9604-8D669C7D9FA9}"/>
    <hyperlink ref="G108" r:id="rId13" xr:uid="{0ED10351-3A4F-4FEC-B673-98F570A539D9}"/>
    <hyperlink ref="K108" r:id="rId14" xr:uid="{FF319117-95BF-4A50-8D7C-9E6791C3690E}"/>
    <hyperlink ref="G171" r:id="rId15" xr:uid="{0CF6E153-00EA-4DEE-8FC4-62E9C01084C4}"/>
    <hyperlink ref="K171" r:id="rId16" xr:uid="{E8E81BDA-CFF6-4355-96F0-FAF498A73824}"/>
    <hyperlink ref="G32" r:id="rId17" xr:uid="{03C1ECEF-E3C2-4487-B98A-65C025FC8B8C}"/>
    <hyperlink ref="K32" r:id="rId18" xr:uid="{E22B788C-CEE3-4D2A-86B5-D2CB79224F26}"/>
    <hyperlink ref="K119" r:id="rId19" xr:uid="{4B5009CC-9102-426A-80AE-348B71DF05FB}"/>
    <hyperlink ref="G51" r:id="rId20" xr:uid="{BBF5FEDA-FA61-4447-8986-6AFBC507C69E}"/>
    <hyperlink ref="K51" r:id="rId21" xr:uid="{D4F9F6B1-7034-400C-86FB-AD0EEA546333}"/>
    <hyperlink ref="G143" r:id="rId22" xr:uid="{3F3BFC43-F45D-4351-A6A2-0E16077E4E03}"/>
    <hyperlink ref="K143" r:id="rId23" xr:uid="{7E05DEAA-2CE9-48BC-B4B7-151CD85A5309}"/>
    <hyperlink ref="G17" r:id="rId24" xr:uid="{DAD0BEA4-19E2-420F-84CB-CDAD15C1F110}"/>
    <hyperlink ref="K17" r:id="rId25" xr:uid="{3AE81A8F-B113-4B04-8538-62BD3D784913}"/>
    <hyperlink ref="G149" r:id="rId26" xr:uid="{8D4BE45E-0B9B-4FB2-AEAD-76010EB20569}"/>
    <hyperlink ref="K149" r:id="rId27" xr:uid="{EBFD4F1D-F841-454B-838A-B5001425365F}"/>
    <hyperlink ref="G7" r:id="rId28" xr:uid="{4A76366F-D338-45BC-8346-CD924C019389}"/>
    <hyperlink ref="K7" r:id="rId29" xr:uid="{2A40944A-2F48-4DA8-AE41-92281DD750C8}"/>
    <hyperlink ref="G50" r:id="rId30" xr:uid="{A673AD8B-8D7E-48FB-834B-7D2F8E3314BE}"/>
    <hyperlink ref="K50" r:id="rId31" xr:uid="{C43CB824-CD69-40D3-9D3C-044604A91B3E}"/>
    <hyperlink ref="G155" r:id="rId32" xr:uid="{3CDA0E79-B470-4E02-8474-DECB009969EA}"/>
    <hyperlink ref="K155" r:id="rId33" xr:uid="{B4AF900B-E2B5-444E-98AE-65C3A36F4306}"/>
    <hyperlink ref="G152" r:id="rId34" xr:uid="{7FD8FDA6-32E0-415E-83C7-04FDB22EDB8E}"/>
    <hyperlink ref="G43" r:id="rId35" xr:uid="{B8382455-2285-428D-8784-A9B9D1F3F056}"/>
    <hyperlink ref="K43" r:id="rId36" xr:uid="{559D3240-16D8-4396-90F1-638F81852544}"/>
    <hyperlink ref="G176" r:id="rId37" xr:uid="{E7DD52E7-147C-4A7F-8963-D7DC7CAC2921}"/>
    <hyperlink ref="G173" r:id="rId38" xr:uid="{B192901B-4903-44E2-8B88-99FC68D73435}"/>
    <hyperlink ref="K148" r:id="rId39" xr:uid="{52CE7686-50D6-4E1A-8E1C-DF3B8B4D153E}"/>
    <hyperlink ref="K174" r:id="rId40" xr:uid="{B487EE08-06DA-4B50-ACB3-CD19DCFEEC71}"/>
    <hyperlink ref="K42" r:id="rId41" xr:uid="{F8D51F96-6C0D-4BBF-9E8A-EC7F34809586}"/>
    <hyperlink ref="K24" r:id="rId42" xr:uid="{8F13F238-15CB-48D3-9EE1-ACD325CD362E}"/>
    <hyperlink ref="K47" r:id="rId43" xr:uid="{FFCB49F6-8AC0-4B80-B063-5C1A374A42E7}"/>
    <hyperlink ref="K57" r:id="rId44" xr:uid="{0FA369A5-A117-4D24-B2B8-684B3F82AA55}"/>
    <hyperlink ref="G45" r:id="rId45" xr:uid="{3A8C7B93-7F87-4786-B536-BDBBE1EB5263}"/>
    <hyperlink ref="G150" r:id="rId46" xr:uid="{242DBFDB-A09E-48DE-BF6E-41961F698554}"/>
    <hyperlink ref="G59" r:id="rId47" xr:uid="{38F5B60A-C29D-43BA-BC4B-865206B4AF85}"/>
    <hyperlink ref="G133" r:id="rId48" xr:uid="{B3AD3C97-130E-4FE3-8BC5-719A09100287}"/>
    <hyperlink ref="G46" r:id="rId49" xr:uid="{A4083379-273B-4F5B-B117-47B50FB9D213}"/>
    <hyperlink ref="G53" r:id="rId50" xr:uid="{24118DB4-6C4A-4CD0-9F9F-F839FF2A3130}"/>
    <hyperlink ref="G27" r:id="rId51" xr:uid="{1220F52C-BB29-44FF-832E-4101184177DD}"/>
    <hyperlink ref="G120" r:id="rId52" xr:uid="{3A3A2D1F-F20A-4783-8A4A-505FB652EB0B}"/>
    <hyperlink ref="G20" r:id="rId53" xr:uid="{C31DF3F0-7050-48B9-A536-164D022DB9A5}"/>
    <hyperlink ref="G15" r:id="rId54" xr:uid="{4238586D-6FBF-48F4-B0CC-D655D341218D}"/>
    <hyperlink ref="G55" r:id="rId55" xr:uid="{45D9A180-BB3B-4080-B340-02149D7338F6}"/>
    <hyperlink ref="G166" r:id="rId56" xr:uid="{0B4D8EA2-513B-49B5-861E-4500D9713E7B}"/>
    <hyperlink ref="G112" r:id="rId57" xr:uid="{70BA141E-87E1-4408-BE0A-9D70B2F1B9B8}"/>
    <hyperlink ref="G38" r:id="rId58" xr:uid="{00F0B76F-822F-4456-A144-094C470CED14}"/>
    <hyperlink ref="G154" r:id="rId59" xr:uid="{57C12D0C-6799-4CA8-A788-587F5417D9CC}"/>
    <hyperlink ref="G131" r:id="rId60" xr:uid="{AEC383AF-B193-46CD-95E6-DC566E7ECCAA}"/>
    <hyperlink ref="G123" r:id="rId61" xr:uid="{AEB33CAF-F018-4EE3-8098-BA71F3517400}"/>
    <hyperlink ref="G5" r:id="rId62" xr:uid="{CF97EF20-2DF6-4A1F-BA10-5612DE9F357B}"/>
    <hyperlink ref="G117" r:id="rId63" xr:uid="{7CF57C69-8C9C-44E2-8F48-C86AF383E18E}"/>
    <hyperlink ref="G175" r:id="rId64" xr:uid="{6029C267-4F38-438D-AEC0-49E2B182AD85}"/>
    <hyperlink ref="K45" r:id="rId65" xr:uid="{10F0D803-004F-42F5-8DC6-8663524DEDBB}"/>
    <hyperlink ref="K150" r:id="rId66" xr:uid="{6DDCC815-B79C-4A1C-965E-3174018045BE}"/>
    <hyperlink ref="K59" r:id="rId67" xr:uid="{E7734FB1-FF0D-4B7C-9BF0-EF27634547C1}"/>
    <hyperlink ref="K46" r:id="rId68" xr:uid="{D3340B0B-D1A9-4653-AC56-B83F24916F6A}"/>
    <hyperlink ref="K27" r:id="rId69" xr:uid="{562DCE6A-CE62-420F-ACAC-3A1E8EC32EA8}"/>
    <hyperlink ref="K120" r:id="rId70" xr:uid="{BDDEB852-D340-4699-830D-3A5B73BAB475}"/>
    <hyperlink ref="K20" r:id="rId71" xr:uid="{47D53503-2FEF-40D1-A70C-B095971C64A8}"/>
    <hyperlink ref="K15" r:id="rId72" xr:uid="{56977BB1-E240-46AD-9B25-6AB575859620}"/>
    <hyperlink ref="K105" r:id="rId73" xr:uid="{B38D6B93-2990-4DCA-B89C-86B1B6FD2904}"/>
    <hyperlink ref="K166" r:id="rId74" xr:uid="{ED955185-CD5A-4EA4-8109-606C05149752}"/>
    <hyperlink ref="K112" r:id="rId75" xr:uid="{F6238558-6BC4-45FA-93F6-2DA68A076AFB}"/>
    <hyperlink ref="K38" r:id="rId76" xr:uid="{2DDB01EA-BC30-496B-B803-4BD42782D74D}"/>
    <hyperlink ref="K154" r:id="rId77" display="https://wadhwanifoundation-my.sharepoint.com/my?id=%2Fpersonal%2Frishabh%5Fsingh%5Fwadhwanifoundation%5Forg%2FDocuments%2FAttachments%2FQNu%20Intro%20Deck%20%2D%20Sept25%2Epdf&amp;parent=%2Fpersonal%2Frishabh%5Fsingh%5Fwadhwanifoundation%5Forg%2FDocuments%2FAttachments" xr:uid="{83511B33-E301-4068-83A3-C76BD0C5141C}"/>
    <hyperlink ref="K123" r:id="rId78" xr:uid="{AB81F3F1-CB93-4215-992D-F3D40AA6C73D}"/>
    <hyperlink ref="K5" r:id="rId79" xr:uid="{53FE8D5B-3B03-4E9D-9AF4-CB483227E6F2}"/>
    <hyperlink ref="K175" r:id="rId80" xr:uid="{0BC47A22-36F3-4E3B-9911-A45B7DC1397B}"/>
    <hyperlink ref="G142" r:id="rId81" xr:uid="{A497969D-7F6E-43FA-B4A6-9E296BA20BFD}"/>
    <hyperlink ref="G6" r:id="rId82" xr:uid="{FB79CAF4-8C35-4FA2-B036-148C4EB7CF94}"/>
    <hyperlink ref="G164" r:id="rId83" xr:uid="{78EB972A-86FB-439E-9F36-4D33A12E7248}"/>
    <hyperlink ref="G44" r:id="rId84" xr:uid="{0D5000D7-58BA-4BCD-B9A2-FC9803EF5859}"/>
    <hyperlink ref="G156" r:id="rId85" xr:uid="{49354354-1060-43D8-9D77-FFAFE62D2B74}"/>
    <hyperlink ref="G151" r:id="rId86" xr:uid="{E3E42023-4655-42FB-8F8E-C8D358524A7C}"/>
    <hyperlink ref="G29" r:id="rId87" xr:uid="{1C56BC15-74CE-4E60-A54B-DE7A22D85289}"/>
    <hyperlink ref="G139" r:id="rId88" xr:uid="{08B05C39-E786-453F-8D2D-A10624AF4E83}"/>
    <hyperlink ref="G137" r:id="rId89" xr:uid="{DB9E679D-AEB8-4707-8D7C-A7C0538C184A}"/>
    <hyperlink ref="G146" r:id="rId90" xr:uid="{FA82B9BA-3D88-4191-810C-704879DC938E}"/>
    <hyperlink ref="G157" r:id="rId91" xr:uid="{42B96447-ECA7-4762-A3A8-C8AD7DBE69A2}"/>
    <hyperlink ref="G36" r:id="rId92" xr:uid="{CD5A57FD-0DB7-46A0-858B-ED55521F4974}"/>
    <hyperlink ref="G121" r:id="rId93" xr:uid="{5350A51C-AA43-4F32-B6D2-30A94E15CFDD}"/>
    <hyperlink ref="G48" r:id="rId94" xr:uid="{803F1E64-5F08-4139-ABD8-3CBA89EA7D4A}"/>
    <hyperlink ref="G141" r:id="rId95" xr:uid="{EB82404B-1D29-4CE7-8A55-9D9DBA5568C4}"/>
    <hyperlink ref="G4" r:id="rId96" xr:uid="{1A31C327-8BC5-436F-89E3-7F03A685742A}"/>
    <hyperlink ref="G113" r:id="rId97" xr:uid="{9F6E72DB-401A-4B52-BAF0-21ABBFBC7F19}"/>
    <hyperlink ref="G135" r:id="rId98" xr:uid="{6C3ACA19-EBC0-4942-A254-899915564E5A}"/>
    <hyperlink ref="G159" r:id="rId99" xr:uid="{F12B179E-07BC-4BCB-99D9-65B3CB027C22}"/>
    <hyperlink ref="K142" r:id="rId100" xr:uid="{8B1634D0-9699-42A9-B3CB-07C5578610D1}"/>
    <hyperlink ref="K6" r:id="rId101" xr:uid="{26D9A8E7-045F-4948-B8A2-7C64AA7E405F}"/>
    <hyperlink ref="K164" r:id="rId102" xr:uid="{53ADF0B6-C604-4FD3-B0DB-63E312D9A88A}"/>
    <hyperlink ref="K44" r:id="rId103" xr:uid="{140FE1F5-CD19-4D79-ADB6-AB657E484DFA}"/>
    <hyperlink ref="K156" r:id="rId104" xr:uid="{0E189976-67E3-469D-AA27-5D55E261F0D1}"/>
    <hyperlink ref="K151" r:id="rId105" xr:uid="{6E41938D-B793-4C60-A2A3-17129AD619A4}"/>
    <hyperlink ref="K29" r:id="rId106" xr:uid="{3F2F5F18-D2F1-4924-AE51-DA876BCA898F}"/>
    <hyperlink ref="K139" r:id="rId107" xr:uid="{A8F04FD8-DE46-444D-9F9D-BD96E2E417F4}"/>
    <hyperlink ref="K137" r:id="rId108" xr:uid="{09312FC0-57F1-4255-BAEE-2269B2BD7511}"/>
    <hyperlink ref="K146" r:id="rId109" xr:uid="{EE35F331-FEDA-4E6B-B3C0-FB812FA1EB14}"/>
    <hyperlink ref="K157" r:id="rId110" xr:uid="{43A0B4C4-6953-4DE9-9E33-156BD39E8D66}"/>
    <hyperlink ref="K36" r:id="rId111" xr:uid="{036BB9E2-05A4-46F4-985D-D301437AE4A7}"/>
    <hyperlink ref="K121" r:id="rId112" xr:uid="{6FE85695-5630-455B-9375-F309755CDB2F}"/>
    <hyperlink ref="K48" r:id="rId113" xr:uid="{9CA73AD6-DBBF-47CD-93F8-BC3D1C55644C}"/>
    <hyperlink ref="K141" r:id="rId114" xr:uid="{320829F8-60A1-4CF2-AB99-B6287AFBE46F}"/>
    <hyperlink ref="K4" r:id="rId115" xr:uid="{BD4017B6-DEBE-4998-AB41-3E163DE6BB99}"/>
    <hyperlink ref="K118" r:id="rId116" xr:uid="{EFF4E3C0-429C-483A-81B6-04B0B1A0B1D7}"/>
    <hyperlink ref="K113" r:id="rId117" xr:uid="{B256EE08-039C-451A-B41A-7419336D0B11}"/>
    <hyperlink ref="K135" r:id="rId118" xr:uid="{3520C874-DB4B-4CDB-9A8A-40617005A4C3}"/>
    <hyperlink ref="K159" r:id="rId119" xr:uid="{D9511BEA-C603-45B1-83B7-69713DEE9D60}"/>
    <hyperlink ref="G19" r:id="rId120" xr:uid="{BF31F040-1913-4344-A9F5-DFF6FE0C8662}"/>
    <hyperlink ref="G106" r:id="rId121" xr:uid="{98D9C73F-E119-4EC7-B829-6B2BCC4C8B7E}"/>
    <hyperlink ref="G153" r:id="rId122" xr:uid="{A9E41AF5-2F54-4122-8D94-313DF49111F7}"/>
    <hyperlink ref="G52" r:id="rId123" xr:uid="{1DED718E-C1E6-4D83-803F-AE549C4EAB89}"/>
    <hyperlink ref="G111" r:id="rId124" xr:uid="{897C042D-7DA6-464F-87B5-9011B4A13C81}"/>
    <hyperlink ref="G107" r:id="rId125" xr:uid="{11E12DC4-E3FF-4159-BEE9-C17D6F5EA504}"/>
    <hyperlink ref="G8" r:id="rId126" xr:uid="{F24A2AA8-380D-4579-9A93-BA4F7F4E42CA}"/>
    <hyperlink ref="G31" r:id="rId127" xr:uid="{77ED65BC-C1AC-4B43-A5E8-7FBD17CC16AB}"/>
    <hyperlink ref="G161" r:id="rId128" xr:uid="{26D22F82-0759-4F7F-BC31-6D4176B9AA8D}"/>
    <hyperlink ref="G168" r:id="rId129" xr:uid="{B73291AE-225F-4AEF-9F0F-A4C1B658781C}"/>
    <hyperlink ref="G58" r:id="rId130" xr:uid="{602D5521-A99C-4DD5-884B-F77CC449779B}"/>
    <hyperlink ref="G40" r:id="rId131" xr:uid="{15BA4A42-18D1-4403-AF9E-EC31B32F8871}"/>
    <hyperlink ref="G158" r:id="rId132" xr:uid="{CD5E5689-E5C0-45B0-B43E-E546D9FBA342}"/>
    <hyperlink ref="G170" r:id="rId133" xr:uid="{1375DF6C-6A22-43A3-B4B3-3BC7DE076E47}"/>
    <hyperlink ref="G178" r:id="rId134" xr:uid="{55BA9EFE-A11E-4754-9BC8-75E70FF99D8A}"/>
    <hyperlink ref="G127" r:id="rId135" xr:uid="{8F000C66-4A6A-4468-B5E1-484FD4B48FC8}"/>
    <hyperlink ref="G167" r:id="rId136" xr:uid="{E968D251-FE3C-44AB-9353-FDB1C8626AD2}"/>
    <hyperlink ref="G163" r:id="rId137" xr:uid="{4A8DF78C-43FC-4795-A4BE-7B371AD38690}"/>
    <hyperlink ref="G165" r:id="rId138" xr:uid="{CE7768FD-8618-441D-A6A9-344382D64681}"/>
    <hyperlink ref="G56" r:id="rId139" xr:uid="{2DB7D9ED-51A1-4F31-9853-11EF3DB0FD31}"/>
    <hyperlink ref="G124" r:id="rId140" xr:uid="{FFA0DA80-4699-4B72-984A-2907024E04A2}"/>
    <hyperlink ref="G114" r:id="rId141" xr:uid="{92A57BAB-EC7A-4D50-91C9-D0DB84EB65C9}"/>
    <hyperlink ref="G18" r:id="rId142" xr:uid="{14E49A24-4E4B-4126-A882-069B2EC8A423}"/>
    <hyperlink ref="G110" r:id="rId143" xr:uid="{180EDD01-C674-4A97-94C1-8AB67254025F}"/>
    <hyperlink ref="G35" r:id="rId144" xr:uid="{F0BBEF1F-9B11-460B-AA3E-420501CB8AA7}"/>
    <hyperlink ref="G134" r:id="rId145" xr:uid="{3D450C33-8BBA-43A9-A7E8-821DF91F377D}"/>
    <hyperlink ref="G9" r:id="rId146" xr:uid="{11E97181-D152-401F-AC7F-DAC5A343FE04}"/>
    <hyperlink ref="G13" r:id="rId147" xr:uid="{1E76E751-BE91-44A9-8FA9-88A6CA42E216}"/>
    <hyperlink ref="G25" r:id="rId148" xr:uid="{F4718F86-6751-4D67-9DCE-B4E7B9BE73F1}"/>
    <hyperlink ref="G130" r:id="rId149" xr:uid="{AD6EF85A-5951-4830-A2CA-DB143001819D}"/>
    <hyperlink ref="G179" r:id="rId150" xr:uid="{766F620D-91A0-4C73-9CAD-FEC9F3248054}"/>
    <hyperlink ref="G10" r:id="rId151" xr:uid="{F56E8EBB-662E-4DF4-B329-CE457AA7488A}"/>
    <hyperlink ref="G49" r:id="rId152" xr:uid="{E0836999-3ACF-4619-8256-E3FB078B36C5}"/>
    <hyperlink ref="G14" r:id="rId153" xr:uid="{571381CE-C24A-4DA8-845B-20C15C4202E2}"/>
    <hyperlink ref="G3" r:id="rId154" xr:uid="{3DA9C149-20EB-4955-8215-D0A043591C07}"/>
    <hyperlink ref="G126" r:id="rId155" xr:uid="{91DC3803-0F96-4090-81A5-5EB3B9CDA53F}"/>
    <hyperlink ref="G33" r:id="rId156" xr:uid="{5669EA40-F28B-4ADF-8693-AF4DE21A1121}"/>
    <hyperlink ref="G177" r:id="rId157" xr:uid="{F19F2340-5B8B-478D-9FEA-383C4ADCD61A}"/>
    <hyperlink ref="M124" r:id="rId158" xr:uid="{19952561-F342-4ED2-A30A-0C7C2792C582}"/>
    <hyperlink ref="M114" r:id="rId159" xr:uid="{0FF7F69E-E4C5-457B-AFF9-AF06C794F0DE}"/>
    <hyperlink ref="M18" r:id="rId160" xr:uid="{3A21A766-3C96-43F3-817D-DA60253DBD7F}"/>
    <hyperlink ref="M110" r:id="rId161" xr:uid="{A903081D-82D5-4D45-A892-459F79356820}"/>
    <hyperlink ref="M35" r:id="rId162" xr:uid="{4BA10E45-24A2-41FE-BDF2-9B22609D49FA}"/>
    <hyperlink ref="M9" r:id="rId163" xr:uid="{EB31D1E8-126A-4DCD-A833-AF11E23CEA42}"/>
    <hyperlink ref="M13" r:id="rId164" xr:uid="{E73A321E-4001-4C62-A749-231172617A16}"/>
    <hyperlink ref="M25" r:id="rId165" xr:uid="{070D435F-817C-4DA6-91D7-CCB0E0B4292C}"/>
    <hyperlink ref="M179" r:id="rId166" xr:uid="{5168808F-3074-4889-9E1C-A2CC7706E830}"/>
    <hyperlink ref="M10" r:id="rId167" xr:uid="{7EC65BDD-4850-4E22-A5BB-2C2880EE4507}"/>
    <hyperlink ref="M49" r:id="rId168" xr:uid="{0B2310BE-529F-4C4C-826A-3C513EA44029}"/>
    <hyperlink ref="M160" r:id="rId169" xr:uid="{133F042E-23AF-4E98-BF1A-A4E667A20707}"/>
    <hyperlink ref="M14" r:id="rId170" xr:uid="{77ACB89E-0947-4092-9D40-E696277C2C1F}"/>
    <hyperlink ref="M3" r:id="rId171" xr:uid="{1ABE2CAD-BCF1-41A4-B04D-1D3C6014A22E}"/>
    <hyperlink ref="M126" r:id="rId172" xr:uid="{0AB96507-9B80-4704-91A0-697659266C32}"/>
    <hyperlink ref="M33" r:id="rId173" xr:uid="{EF1F58D8-27F9-48D9-9631-DA18EF399104}"/>
    <hyperlink ref="M177" r:id="rId174" xr:uid="{D43278E3-3467-4473-B07D-41C10BC6536D}"/>
    <hyperlink ref="M145" r:id="rId175" display="mailto:sanjeeviraja@manufyx.co.in" xr:uid="{F8773AB7-F3FB-46D6-919E-0BE0A7512782}"/>
    <hyperlink ref="M176" r:id="rId176" display="mailto:arjun@videosdk.live; vikram@videosdk.live" xr:uid="{E4EB4885-468C-49AB-A3A9-52D38D29B135}"/>
    <hyperlink ref="M125" r:id="rId177" xr:uid="{82A7F1F4-1124-4C75-B734-32AE848AB5A1}"/>
    <hyperlink ref="K125" r:id="rId178" xr:uid="{68386B97-03CC-4720-975C-9ADC291AE294}"/>
    <hyperlink ref="G169" r:id="rId179" xr:uid="{89AB7F0F-6FFE-468C-94D9-CDC4FDE64B9A}"/>
    <hyperlink ref="K169" r:id="rId180" display="../../../../:b:/s/WadhwaniAccelerate/EacClh3DwlFIlsMiJUY1g8UBzo1rbbbHG-DG5h41XT12nA?e=iNQMoG" xr:uid="{549AA6AE-0F70-4681-AA59-995B1CD9DBD5}"/>
    <hyperlink ref="G23" r:id="rId181" xr:uid="{515C08A2-48BE-454B-993F-0D91E5D1EAF5}"/>
    <hyperlink ref="M103" r:id="rId182" xr:uid="{5BD900A5-EF4F-4127-96CE-8F83F75CD3F6}"/>
    <hyperlink ref="M58" r:id="rId183" xr:uid="{14FF6996-1E5F-43E8-8C49-9916ABD3A3B7}"/>
  </hyperlinks>
  <pageMargins left="0.7" right="0.7" top="0.75" bottom="0.75" header="0.3" footer="0.3"/>
  <legacyDrawing r:id="rId184"/>
  <tableParts count="1">
    <tablePart r:id="rId18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43E8-515F-4799-BFA0-89B9FE0AA4FA}">
  <dimension ref="A1:AK309"/>
  <sheetViews>
    <sheetView tabSelected="1" zoomScale="114" zoomScaleNormal="115" workbookViewId="0">
      <pane xSplit="4" ySplit="1" topLeftCell="E55" activePane="bottomRight" state="frozen"/>
      <selection pane="topRight" activeCell="E1" sqref="E1"/>
      <selection pane="bottomLeft" activeCell="A2" sqref="A2"/>
      <selection pane="bottomRight" activeCell="A63" sqref="A63"/>
    </sheetView>
  </sheetViews>
  <sheetFormatPr defaultColWidth="8.88671875" defaultRowHeight="24.6" customHeight="1" x14ac:dyDescent="0.3"/>
  <cols>
    <col min="1" max="1" width="41.88671875" customWidth="1"/>
    <col min="2" max="2" width="18.88671875" customWidth="1"/>
    <col min="3" max="3" width="12.88671875" style="14" customWidth="1"/>
    <col min="4" max="4" width="16.5546875" style="11" customWidth="1"/>
    <col min="5" max="5" width="22.33203125" style="11" bestFit="1" customWidth="1"/>
    <col min="6" max="6" width="37.6640625" customWidth="1"/>
    <col min="7" max="7" width="17.33203125" customWidth="1"/>
    <col min="8" max="8" width="15.6640625" customWidth="1"/>
    <col min="9" max="9" width="13.44140625" customWidth="1"/>
    <col min="10" max="10" width="16" customWidth="1"/>
    <col min="11" max="11" width="16.33203125" bestFit="1" customWidth="1"/>
    <col min="12" max="12" width="19.5546875" customWidth="1"/>
    <col min="13" max="13" width="17.6640625" customWidth="1"/>
    <col min="14" max="14" width="17.33203125" customWidth="1"/>
    <col min="15" max="15" width="44.5546875" customWidth="1"/>
    <col min="16" max="16" width="17.33203125" customWidth="1"/>
    <col min="17" max="17" width="17.33203125" style="583" customWidth="1"/>
    <col min="18" max="18" width="21.6640625" style="7" customWidth="1"/>
    <col min="19" max="19" width="16.33203125" style="12" customWidth="1"/>
    <col min="20" max="20" width="21.88671875" customWidth="1"/>
    <col min="21" max="21" width="17.5546875" customWidth="1"/>
    <col min="22" max="23" width="47.33203125" style="11" customWidth="1"/>
    <col min="24" max="24" width="27.33203125" style="584" customWidth="1"/>
    <col min="25" max="25" width="26.6640625" style="584" customWidth="1"/>
    <col min="26" max="26" width="25.33203125" style="11" customWidth="1"/>
    <col min="27" max="27" width="38.5546875" style="11" bestFit="1" customWidth="1"/>
    <col min="28" max="28" width="17.109375" bestFit="1" customWidth="1"/>
    <col min="29" max="33" width="17.109375" customWidth="1"/>
    <col min="34" max="34" width="31.6640625" customWidth="1"/>
    <col min="35" max="35" width="19.5546875" bestFit="1" customWidth="1"/>
    <col min="36" max="36" width="20.6640625" customWidth="1"/>
    <col min="37" max="37" width="23.5546875" customWidth="1"/>
  </cols>
  <sheetData>
    <row r="1" spans="1:37" ht="37.200000000000003" customHeight="1" x14ac:dyDescent="0.3">
      <c r="A1" s="198" t="s">
        <v>141</v>
      </c>
      <c r="B1" s="198" t="s">
        <v>142</v>
      </c>
      <c r="C1" s="199" t="s">
        <v>0</v>
      </c>
      <c r="D1" s="198" t="s">
        <v>144</v>
      </c>
      <c r="E1" s="200" t="s">
        <v>81</v>
      </c>
      <c r="F1" s="201" t="s">
        <v>17</v>
      </c>
      <c r="G1" s="202" t="s">
        <v>889</v>
      </c>
      <c r="H1" s="202" t="s">
        <v>890</v>
      </c>
      <c r="I1" s="202" t="s">
        <v>891</v>
      </c>
      <c r="J1" s="202" t="s">
        <v>892</v>
      </c>
      <c r="K1" s="203" t="s">
        <v>82</v>
      </c>
      <c r="L1" s="204" t="s">
        <v>893</v>
      </c>
      <c r="M1" s="205" t="s">
        <v>894</v>
      </c>
      <c r="N1" s="206" t="s">
        <v>895</v>
      </c>
      <c r="O1" s="15" t="s">
        <v>339</v>
      </c>
      <c r="P1" s="207" t="s">
        <v>896</v>
      </c>
      <c r="Q1" s="202" t="s">
        <v>897</v>
      </c>
      <c r="R1" s="208" t="s">
        <v>898</v>
      </c>
      <c r="S1" s="208" t="s">
        <v>899</v>
      </c>
      <c r="T1" s="209" t="s">
        <v>145</v>
      </c>
      <c r="U1" s="210" t="s">
        <v>900</v>
      </c>
      <c r="V1" s="209" t="s">
        <v>901</v>
      </c>
      <c r="W1" s="209" t="s">
        <v>902</v>
      </c>
      <c r="X1" s="211" t="s">
        <v>903</v>
      </c>
      <c r="Y1" s="211" t="s">
        <v>19</v>
      </c>
      <c r="Z1" s="15" t="s">
        <v>904</v>
      </c>
      <c r="AA1" s="212" t="s">
        <v>429</v>
      </c>
      <c r="AB1" s="213" t="s">
        <v>905</v>
      </c>
      <c r="AC1" s="213" t="s">
        <v>906</v>
      </c>
      <c r="AD1" s="213" t="s">
        <v>907</v>
      </c>
      <c r="AE1" s="213" t="s">
        <v>908</v>
      </c>
      <c r="AF1" s="213" t="s">
        <v>909</v>
      </c>
      <c r="AG1" s="213" t="s">
        <v>430</v>
      </c>
      <c r="AH1" s="213" t="s">
        <v>431</v>
      </c>
      <c r="AI1" s="214" t="s">
        <v>910</v>
      </c>
      <c r="AJ1" s="214" t="s">
        <v>911</v>
      </c>
      <c r="AK1" s="215" t="s">
        <v>912</v>
      </c>
    </row>
    <row r="2" spans="1:37" ht="24.6" customHeight="1" x14ac:dyDescent="0.3">
      <c r="A2" s="2" t="s">
        <v>8</v>
      </c>
      <c r="B2" s="2" t="str">
        <f>VLOOKUP(Mentor_Connect[[#This Row],[Venture Name]],[1]!VenturesList[#All],2,FALSE)</f>
        <v>Accelerate Core</v>
      </c>
      <c r="C2" s="1">
        <f>VLOOKUP(Mentor_Connect[[#This Row],[Venture Name]],[1]!VenturesList[#All],3,FALSE)</f>
        <v>45809</v>
      </c>
      <c r="D2" s="2" t="str">
        <f>VLOOKUP(Mentor_Connect[[#This Row],[Venture Name]],[1]!VenturesList[#All],5,FALSE)</f>
        <v>Jigar</v>
      </c>
      <c r="E2" s="3" t="s">
        <v>10</v>
      </c>
      <c r="F2" s="216" t="s">
        <v>18</v>
      </c>
      <c r="G2" s="217">
        <v>45848</v>
      </c>
      <c r="H2" s="218">
        <v>46239</v>
      </c>
      <c r="I2" s="218">
        <v>46239</v>
      </c>
      <c r="J2" s="219">
        <v>45895</v>
      </c>
      <c r="K2" s="220">
        <v>45903</v>
      </c>
      <c r="L2" s="218" t="s">
        <v>345</v>
      </c>
      <c r="M2" s="218">
        <v>45895</v>
      </c>
      <c r="N2" s="221" t="s">
        <v>9</v>
      </c>
      <c r="O2" s="6"/>
      <c r="P2" s="5" t="s">
        <v>358</v>
      </c>
      <c r="Q2" s="10">
        <v>115006731217</v>
      </c>
      <c r="R2" s="2" t="s">
        <v>913</v>
      </c>
      <c r="S2" s="2" t="s">
        <v>330</v>
      </c>
      <c r="T2" s="8" t="s">
        <v>914</v>
      </c>
      <c r="U2" s="2">
        <v>9873545857</v>
      </c>
      <c r="V2" s="6" t="s">
        <v>915</v>
      </c>
      <c r="W2" s="6"/>
      <c r="X2" s="6" t="s">
        <v>432</v>
      </c>
      <c r="Y2" s="6" t="s">
        <v>432</v>
      </c>
      <c r="Z2" s="9"/>
      <c r="AA2" s="8"/>
      <c r="AB2" s="9"/>
      <c r="AC2" s="9"/>
      <c r="AD2" s="9"/>
      <c r="AE2" s="9"/>
      <c r="AF2" s="9"/>
      <c r="AG2" s="9"/>
      <c r="AH2" s="9"/>
      <c r="AI2" s="9" t="s">
        <v>916</v>
      </c>
      <c r="AJ2" s="219">
        <f>IF(ISBLANK(Mentor_Connect[[#This Row],[Meeting Date]]),"",Mentor_Connect[[#This Row],[Meeting Date]]-WEEKDAY(Mentor_Connect[[#This Row],[Meeting Date]],2)+1)</f>
        <v>45901</v>
      </c>
      <c r="AK2" s="222">
        <f>IF(ISBLANK(Mentor_Connect[[#This Row],[Preferred Mentor Selected On]]),"",Mentor_Connect[[#This Row],[Preferred Mentor Selected On]]-WEEKDAY(Mentor_Connect[[#This Row],[Preferred Mentor Selected On]],2)+1)</f>
        <v>45894</v>
      </c>
    </row>
    <row r="3" spans="1:37" ht="24.6" customHeight="1" x14ac:dyDescent="0.3">
      <c r="A3" s="8" t="s">
        <v>8</v>
      </c>
      <c r="B3" s="8" t="str">
        <f>VLOOKUP(Mentor_Connect[[#This Row],[Venture Name]],[1]!VenturesList[#All],2,FALSE)</f>
        <v>Accelerate Core</v>
      </c>
      <c r="C3" s="223">
        <f>VLOOKUP(Mentor_Connect[[#This Row],[Venture Name]],[1]!VenturesList[#All],3,FALSE)</f>
        <v>45809</v>
      </c>
      <c r="D3" s="8" t="str">
        <f>VLOOKUP(Mentor_Connect[[#This Row],[Venture Name]],[1]!VenturesList[#All],5,FALSE)</f>
        <v>Jigar</v>
      </c>
      <c r="E3" s="216" t="s">
        <v>84</v>
      </c>
      <c r="F3" s="224" t="s">
        <v>18</v>
      </c>
      <c r="G3" s="217">
        <v>45848</v>
      </c>
      <c r="H3" s="217">
        <v>46239</v>
      </c>
      <c r="I3" s="217">
        <v>46239</v>
      </c>
      <c r="J3" s="225">
        <v>45895</v>
      </c>
      <c r="K3" s="225">
        <v>46010</v>
      </c>
      <c r="L3" s="218" t="s">
        <v>345</v>
      </c>
      <c r="M3" s="217">
        <v>45895</v>
      </c>
      <c r="N3" s="226" t="s">
        <v>9</v>
      </c>
      <c r="O3" s="6" t="s">
        <v>917</v>
      </c>
      <c r="P3" s="6"/>
      <c r="Q3" s="227">
        <v>115029736543</v>
      </c>
      <c r="R3" s="2" t="s">
        <v>913</v>
      </c>
      <c r="S3" s="17" t="s">
        <v>330</v>
      </c>
      <c r="T3" s="18" t="s">
        <v>331</v>
      </c>
      <c r="U3" s="228" t="s">
        <v>332</v>
      </c>
      <c r="V3" s="2" t="s">
        <v>918</v>
      </c>
      <c r="W3" s="2"/>
      <c r="X3" s="53" t="s">
        <v>919</v>
      </c>
      <c r="Y3" s="53" t="s">
        <v>920</v>
      </c>
      <c r="Z3" s="9"/>
      <c r="AA3" s="8"/>
      <c r="AB3" s="9"/>
      <c r="AC3" s="9"/>
      <c r="AD3" s="9"/>
      <c r="AE3" s="9"/>
      <c r="AF3" s="9"/>
      <c r="AG3" s="9"/>
      <c r="AH3" s="9"/>
      <c r="AI3" s="9" t="s">
        <v>916</v>
      </c>
      <c r="AJ3" s="225">
        <f>IF(ISBLANK(Mentor_Connect[[#This Row],[Meeting Date]]),"",Mentor_Connect[[#This Row],[Meeting Date]]-WEEKDAY(Mentor_Connect[[#This Row],[Meeting Date]],2)+1)</f>
        <v>46006</v>
      </c>
      <c r="AK3" s="222">
        <f>IF(ISBLANK(Mentor_Connect[[#This Row],[Preferred Mentor Selected On]]),"",Mentor_Connect[[#This Row],[Preferred Mentor Selected On]]-WEEKDAY(Mentor_Connect[[#This Row],[Preferred Mentor Selected On]],2)+1)</f>
        <v>45894</v>
      </c>
    </row>
    <row r="4" spans="1:37" ht="24.6" customHeight="1" x14ac:dyDescent="0.3">
      <c r="A4" s="229" t="s">
        <v>8</v>
      </c>
      <c r="B4" s="38" t="str">
        <f>VLOOKUP(Mentor_Connect[[#This Row],[Venture Name]],[1]!VenturesList[#All],2,FALSE)</f>
        <v>Accelerate Core</v>
      </c>
      <c r="C4" s="1">
        <f>VLOOKUP(Mentor_Connect[[#This Row],[Venture Name]],[1]!VenturesList[#All],3,FALSE)</f>
        <v>45809</v>
      </c>
      <c r="D4" s="2" t="str">
        <f>VLOOKUP(Mentor_Connect[[#This Row],[Venture Name]],[1]!VenturesList[#All],5,FALSE)</f>
        <v>Jigar</v>
      </c>
      <c r="E4" s="216" t="s">
        <v>11</v>
      </c>
      <c r="F4" s="216" t="s">
        <v>18</v>
      </c>
      <c r="G4" s="218">
        <v>45848</v>
      </c>
      <c r="H4" s="217">
        <v>46239</v>
      </c>
      <c r="I4" s="217">
        <v>46239</v>
      </c>
      <c r="J4" s="219">
        <v>45895</v>
      </c>
      <c r="K4" s="230">
        <v>45903</v>
      </c>
      <c r="L4" s="217" t="s">
        <v>345</v>
      </c>
      <c r="M4" s="217">
        <v>45895</v>
      </c>
      <c r="N4" s="20"/>
      <c r="O4" s="20"/>
      <c r="P4" s="9"/>
      <c r="Q4" s="129"/>
      <c r="R4" s="231" t="s">
        <v>913</v>
      </c>
      <c r="S4" s="232" t="s">
        <v>330</v>
      </c>
      <c r="T4" s="233" t="s">
        <v>331</v>
      </c>
      <c r="U4" s="234" t="s">
        <v>332</v>
      </c>
      <c r="V4" s="2" t="s">
        <v>921</v>
      </c>
      <c r="W4" s="2"/>
      <c r="X4" s="6" t="s">
        <v>432</v>
      </c>
      <c r="Y4" s="6" t="s">
        <v>432</v>
      </c>
      <c r="Z4" s="9"/>
      <c r="AA4" s="8"/>
      <c r="AB4" s="9"/>
      <c r="AC4" s="9"/>
      <c r="AD4" s="9"/>
      <c r="AE4" s="9"/>
      <c r="AF4" s="9"/>
      <c r="AG4" s="9"/>
      <c r="AH4" s="9"/>
      <c r="AI4" s="9" t="s">
        <v>916</v>
      </c>
      <c r="AJ4" s="225">
        <f>IF(ISBLANK(Mentor_Connect[[#This Row],[Meeting Date]]),"",Mentor_Connect[[#This Row],[Meeting Date]]-WEEKDAY(Mentor_Connect[[#This Row],[Meeting Date]],2)+1)</f>
        <v>45901</v>
      </c>
      <c r="AK4" s="222">
        <f>IF(ISBLANK(Mentor_Connect[[#This Row],[Preferred Mentor Selected On]]),"",Mentor_Connect[[#This Row],[Preferred Mentor Selected On]]-WEEKDAY(Mentor_Connect[[#This Row],[Preferred Mentor Selected On]],2)+1)</f>
        <v>45894</v>
      </c>
    </row>
    <row r="5" spans="1:37" ht="24.6" customHeight="1" x14ac:dyDescent="0.3">
      <c r="A5" s="235" t="s">
        <v>4</v>
      </c>
      <c r="B5" s="235" t="str">
        <f>VLOOKUP(Mentor_Connect[[#This Row],[Venture Name]],[1]!VenturesList[#All],2,FALSE)</f>
        <v>Accelerate Core</v>
      </c>
      <c r="C5" s="236">
        <f>VLOOKUP(Mentor_Connect[[#This Row],[Venture Name]],[1]!VenturesList[#All],3,FALSE)</f>
        <v>45809</v>
      </c>
      <c r="D5" s="237" t="str">
        <f>VLOOKUP(Mentor_Connect[[#This Row],[Venture Name]],[1]!VenturesList[#All],5,FALSE)</f>
        <v>Jigar</v>
      </c>
      <c r="E5" s="238" t="s">
        <v>6</v>
      </c>
      <c r="F5" s="238" t="s">
        <v>18</v>
      </c>
      <c r="G5" s="239">
        <v>45854</v>
      </c>
      <c r="H5" s="217">
        <v>46239</v>
      </c>
      <c r="I5" s="217">
        <v>46239</v>
      </c>
      <c r="J5" s="240">
        <v>45891</v>
      </c>
      <c r="K5" s="240">
        <v>45960</v>
      </c>
      <c r="L5" s="218" t="s">
        <v>345</v>
      </c>
      <c r="M5" s="217">
        <v>45891</v>
      </c>
      <c r="N5" s="20"/>
      <c r="O5" s="241"/>
      <c r="P5" s="21"/>
      <c r="Q5" s="242">
        <v>115029727801</v>
      </c>
      <c r="R5" s="243" t="s">
        <v>913</v>
      </c>
      <c r="S5" s="46" t="s">
        <v>311</v>
      </c>
      <c r="T5" s="244" t="s">
        <v>312</v>
      </c>
      <c r="U5" s="245">
        <v>9409611194</v>
      </c>
      <c r="V5" s="38" t="s">
        <v>922</v>
      </c>
      <c r="W5" s="38"/>
      <c r="X5" s="38" t="s">
        <v>432</v>
      </c>
      <c r="Y5" s="38" t="s">
        <v>432</v>
      </c>
      <c r="Z5" s="21"/>
      <c r="AA5" s="237"/>
      <c r="AB5" s="21"/>
      <c r="AC5" s="21"/>
      <c r="AD5" s="21"/>
      <c r="AE5" s="21"/>
      <c r="AF5" s="21"/>
      <c r="AG5" s="21"/>
      <c r="AH5" s="21"/>
      <c r="AI5" s="9" t="s">
        <v>916</v>
      </c>
      <c r="AJ5" s="225">
        <f>IF(ISBLANK(Mentor_Connect[[#This Row],[Meeting Date]]),"",Mentor_Connect[[#This Row],[Meeting Date]]-WEEKDAY(Mentor_Connect[[#This Row],[Meeting Date]],2)+1)</f>
        <v>45957</v>
      </c>
      <c r="AK5" s="222">
        <f>IF(ISBLANK(Mentor_Connect[[#This Row],[Preferred Mentor Selected On]]),"",Mentor_Connect[[#This Row],[Preferred Mentor Selected On]]-WEEKDAY(Mentor_Connect[[#This Row],[Preferred Mentor Selected On]],2)+1)</f>
        <v>45887</v>
      </c>
    </row>
    <row r="6" spans="1:37" ht="24.6" customHeight="1" x14ac:dyDescent="0.3">
      <c r="A6" s="2" t="s">
        <v>4</v>
      </c>
      <c r="B6" s="2" t="str">
        <f>VLOOKUP(Mentor_Connect[[#This Row],[Venture Name]],[1]!VenturesList[#All],2,FALSE)</f>
        <v>Accelerate Core</v>
      </c>
      <c r="C6" s="1">
        <f>VLOOKUP(Mentor_Connect[[#This Row],[Venture Name]],[1]!VenturesList[#All],3,FALSE)</f>
        <v>45809</v>
      </c>
      <c r="D6" s="2" t="str">
        <f>VLOOKUP(Mentor_Connect[[#This Row],[Venture Name]],[1]!VenturesList[#All],5,FALSE)</f>
        <v>Jigar</v>
      </c>
      <c r="E6" s="3" t="s">
        <v>5</v>
      </c>
      <c r="F6" s="216" t="s">
        <v>18</v>
      </c>
      <c r="G6" s="217">
        <v>45854</v>
      </c>
      <c r="H6" s="217">
        <v>46239</v>
      </c>
      <c r="I6" s="217">
        <v>46239</v>
      </c>
      <c r="J6" s="225">
        <v>45891</v>
      </c>
      <c r="K6" s="220">
        <v>45960</v>
      </c>
      <c r="L6" s="218" t="s">
        <v>345</v>
      </c>
      <c r="M6" s="217">
        <v>45891</v>
      </c>
      <c r="N6" s="221" t="s">
        <v>923</v>
      </c>
      <c r="O6" s="6"/>
      <c r="P6" s="5" t="s">
        <v>358</v>
      </c>
      <c r="Q6" s="10">
        <v>115029714292</v>
      </c>
      <c r="R6" s="2" t="s">
        <v>913</v>
      </c>
      <c r="S6" s="2" t="s">
        <v>311</v>
      </c>
      <c r="T6" s="246" t="s">
        <v>312</v>
      </c>
      <c r="U6" s="2">
        <v>9409611194</v>
      </c>
      <c r="V6" s="6" t="s">
        <v>915</v>
      </c>
      <c r="W6" s="22"/>
      <c r="X6" s="38" t="s">
        <v>432</v>
      </c>
      <c r="Y6" s="38" t="s">
        <v>432</v>
      </c>
      <c r="Z6" s="9"/>
      <c r="AA6" s="8"/>
      <c r="AB6" s="9"/>
      <c r="AC6" s="9"/>
      <c r="AD6" s="9"/>
      <c r="AE6" s="9"/>
      <c r="AF6" s="9"/>
      <c r="AG6" s="9"/>
      <c r="AH6" s="8" t="s">
        <v>433</v>
      </c>
      <c r="AI6" s="9" t="s">
        <v>916</v>
      </c>
      <c r="AJ6" s="225">
        <f>IF(ISBLANK(Mentor_Connect[[#This Row],[Meeting Date]]),"",Mentor_Connect[[#This Row],[Meeting Date]]-WEEKDAY(Mentor_Connect[[#This Row],[Meeting Date]],2)+1)</f>
        <v>45957</v>
      </c>
      <c r="AK6" s="222">
        <f>IF(ISBLANK(Mentor_Connect[[#This Row],[Preferred Mentor Selected On]]),"",Mentor_Connect[[#This Row],[Preferred Mentor Selected On]]-WEEKDAY(Mentor_Connect[[#This Row],[Preferred Mentor Selected On]],2)+1)</f>
        <v>45887</v>
      </c>
    </row>
    <row r="7" spans="1:37" ht="24.6" customHeight="1" x14ac:dyDescent="0.3">
      <c r="A7" s="247" t="s">
        <v>4</v>
      </c>
      <c r="B7" s="247" t="str">
        <f>VLOOKUP(Mentor_Connect[[#This Row],[Venture Name]],[1]!VenturesList[#All],2,FALSE)</f>
        <v>Accelerate Core</v>
      </c>
      <c r="C7" s="1">
        <f>VLOOKUP(Mentor_Connect[[#This Row],[Venture Name]],[1]!VenturesList[#All],3,FALSE)</f>
        <v>45809</v>
      </c>
      <c r="D7" s="8" t="str">
        <f>VLOOKUP(Mentor_Connect[[#This Row],[Venture Name]],[1]!VenturesList[#All],5,FALSE)</f>
        <v>Jigar</v>
      </c>
      <c r="E7" s="216" t="s">
        <v>7</v>
      </c>
      <c r="F7" s="216" t="s">
        <v>18</v>
      </c>
      <c r="G7" s="217">
        <v>45854</v>
      </c>
      <c r="H7" s="217">
        <v>46239</v>
      </c>
      <c r="I7" s="217">
        <v>46239</v>
      </c>
      <c r="J7" s="225">
        <v>45891</v>
      </c>
      <c r="K7" s="225">
        <v>45960</v>
      </c>
      <c r="L7" s="218" t="s">
        <v>345</v>
      </c>
      <c r="M7" s="217">
        <v>45891</v>
      </c>
      <c r="N7" s="226"/>
      <c r="O7" s="20"/>
      <c r="P7" s="9"/>
      <c r="Q7" s="129">
        <v>115006727644</v>
      </c>
      <c r="R7" s="231" t="s">
        <v>913</v>
      </c>
      <c r="S7" s="234" t="s">
        <v>311</v>
      </c>
      <c r="T7" s="233" t="s">
        <v>312</v>
      </c>
      <c r="U7" s="248">
        <v>9409611194</v>
      </c>
      <c r="V7" s="2" t="s">
        <v>922</v>
      </c>
      <c r="W7" s="38"/>
      <c r="X7" s="38" t="s">
        <v>432</v>
      </c>
      <c r="Y7" s="38" t="s">
        <v>432</v>
      </c>
      <c r="Z7" s="9"/>
      <c r="AA7" s="8"/>
      <c r="AB7" s="9"/>
      <c r="AC7" s="9"/>
      <c r="AD7" s="9"/>
      <c r="AE7" s="9"/>
      <c r="AF7" s="9"/>
      <c r="AG7" s="9"/>
      <c r="AH7" s="9"/>
      <c r="AI7" s="9" t="s">
        <v>916</v>
      </c>
      <c r="AJ7" s="225">
        <f>IF(ISBLANK(Mentor_Connect[[#This Row],[Meeting Date]]),"",Mentor_Connect[[#This Row],[Meeting Date]]-WEEKDAY(Mentor_Connect[[#This Row],[Meeting Date]],2)+1)</f>
        <v>45957</v>
      </c>
      <c r="AK7" s="222">
        <f>IF(ISBLANK(Mentor_Connect[[#This Row],[Preferred Mentor Selected On]]),"",Mentor_Connect[[#This Row],[Preferred Mentor Selected On]]-WEEKDAY(Mentor_Connect[[#This Row],[Preferred Mentor Selected On]],2)+1)</f>
        <v>45887</v>
      </c>
    </row>
    <row r="8" spans="1:37" ht="24.6" customHeight="1" x14ac:dyDescent="0.3">
      <c r="A8" s="231" t="s">
        <v>211</v>
      </c>
      <c r="B8" s="231" t="str">
        <f>VLOOKUP(Mentor_Connect[[#This Row],[Venture Name]],[1]!VenturesList[#All],2,FALSE)</f>
        <v>Accelerate Core</v>
      </c>
      <c r="C8" s="249">
        <f>VLOOKUP(Mentor_Connect[[#This Row],[Venture Name]],[1]!VenturesList[#All],3,FALSE)</f>
        <v>45901</v>
      </c>
      <c r="D8" s="8" t="str">
        <f>VLOOKUP(Mentor_Connect[[#This Row],[Venture Name]],[1]!VenturesList[#All],5,FALSE)</f>
        <v>Balasubramanian S</v>
      </c>
      <c r="E8" s="216"/>
      <c r="F8" s="216" t="s">
        <v>434</v>
      </c>
      <c r="G8" s="9"/>
      <c r="H8" s="9"/>
      <c r="I8" s="9"/>
      <c r="J8" s="9"/>
      <c r="K8" s="225"/>
      <c r="L8" s="217"/>
      <c r="M8" s="217"/>
      <c r="N8" s="226"/>
      <c r="O8" s="20"/>
      <c r="P8" s="9"/>
      <c r="Q8" s="129"/>
      <c r="R8" s="8"/>
      <c r="S8" s="9"/>
      <c r="T8" s="8"/>
      <c r="U8" s="8"/>
      <c r="V8" s="8"/>
      <c r="W8" s="8"/>
      <c r="X8" s="8"/>
      <c r="Y8" s="8"/>
      <c r="Z8" s="9"/>
      <c r="AA8" s="8"/>
      <c r="AB8" s="9"/>
      <c r="AC8" s="9"/>
      <c r="AD8" s="9"/>
      <c r="AE8" s="9"/>
      <c r="AF8" s="9"/>
      <c r="AG8" s="9"/>
      <c r="AH8" s="9"/>
      <c r="AI8" s="9"/>
      <c r="AJ8" s="225" t="str">
        <f>IF(ISBLANK(Mentor_Connect[[#This Row],[Meeting Date]]),"",Mentor_Connect[[#This Row],[Meeting Date]]-WEEKDAY(Mentor_Connect[[#This Row],[Meeting Date]],2)+1)</f>
        <v/>
      </c>
      <c r="AK8" s="222" t="str">
        <f>IF(ISBLANK(Mentor_Connect[[#This Row],[Preferred Mentor Selected On]]),"",Mentor_Connect[[#This Row],[Preferred Mentor Selected On]]-WEEKDAY(Mentor_Connect[[#This Row],[Preferred Mentor Selected On]],2)+1)</f>
        <v/>
      </c>
    </row>
    <row r="9" spans="1:37" ht="24.6" customHeight="1" x14ac:dyDescent="0.3">
      <c r="A9" s="43" t="s">
        <v>57</v>
      </c>
      <c r="B9" s="43" t="str">
        <f>VLOOKUP(Mentor_Connect[[#This Row],[Venture Name]],[1]!VenturesList[#All],2,FALSE)</f>
        <v>Accelerate Prime</v>
      </c>
      <c r="C9" s="250">
        <f>VLOOKUP(Mentor_Connect[[#This Row],[Venture Name]],[1]!VenturesList[#All],3,FALSE)</f>
        <v>45809</v>
      </c>
      <c r="D9" s="251" t="str">
        <f>VLOOKUP(Mentor_Connect[[#This Row],[Venture Name]],[1]!VenturesList[#All],5,FALSE)</f>
        <v>Kedar</v>
      </c>
      <c r="E9" s="50" t="s">
        <v>85</v>
      </c>
      <c r="F9" s="252" t="s">
        <v>18</v>
      </c>
      <c r="G9" s="253">
        <v>45863</v>
      </c>
      <c r="H9" s="253"/>
      <c r="I9" s="253"/>
      <c r="J9" s="254">
        <v>45899</v>
      </c>
      <c r="K9" s="255">
        <v>45945</v>
      </c>
      <c r="L9" s="253" t="s">
        <v>345</v>
      </c>
      <c r="M9" s="239">
        <v>45899</v>
      </c>
      <c r="N9" s="22" t="s">
        <v>924</v>
      </c>
      <c r="O9" s="256" t="s">
        <v>925</v>
      </c>
      <c r="P9" s="28" t="s">
        <v>358</v>
      </c>
      <c r="Q9" s="257">
        <v>115007761748</v>
      </c>
      <c r="R9" s="43" t="s">
        <v>913</v>
      </c>
      <c r="S9" s="43" t="s">
        <v>165</v>
      </c>
      <c r="T9" s="43" t="s">
        <v>166</v>
      </c>
      <c r="U9" s="258" t="s">
        <v>167</v>
      </c>
      <c r="V9" s="258" t="s">
        <v>926</v>
      </c>
      <c r="W9" s="258"/>
      <c r="X9" s="259" t="s">
        <v>927</v>
      </c>
      <c r="Y9" s="259" t="s">
        <v>928</v>
      </c>
      <c r="Z9" s="260"/>
      <c r="AA9" s="251"/>
      <c r="AB9" s="260"/>
      <c r="AC9" s="260"/>
      <c r="AD9" s="260"/>
      <c r="AE9" s="260"/>
      <c r="AF9" s="260"/>
      <c r="AG9" s="260"/>
      <c r="AH9" s="260"/>
      <c r="AI9" s="9" t="s">
        <v>916</v>
      </c>
      <c r="AJ9" s="225">
        <f>IF(ISBLANK(Mentor_Connect[[#This Row],[Meeting Date]]),"",Mentor_Connect[[#This Row],[Meeting Date]]-WEEKDAY(Mentor_Connect[[#This Row],[Meeting Date]],2)+1)</f>
        <v>45943</v>
      </c>
      <c r="AK9" s="222">
        <f>IF(ISBLANK(Mentor_Connect[[#This Row],[Preferred Mentor Selected On]]),"",Mentor_Connect[[#This Row],[Preferred Mentor Selected On]]-WEEKDAY(Mentor_Connect[[#This Row],[Preferred Mentor Selected On]],2)+1)</f>
        <v>45894</v>
      </c>
    </row>
    <row r="10" spans="1:37" ht="24.6" customHeight="1" x14ac:dyDescent="0.3">
      <c r="A10" s="8" t="s">
        <v>57</v>
      </c>
      <c r="B10" s="8" t="str">
        <f>VLOOKUP(Mentor_Connect[[#This Row],[Venture Name]],[1]!VenturesList[#All],2,FALSE)</f>
        <v>Accelerate Prime</v>
      </c>
      <c r="C10" s="223">
        <f>VLOOKUP(Mentor_Connect[[#This Row],[Venture Name]],[1]!VenturesList[#All],3,FALSE)</f>
        <v>45809</v>
      </c>
      <c r="D10" s="8" t="str">
        <f>VLOOKUP(Mentor_Connect[[#This Row],[Venture Name]],[1]!VenturesList[#All],5,FALSE)</f>
        <v>Kedar</v>
      </c>
      <c r="E10" s="216" t="s">
        <v>435</v>
      </c>
      <c r="F10" s="216" t="s">
        <v>436</v>
      </c>
      <c r="G10" s="217">
        <v>45863</v>
      </c>
      <c r="H10" s="217"/>
      <c r="I10" s="217"/>
      <c r="J10" s="261">
        <v>45899</v>
      </c>
      <c r="K10" s="225"/>
      <c r="L10" s="217" t="s">
        <v>345</v>
      </c>
      <c r="M10" s="217">
        <v>45899</v>
      </c>
      <c r="N10" s="6" t="s">
        <v>929</v>
      </c>
      <c r="O10" s="262" t="s">
        <v>930</v>
      </c>
      <c r="P10" s="5"/>
      <c r="Q10" s="10"/>
      <c r="R10" s="8"/>
      <c r="S10" s="9"/>
      <c r="T10" s="8"/>
      <c r="U10" s="8"/>
      <c r="V10" s="8"/>
      <c r="W10" s="8"/>
      <c r="X10" s="8"/>
      <c r="Y10" s="8"/>
      <c r="Z10" s="9"/>
      <c r="AA10" s="8"/>
      <c r="AB10" s="9"/>
      <c r="AC10" s="9"/>
      <c r="AD10" s="9"/>
      <c r="AE10" s="9"/>
      <c r="AF10" s="9"/>
      <c r="AG10" s="9"/>
      <c r="AH10" s="9"/>
      <c r="AI10" s="9"/>
      <c r="AJ10" s="225" t="str">
        <f>IF(ISBLANK(Mentor_Connect[[#This Row],[Meeting Date]]),"",Mentor_Connect[[#This Row],[Meeting Date]]-WEEKDAY(Mentor_Connect[[#This Row],[Meeting Date]],2)+1)</f>
        <v/>
      </c>
      <c r="AK10" s="222">
        <f>IF(ISBLANK(Mentor_Connect[[#This Row],[Preferred Mentor Selected On]]),"",Mentor_Connect[[#This Row],[Preferred Mentor Selected On]]-WEEKDAY(Mentor_Connect[[#This Row],[Preferred Mentor Selected On]],2)+1)</f>
        <v>45894</v>
      </c>
    </row>
    <row r="11" spans="1:37" ht="24.6" customHeight="1" x14ac:dyDescent="0.3">
      <c r="A11" s="2" t="s">
        <v>2</v>
      </c>
      <c r="B11" s="2" t="str">
        <f>VLOOKUP(Mentor_Connect[[#This Row],[Venture Name]],[1]!VenturesList[#All],2,FALSE)</f>
        <v>Accelerate Core</v>
      </c>
      <c r="C11" s="1">
        <f>VLOOKUP(Mentor_Connect[[#This Row],[Venture Name]],[1]!VenturesList[#All],3,FALSE)</f>
        <v>45809</v>
      </c>
      <c r="D11" s="2" t="str">
        <f>VLOOKUP(Mentor_Connect[[#This Row],[Venture Name]],[1]!VenturesList[#All],5,FALSE)</f>
        <v>Jigar</v>
      </c>
      <c r="E11" s="3" t="s">
        <v>3</v>
      </c>
      <c r="F11" s="216" t="s">
        <v>18</v>
      </c>
      <c r="G11" s="217">
        <v>45863</v>
      </c>
      <c r="H11" s="217"/>
      <c r="I11" s="217"/>
      <c r="J11" s="261">
        <v>45941</v>
      </c>
      <c r="K11" s="220">
        <v>45944</v>
      </c>
      <c r="L11" s="217" t="s">
        <v>345</v>
      </c>
      <c r="M11" s="217">
        <v>45941</v>
      </c>
      <c r="N11" s="6" t="s">
        <v>931</v>
      </c>
      <c r="O11" s="159"/>
      <c r="P11" s="5" t="s">
        <v>358</v>
      </c>
      <c r="Q11" s="10">
        <v>115007336842</v>
      </c>
      <c r="R11" s="2" t="s">
        <v>913</v>
      </c>
      <c r="S11" s="2" t="s">
        <v>307</v>
      </c>
      <c r="T11" s="246" t="s">
        <v>308</v>
      </c>
      <c r="U11" s="2">
        <v>8320421625</v>
      </c>
      <c r="V11" s="6" t="s">
        <v>915</v>
      </c>
      <c r="W11" s="6"/>
      <c r="X11" s="6" t="s">
        <v>432</v>
      </c>
      <c r="Y11" s="6" t="s">
        <v>432</v>
      </c>
      <c r="Z11" s="9"/>
      <c r="AA11" s="8"/>
      <c r="AB11" s="9"/>
      <c r="AC11" s="9"/>
      <c r="AD11" s="9"/>
      <c r="AE11" s="9"/>
      <c r="AF11" s="9"/>
      <c r="AG11" s="9"/>
      <c r="AH11" s="9"/>
      <c r="AI11" s="9" t="s">
        <v>916</v>
      </c>
      <c r="AJ11" s="225">
        <f>IF(ISBLANK(Mentor_Connect[[#This Row],[Meeting Date]]),"",Mentor_Connect[[#This Row],[Meeting Date]]-WEEKDAY(Mentor_Connect[[#This Row],[Meeting Date]],2)+1)</f>
        <v>45943</v>
      </c>
      <c r="AK11" s="222">
        <f>IF(ISBLANK(Mentor_Connect[[#This Row],[Preferred Mentor Selected On]]),"",Mentor_Connect[[#This Row],[Preferred Mentor Selected On]]-WEEKDAY(Mentor_Connect[[#This Row],[Preferred Mentor Selected On]],2)+1)</f>
        <v>45936</v>
      </c>
    </row>
    <row r="12" spans="1:37" ht="24.6" customHeight="1" x14ac:dyDescent="0.3">
      <c r="A12" s="251" t="s">
        <v>26</v>
      </c>
      <c r="B12" s="263" t="str">
        <f>VLOOKUP(Mentor_Connect[[#This Row],[Venture Name]],[1]!VenturesList[#All],2,FALSE)</f>
        <v>Accelerate Core</v>
      </c>
      <c r="C12" s="264">
        <f>VLOOKUP(Mentor_Connect[[#This Row],[Venture Name]],[1]!VenturesList[#All],3,FALSE)</f>
        <v>45809</v>
      </c>
      <c r="D12" s="263" t="str">
        <f>VLOOKUP(Mentor_Connect[[#This Row],[Venture Name]],[1]!VenturesList[#All],5,FALSE)</f>
        <v>Vignesh</v>
      </c>
      <c r="E12" s="252" t="s">
        <v>86</v>
      </c>
      <c r="F12" s="265" t="s">
        <v>18</v>
      </c>
      <c r="G12" s="253">
        <v>45870</v>
      </c>
      <c r="H12" s="253"/>
      <c r="I12" s="253"/>
      <c r="J12" s="254">
        <v>45892</v>
      </c>
      <c r="K12" s="266">
        <v>46029</v>
      </c>
      <c r="L12" s="253" t="s">
        <v>345</v>
      </c>
      <c r="M12" s="253">
        <v>45892</v>
      </c>
      <c r="N12" s="267"/>
      <c r="O12" s="268" t="s">
        <v>932</v>
      </c>
      <c r="P12" s="260"/>
      <c r="Q12" s="269">
        <v>115017277742</v>
      </c>
      <c r="R12" s="263" t="s">
        <v>913</v>
      </c>
      <c r="S12" s="270" t="s">
        <v>314</v>
      </c>
      <c r="T12" s="270" t="s">
        <v>315</v>
      </c>
      <c r="U12" s="270" t="s">
        <v>933</v>
      </c>
      <c r="V12" s="263" t="s">
        <v>934</v>
      </c>
      <c r="W12" s="263"/>
      <c r="X12" s="271" t="s">
        <v>935</v>
      </c>
      <c r="Y12" s="271" t="s">
        <v>936</v>
      </c>
      <c r="Z12" s="260"/>
      <c r="AA12" s="251" t="s">
        <v>441</v>
      </c>
      <c r="AB12" s="253">
        <v>46132</v>
      </c>
      <c r="AC12" s="253">
        <v>46133</v>
      </c>
      <c r="AD12" s="253">
        <v>46133</v>
      </c>
      <c r="AE12" s="253">
        <v>46133</v>
      </c>
      <c r="AF12" s="253"/>
      <c r="AG12" s="253" t="s">
        <v>448</v>
      </c>
      <c r="AH12" s="272" t="s">
        <v>438</v>
      </c>
      <c r="AI12" s="9" t="s">
        <v>937</v>
      </c>
      <c r="AJ12" s="225">
        <f>IF(ISBLANK(Mentor_Connect[[#This Row],[Meeting Date]]),"",Mentor_Connect[[#This Row],[Meeting Date]]-WEEKDAY(Mentor_Connect[[#This Row],[Meeting Date]],2)+1)</f>
        <v>46027</v>
      </c>
      <c r="AK12" s="222">
        <f>IF(ISBLANK(Mentor_Connect[[#This Row],[Preferred Mentor Selected On]]),"",Mentor_Connect[[#This Row],[Preferred Mentor Selected On]]-WEEKDAY(Mentor_Connect[[#This Row],[Preferred Mentor Selected On]],2)+1)</f>
        <v>45887</v>
      </c>
    </row>
    <row r="13" spans="1:37" ht="24.6" customHeight="1" x14ac:dyDescent="0.3">
      <c r="A13" s="273" t="s">
        <v>149</v>
      </c>
      <c r="B13" s="273" t="str">
        <f>VLOOKUP(Mentor_Connect[[#This Row],[Venture Name]],[1]!VenturesList[#All],2,FALSE)</f>
        <v>Accelerate Prime</v>
      </c>
      <c r="C13" s="274">
        <f>VLOOKUP(Mentor_Connect[[#This Row],[Venture Name]],[1]!VenturesList[#All],3,FALSE)</f>
        <v>45992</v>
      </c>
      <c r="D13" s="275" t="str">
        <f>VLOOKUP(Mentor_Connect[[#This Row],[Venture Name]],[1]!VenturesList[#All],5,FALSE)</f>
        <v>Kedar</v>
      </c>
      <c r="E13" s="216"/>
      <c r="F13" s="216" t="s">
        <v>434</v>
      </c>
      <c r="G13" s="9"/>
      <c r="H13" s="9"/>
      <c r="I13" s="9"/>
      <c r="J13" s="223">
        <v>45992</v>
      </c>
      <c r="K13" s="225"/>
      <c r="L13" s="217" t="s">
        <v>358</v>
      </c>
      <c r="M13" s="217">
        <v>45992</v>
      </c>
      <c r="N13" s="20"/>
      <c r="O13" s="44" t="s">
        <v>925</v>
      </c>
      <c r="P13" s="9"/>
      <c r="Q13" s="129"/>
      <c r="R13" s="8"/>
      <c r="S13" s="9"/>
      <c r="T13" s="8"/>
      <c r="U13" s="8"/>
      <c r="V13" s="8"/>
      <c r="W13" s="8"/>
      <c r="X13" s="8"/>
      <c r="Y13" s="8"/>
      <c r="Z13" s="9"/>
      <c r="AA13" s="8"/>
      <c r="AB13" s="9"/>
      <c r="AC13" s="9"/>
      <c r="AD13" s="9"/>
      <c r="AE13" s="9"/>
      <c r="AF13" s="9"/>
      <c r="AG13" s="9"/>
      <c r="AH13" s="9"/>
      <c r="AI13" s="9"/>
      <c r="AJ13" s="225" t="str">
        <f>IF(ISBLANK(Mentor_Connect[[#This Row],[Meeting Date]]),"",Mentor_Connect[[#This Row],[Meeting Date]]-WEEKDAY(Mentor_Connect[[#This Row],[Meeting Date]],2)+1)</f>
        <v/>
      </c>
      <c r="AK13" s="222">
        <f>IF(ISBLANK(Mentor_Connect[[#This Row],[Preferred Mentor Selected On]]),"",Mentor_Connect[[#This Row],[Preferred Mentor Selected On]]-WEEKDAY(Mentor_Connect[[#This Row],[Preferred Mentor Selected On]],2)+1)</f>
        <v>45992</v>
      </c>
    </row>
    <row r="14" spans="1:37" ht="24.6" customHeight="1" x14ac:dyDescent="0.3">
      <c r="A14" s="43" t="s">
        <v>26</v>
      </c>
      <c r="B14" s="43" t="str">
        <f>VLOOKUP(Mentor_Connect[[#This Row],[Venture Name]],[1]!VenturesList[#All],2,FALSE)</f>
        <v>Accelerate Core</v>
      </c>
      <c r="C14" s="250">
        <f>VLOOKUP(Mentor_Connect[[#This Row],[Venture Name]],[1]!VenturesList[#All],3,FALSE)</f>
        <v>45809</v>
      </c>
      <c r="D14" s="43" t="str">
        <f>VLOOKUP(Mentor_Connect[[#This Row],[Venture Name]],[1]!VenturesList[#All],5,FALSE)</f>
        <v>Vignesh</v>
      </c>
      <c r="E14" s="50" t="s">
        <v>87</v>
      </c>
      <c r="F14" s="252" t="s">
        <v>18</v>
      </c>
      <c r="G14" s="253">
        <v>45870</v>
      </c>
      <c r="H14" s="253"/>
      <c r="I14" s="253"/>
      <c r="J14" s="254">
        <v>45892</v>
      </c>
      <c r="K14" s="255">
        <v>45895</v>
      </c>
      <c r="L14" s="253" t="s">
        <v>345</v>
      </c>
      <c r="M14" s="253">
        <v>45892</v>
      </c>
      <c r="N14" s="258" t="s">
        <v>938</v>
      </c>
      <c r="O14" s="258"/>
      <c r="P14" s="28" t="s">
        <v>358</v>
      </c>
      <c r="Q14" s="257">
        <v>115005468916</v>
      </c>
      <c r="R14" s="43" t="s">
        <v>913</v>
      </c>
      <c r="S14" s="43" t="s">
        <v>314</v>
      </c>
      <c r="T14" s="276" t="s">
        <v>315</v>
      </c>
      <c r="U14" s="43">
        <v>9444796926</v>
      </c>
      <c r="V14" s="251"/>
      <c r="W14" s="251"/>
      <c r="X14" s="251" t="s">
        <v>432</v>
      </c>
      <c r="Y14" s="251" t="s">
        <v>432</v>
      </c>
      <c r="Z14" s="260"/>
      <c r="AA14" s="251"/>
      <c r="AB14" s="260"/>
      <c r="AC14" s="260"/>
      <c r="AD14" s="260"/>
      <c r="AE14" s="260"/>
      <c r="AF14" s="260"/>
      <c r="AG14" s="260"/>
      <c r="AH14" s="260"/>
      <c r="AI14" s="9" t="s">
        <v>916</v>
      </c>
      <c r="AJ14" s="225">
        <f>IF(ISBLANK(Mentor_Connect[[#This Row],[Meeting Date]]),"",Mentor_Connect[[#This Row],[Meeting Date]]-WEEKDAY(Mentor_Connect[[#This Row],[Meeting Date]],2)+1)</f>
        <v>45894</v>
      </c>
      <c r="AK14" s="222">
        <f>IF(ISBLANK(Mentor_Connect[[#This Row],[Preferred Mentor Selected On]]),"",Mentor_Connect[[#This Row],[Preferred Mentor Selected On]]-WEEKDAY(Mentor_Connect[[#This Row],[Preferred Mentor Selected On]],2)+1)</f>
        <v>45887</v>
      </c>
    </row>
    <row r="15" spans="1:37" ht="24.6" customHeight="1" x14ac:dyDescent="0.3">
      <c r="A15" s="8" t="s">
        <v>26</v>
      </c>
      <c r="B15" s="277" t="str">
        <f>VLOOKUP(Mentor_Connect[[#This Row],[Venture Name]],[1]!VenturesList[#All],2,FALSE)</f>
        <v>Accelerate Core</v>
      </c>
      <c r="C15" s="1">
        <f>VLOOKUP(Mentor_Connect[[#This Row],[Venture Name]],[1]!VenturesList[#All],3,FALSE)</f>
        <v>45809</v>
      </c>
      <c r="D15" s="8" t="str">
        <f>VLOOKUP(Mentor_Connect[[#This Row],[Venture Name]],[1]!VenturesList[#All],5,FALSE)</f>
        <v>Vignesh</v>
      </c>
      <c r="E15" s="216" t="s">
        <v>88</v>
      </c>
      <c r="F15" s="216" t="s">
        <v>18</v>
      </c>
      <c r="G15" s="217">
        <v>45870</v>
      </c>
      <c r="H15" s="217"/>
      <c r="I15" s="217"/>
      <c r="J15" s="261">
        <v>45892</v>
      </c>
      <c r="K15" s="225">
        <v>45989</v>
      </c>
      <c r="L15" s="217" t="s">
        <v>345</v>
      </c>
      <c r="M15" s="217">
        <v>45892</v>
      </c>
      <c r="N15" s="20"/>
      <c r="O15" s="20"/>
      <c r="P15" s="9"/>
      <c r="Q15" s="129">
        <v>115024937956</v>
      </c>
      <c r="R15" s="2" t="s">
        <v>913</v>
      </c>
      <c r="S15" s="52" t="s">
        <v>314</v>
      </c>
      <c r="T15" s="52" t="s">
        <v>315</v>
      </c>
      <c r="U15" s="278" t="s">
        <v>933</v>
      </c>
      <c r="V15" s="8"/>
      <c r="W15" s="251"/>
      <c r="X15" s="251" t="s">
        <v>432</v>
      </c>
      <c r="Y15" s="251" t="s">
        <v>432</v>
      </c>
      <c r="Z15" s="9"/>
      <c r="AA15" s="8"/>
      <c r="AB15" s="9"/>
      <c r="AC15" s="9"/>
      <c r="AD15" s="9"/>
      <c r="AE15" s="9"/>
      <c r="AF15" s="9"/>
      <c r="AG15" s="9"/>
      <c r="AH15" s="9"/>
      <c r="AI15" s="9" t="s">
        <v>916</v>
      </c>
      <c r="AJ15" s="225">
        <f>IF(ISBLANK(Mentor_Connect[[#This Row],[Meeting Date]]),"",Mentor_Connect[[#This Row],[Meeting Date]]-WEEKDAY(Mentor_Connect[[#This Row],[Meeting Date]],2)+1)</f>
        <v>45985</v>
      </c>
      <c r="AK15" s="222">
        <f>IF(ISBLANK(Mentor_Connect[[#This Row],[Preferred Mentor Selected On]]),"",Mentor_Connect[[#This Row],[Preferred Mentor Selected On]]-WEEKDAY(Mentor_Connect[[#This Row],[Preferred Mentor Selected On]],2)+1)</f>
        <v>45887</v>
      </c>
    </row>
    <row r="16" spans="1:37" ht="24.6" customHeight="1" x14ac:dyDescent="0.3">
      <c r="A16" s="2" t="s">
        <v>48</v>
      </c>
      <c r="B16" s="2" t="str">
        <f>VLOOKUP(Mentor_Connect[[#This Row],[Venture Name]],[1]!VenturesList[#All],2,FALSE)</f>
        <v>Accelerate Prime</v>
      </c>
      <c r="C16" s="1">
        <f>VLOOKUP(Mentor_Connect[[#This Row],[Venture Name]],[1]!VenturesList[#All],3,FALSE)</f>
        <v>45809</v>
      </c>
      <c r="D16" s="8" t="str">
        <f>VLOOKUP(Mentor_Connect[[#This Row],[Venture Name]],[1]!VenturesList[#All],5,FALSE)</f>
        <v>Ramya</v>
      </c>
      <c r="E16" s="3" t="s">
        <v>89</v>
      </c>
      <c r="F16" s="216" t="s">
        <v>18</v>
      </c>
      <c r="G16" s="217">
        <v>45870</v>
      </c>
      <c r="H16" s="217"/>
      <c r="I16" s="217"/>
      <c r="J16" s="261">
        <v>45914</v>
      </c>
      <c r="K16" s="220">
        <v>45917</v>
      </c>
      <c r="L16" s="217" t="s">
        <v>345</v>
      </c>
      <c r="M16" s="217">
        <v>45914</v>
      </c>
      <c r="N16" s="6" t="s">
        <v>939</v>
      </c>
      <c r="O16" s="44" t="s">
        <v>925</v>
      </c>
      <c r="P16" s="5" t="s">
        <v>358</v>
      </c>
      <c r="Q16" s="10">
        <v>115006758570</v>
      </c>
      <c r="R16" s="8" t="s">
        <v>913</v>
      </c>
      <c r="S16" s="2" t="s">
        <v>199</v>
      </c>
      <c r="T16" s="8" t="s">
        <v>200</v>
      </c>
      <c r="U16" s="2">
        <v>9133925836</v>
      </c>
      <c r="V16" s="6" t="s">
        <v>940</v>
      </c>
      <c r="W16" s="6"/>
      <c r="X16" s="6" t="s">
        <v>432</v>
      </c>
      <c r="Y16" s="6" t="s">
        <v>432</v>
      </c>
      <c r="Z16" s="9"/>
      <c r="AA16" s="8" t="s">
        <v>884</v>
      </c>
      <c r="AB16" s="9"/>
      <c r="AC16" s="9"/>
      <c r="AD16" s="9"/>
      <c r="AE16" s="9"/>
      <c r="AF16" s="9"/>
      <c r="AG16" s="9"/>
      <c r="AH16" s="279" t="s">
        <v>941</v>
      </c>
      <c r="AI16" s="9" t="s">
        <v>916</v>
      </c>
      <c r="AJ16" s="225">
        <f>IF(ISBLANK(Mentor_Connect[[#This Row],[Meeting Date]]),"",Mentor_Connect[[#This Row],[Meeting Date]]-WEEKDAY(Mentor_Connect[[#This Row],[Meeting Date]],2)+1)</f>
        <v>45915</v>
      </c>
      <c r="AK16" s="222">
        <f>IF(ISBLANK(Mentor_Connect[[#This Row],[Preferred Mentor Selected On]]),"",Mentor_Connect[[#This Row],[Preferred Mentor Selected On]]-WEEKDAY(Mentor_Connect[[#This Row],[Preferred Mentor Selected On]],2)+1)</f>
        <v>45908</v>
      </c>
    </row>
    <row r="17" spans="1:37" ht="24.6" customHeight="1" x14ac:dyDescent="0.3">
      <c r="A17" s="8" t="s">
        <v>48</v>
      </c>
      <c r="B17" s="8" t="str">
        <f>VLOOKUP(Mentor_Connect[[#This Row],[Venture Name]],[1]!VenturesList[#All],2,FALSE)</f>
        <v>Accelerate Prime</v>
      </c>
      <c r="C17" s="1">
        <f>VLOOKUP(Mentor_Connect[[#This Row],[Venture Name]],[1]!VenturesList[#All],3,FALSE)</f>
        <v>45809</v>
      </c>
      <c r="D17" s="8" t="str">
        <f>VLOOKUP(Mentor_Connect[[#This Row],[Venture Name]],[1]!VenturesList[#All],5,FALSE)</f>
        <v>Ramya</v>
      </c>
      <c r="E17" s="280" t="s">
        <v>109</v>
      </c>
      <c r="F17" s="216" t="s">
        <v>439</v>
      </c>
      <c r="G17" s="217">
        <v>45870</v>
      </c>
      <c r="H17" s="217"/>
      <c r="I17" s="217"/>
      <c r="J17" s="261">
        <v>45914</v>
      </c>
      <c r="K17" s="225"/>
      <c r="L17" s="217" t="s">
        <v>345</v>
      </c>
      <c r="M17" s="217">
        <v>45914</v>
      </c>
      <c r="N17" s="20"/>
      <c r="O17" s="262" t="s">
        <v>942</v>
      </c>
      <c r="P17" s="9"/>
      <c r="Q17" s="129"/>
      <c r="R17" s="8"/>
      <c r="S17" s="9"/>
      <c r="T17" s="8"/>
      <c r="U17" s="8"/>
      <c r="V17" s="8"/>
      <c r="W17" s="8"/>
      <c r="X17" s="8"/>
      <c r="Y17" s="8"/>
      <c r="Z17" s="9" t="s">
        <v>943</v>
      </c>
      <c r="AA17" s="8"/>
      <c r="AB17" s="9"/>
      <c r="AC17" s="9"/>
      <c r="AD17" s="9"/>
      <c r="AE17" s="9"/>
      <c r="AF17" s="9"/>
      <c r="AG17" s="9"/>
      <c r="AH17" s="9"/>
      <c r="AI17" s="9" t="s">
        <v>916</v>
      </c>
      <c r="AJ17" s="225" t="str">
        <f>IF(ISBLANK(Mentor_Connect[[#This Row],[Meeting Date]]),"",Mentor_Connect[[#This Row],[Meeting Date]]-WEEKDAY(Mentor_Connect[[#This Row],[Meeting Date]],2)+1)</f>
        <v/>
      </c>
      <c r="AK17" s="222">
        <f>IF(ISBLANK(Mentor_Connect[[#This Row],[Preferred Mentor Selected On]]),"",Mentor_Connect[[#This Row],[Preferred Mentor Selected On]]-WEEKDAY(Mentor_Connect[[#This Row],[Preferred Mentor Selected On]],2)+1)</f>
        <v>45908</v>
      </c>
    </row>
    <row r="18" spans="1:37" ht="24.6" customHeight="1" x14ac:dyDescent="0.3">
      <c r="A18" s="8" t="s">
        <v>48</v>
      </c>
      <c r="B18" s="8" t="str">
        <f>VLOOKUP(Mentor_Connect[[#This Row],[Venture Name]],[1]!VenturesList[#All],2,FALSE)</f>
        <v>Accelerate Prime</v>
      </c>
      <c r="C18" s="223">
        <f>VLOOKUP(Mentor_Connect[[#This Row],[Venture Name]],[1]!VenturesList[#All],3,FALSE)</f>
        <v>45809</v>
      </c>
      <c r="D18" s="8" t="str">
        <f>VLOOKUP(Mentor_Connect[[#This Row],[Venture Name]],[1]!VenturesList[#All],5,FALSE)</f>
        <v>Ramya</v>
      </c>
      <c r="E18" s="280" t="s">
        <v>944</v>
      </c>
      <c r="F18" s="216" t="s">
        <v>439</v>
      </c>
      <c r="G18" s="217">
        <v>45870</v>
      </c>
      <c r="H18" s="217"/>
      <c r="I18" s="217"/>
      <c r="J18" s="261">
        <v>45914</v>
      </c>
      <c r="K18" s="225"/>
      <c r="L18" s="217" t="s">
        <v>345</v>
      </c>
      <c r="M18" s="217">
        <v>45914</v>
      </c>
      <c r="N18" s="20"/>
      <c r="O18" s="159" t="s">
        <v>945</v>
      </c>
      <c r="P18" s="9"/>
      <c r="Q18" s="129"/>
      <c r="R18" s="8"/>
      <c r="S18" s="9"/>
      <c r="T18" s="8"/>
      <c r="U18" s="8"/>
      <c r="V18" s="8"/>
      <c r="W18" s="8"/>
      <c r="X18" s="8"/>
      <c r="Y18" s="8"/>
      <c r="Z18" s="9"/>
      <c r="AA18" s="8"/>
      <c r="AB18" s="9"/>
      <c r="AC18" s="9"/>
      <c r="AD18" s="9"/>
      <c r="AE18" s="9"/>
      <c r="AF18" s="9"/>
      <c r="AG18" s="9"/>
      <c r="AH18" s="9"/>
      <c r="AI18" s="9" t="s">
        <v>916</v>
      </c>
      <c r="AJ18" s="225" t="str">
        <f>IF(ISBLANK(Mentor_Connect[[#This Row],[Meeting Date]]),"",Mentor_Connect[[#This Row],[Meeting Date]]-WEEKDAY(Mentor_Connect[[#This Row],[Meeting Date]],2)+1)</f>
        <v/>
      </c>
      <c r="AK18" s="222">
        <f>IF(ISBLANK(Mentor_Connect[[#This Row],[Preferred Mentor Selected On]]),"",Mentor_Connect[[#This Row],[Preferred Mentor Selected On]]-WEEKDAY(Mentor_Connect[[#This Row],[Preferred Mentor Selected On]],2)+1)</f>
        <v>45908</v>
      </c>
    </row>
    <row r="19" spans="1:37" ht="24.6" customHeight="1" x14ac:dyDescent="0.3">
      <c r="A19" s="2" t="s">
        <v>75</v>
      </c>
      <c r="B19" s="2" t="str">
        <f>VLOOKUP(Mentor_Connect[[#This Row],[Venture Name]],[1]!VenturesList[#All],2,FALSE)</f>
        <v>Accelerate Core</v>
      </c>
      <c r="C19" s="1">
        <f>VLOOKUP(Mentor_Connect[[#This Row],[Venture Name]],[1]!VenturesList[#All],3,FALSE)</f>
        <v>45839</v>
      </c>
      <c r="D19" s="275" t="str">
        <f>VLOOKUP(Mentor_Connect[[#This Row],[Venture Name]],[1]!VenturesList[#All],5,FALSE)</f>
        <v>Vignesh</v>
      </c>
      <c r="E19" s="3" t="s">
        <v>90</v>
      </c>
      <c r="F19" s="216" t="s">
        <v>18</v>
      </c>
      <c r="G19" s="217">
        <v>45882</v>
      </c>
      <c r="H19" s="217">
        <v>45910</v>
      </c>
      <c r="I19" s="217">
        <v>45910</v>
      </c>
      <c r="J19" s="225">
        <v>45924</v>
      </c>
      <c r="K19" s="220">
        <v>46002</v>
      </c>
      <c r="L19" s="217" t="s">
        <v>345</v>
      </c>
      <c r="M19" s="217">
        <v>45924</v>
      </c>
      <c r="N19" s="4"/>
      <c r="O19" s="159" t="s">
        <v>946</v>
      </c>
      <c r="P19" s="5" t="s">
        <v>358</v>
      </c>
      <c r="Q19" s="10">
        <v>115007047056</v>
      </c>
      <c r="R19" s="2" t="s">
        <v>913</v>
      </c>
      <c r="S19" s="2" t="s">
        <v>294</v>
      </c>
      <c r="T19" s="8" t="s">
        <v>295</v>
      </c>
      <c r="U19" s="2">
        <v>9962279984</v>
      </c>
      <c r="V19" s="6" t="s">
        <v>915</v>
      </c>
      <c r="W19" s="6"/>
      <c r="X19" s="281" t="s">
        <v>947</v>
      </c>
      <c r="Y19" s="281" t="s">
        <v>948</v>
      </c>
      <c r="Z19" s="9"/>
      <c r="AA19" s="8"/>
      <c r="AB19" s="9"/>
      <c r="AC19" s="9"/>
      <c r="AD19" s="9"/>
      <c r="AE19" s="9"/>
      <c r="AF19" s="9"/>
      <c r="AG19" s="9"/>
      <c r="AH19" s="9"/>
      <c r="AI19" s="9" t="s">
        <v>916</v>
      </c>
      <c r="AJ19" s="225">
        <f>IF(ISBLANK(Mentor_Connect[[#This Row],[Meeting Date]]),"",Mentor_Connect[[#This Row],[Meeting Date]]-WEEKDAY(Mentor_Connect[[#This Row],[Meeting Date]],2)+1)</f>
        <v>45999</v>
      </c>
      <c r="AK19" s="222">
        <f>IF(ISBLANK(Mentor_Connect[[#This Row],[Preferred Mentor Selected On]]),"",Mentor_Connect[[#This Row],[Preferred Mentor Selected On]]-WEEKDAY(Mentor_Connect[[#This Row],[Preferred Mentor Selected On]],2)+1)</f>
        <v>45922</v>
      </c>
    </row>
    <row r="20" spans="1:37" ht="24.6" customHeight="1" x14ac:dyDescent="0.3">
      <c r="A20" s="251" t="s">
        <v>75</v>
      </c>
      <c r="B20" s="251" t="str">
        <f>VLOOKUP(Mentor_Connect[[#This Row],[Venture Name]],[1]!VenturesList[#All],2,FALSE)</f>
        <v>Accelerate Core</v>
      </c>
      <c r="C20" s="282">
        <f>VLOOKUP(Mentor_Connect[[#This Row],[Venture Name]],[1]!VenturesList[#All],3,FALSE)</f>
        <v>45839</v>
      </c>
      <c r="D20" s="251" t="str">
        <f>VLOOKUP(Mentor_Connect[[#This Row],[Venture Name]],[1]!VenturesList[#All],5,FALSE)</f>
        <v>Vignesh</v>
      </c>
      <c r="E20" s="252"/>
      <c r="F20" s="252" t="s">
        <v>440</v>
      </c>
      <c r="G20" s="253">
        <v>45882</v>
      </c>
      <c r="H20" s="253">
        <v>45910</v>
      </c>
      <c r="I20" s="253">
        <v>45910</v>
      </c>
      <c r="J20" s="283">
        <v>45924</v>
      </c>
      <c r="K20" s="283"/>
      <c r="L20" s="253" t="s">
        <v>345</v>
      </c>
      <c r="M20" s="253">
        <v>45924</v>
      </c>
      <c r="N20" s="284"/>
      <c r="O20" s="267" t="s">
        <v>949</v>
      </c>
      <c r="P20" s="260"/>
      <c r="Q20" s="269"/>
      <c r="R20" s="251"/>
      <c r="S20" s="260"/>
      <c r="T20" s="251"/>
      <c r="U20" s="251"/>
      <c r="V20" s="251"/>
      <c r="W20" s="251"/>
      <c r="X20" s="251"/>
      <c r="Y20" s="251"/>
      <c r="Z20" s="260"/>
      <c r="AA20" s="251"/>
      <c r="AB20" s="260"/>
      <c r="AC20" s="260"/>
      <c r="AD20" s="260"/>
      <c r="AE20" s="260"/>
      <c r="AF20" s="260"/>
      <c r="AG20" s="260"/>
      <c r="AH20" s="260"/>
      <c r="AI20" s="9"/>
      <c r="AJ20" s="225" t="str">
        <f>IF(ISBLANK(Mentor_Connect[[#This Row],[Meeting Date]]),"",Mentor_Connect[[#This Row],[Meeting Date]]-WEEKDAY(Mentor_Connect[[#This Row],[Meeting Date]],2)+1)</f>
        <v/>
      </c>
      <c r="AK20" s="222">
        <f>IF(ISBLANK(Mentor_Connect[[#This Row],[Preferred Mentor Selected On]]),"",Mentor_Connect[[#This Row],[Preferred Mentor Selected On]]-WEEKDAY(Mentor_Connect[[#This Row],[Preferred Mentor Selected On]],2)+1)</f>
        <v>45922</v>
      </c>
    </row>
    <row r="21" spans="1:37" ht="24.6" customHeight="1" x14ac:dyDescent="0.3">
      <c r="A21" s="8" t="s">
        <v>152</v>
      </c>
      <c r="B21" s="8" t="str">
        <f>VLOOKUP(Mentor_Connect[[#This Row],[Venture Name]],[1]!VenturesList[#All],2,FALSE)</f>
        <v>Accelerate Prime</v>
      </c>
      <c r="C21" s="223">
        <f>VLOOKUP(Mentor_Connect[[#This Row],[Venture Name]],[1]!VenturesList[#All],3,FALSE)</f>
        <v>45931</v>
      </c>
      <c r="D21" s="8" t="str">
        <f>VLOOKUP(Mentor_Connect[[#This Row],[Venture Name]],[1]!VenturesList[#All],5,FALSE)</f>
        <v>Kedar</v>
      </c>
      <c r="E21" s="216" t="s">
        <v>950</v>
      </c>
      <c r="F21" s="216" t="s">
        <v>434</v>
      </c>
      <c r="G21" s="9"/>
      <c r="H21" s="9"/>
      <c r="I21" s="9"/>
      <c r="J21" s="223">
        <v>45931</v>
      </c>
      <c r="K21" s="225"/>
      <c r="L21" s="217" t="s">
        <v>358</v>
      </c>
      <c r="M21" s="217">
        <v>45931</v>
      </c>
      <c r="N21" s="20"/>
      <c r="O21" s="44" t="s">
        <v>925</v>
      </c>
      <c r="P21" s="9"/>
      <c r="Q21" s="129"/>
      <c r="R21" s="8"/>
      <c r="S21" s="9"/>
      <c r="T21" s="8"/>
      <c r="U21" s="8"/>
      <c r="V21" s="8"/>
      <c r="W21" s="8"/>
      <c r="X21" s="8"/>
      <c r="Y21" s="8"/>
      <c r="Z21" s="9"/>
      <c r="AA21" s="8"/>
      <c r="AB21" s="9"/>
      <c r="AC21" s="9"/>
      <c r="AD21" s="9"/>
      <c r="AE21" s="9"/>
      <c r="AF21" s="9"/>
      <c r="AG21" s="9"/>
      <c r="AH21" s="9"/>
      <c r="AI21" s="9"/>
      <c r="AJ21" s="225" t="str">
        <f>IF(ISBLANK(Mentor_Connect[[#This Row],[Meeting Date]]),"",Mentor_Connect[[#This Row],[Meeting Date]]-WEEKDAY(Mentor_Connect[[#This Row],[Meeting Date]],2)+1)</f>
        <v/>
      </c>
      <c r="AK21" s="222">
        <f>IF(ISBLANK(Mentor_Connect[[#This Row],[Preferred Mentor Selected On]]),"",Mentor_Connect[[#This Row],[Preferred Mentor Selected On]]-WEEKDAY(Mentor_Connect[[#This Row],[Preferred Mentor Selected On]],2)+1)</f>
        <v>45929</v>
      </c>
    </row>
    <row r="22" spans="1:37" ht="24.6" customHeight="1" x14ac:dyDescent="0.3">
      <c r="A22" s="285" t="s">
        <v>270</v>
      </c>
      <c r="B22" s="286" t="str">
        <f>VLOOKUP(Mentor_Connect[[#This Row],[Venture Name]],[1]!VenturesList[#All],2,FALSE)</f>
        <v>Accelerate Core</v>
      </c>
      <c r="C22" s="34">
        <f>VLOOKUP(Mentor_Connect[[#This Row],[Venture Name]],[1]!VenturesList[#All],3,FALSE)</f>
        <v>45839</v>
      </c>
      <c r="D22" s="285" t="str">
        <f>VLOOKUP(Mentor_Connect[[#This Row],[Venture Name]],[1]!VenturesList[#All],5,FALSE)</f>
        <v>Vignesh</v>
      </c>
      <c r="E22" s="287" t="s">
        <v>91</v>
      </c>
      <c r="F22" s="288" t="s">
        <v>18</v>
      </c>
      <c r="G22" s="218">
        <v>45887</v>
      </c>
      <c r="H22" s="253">
        <v>45910</v>
      </c>
      <c r="I22" s="218">
        <v>45910</v>
      </c>
      <c r="J22" s="283">
        <v>45923</v>
      </c>
      <c r="K22" s="255">
        <v>45973</v>
      </c>
      <c r="L22" s="218" t="s">
        <v>345</v>
      </c>
      <c r="M22" s="218">
        <v>45923</v>
      </c>
      <c r="N22" s="289"/>
      <c r="O22" s="290" t="s">
        <v>946</v>
      </c>
      <c r="P22" s="24" t="s">
        <v>358</v>
      </c>
      <c r="Q22" s="126">
        <v>115005979656</v>
      </c>
      <c r="R22" s="229" t="s">
        <v>913</v>
      </c>
      <c r="S22" s="229" t="s">
        <v>271</v>
      </c>
      <c r="T22" s="291" t="s">
        <v>272</v>
      </c>
      <c r="U22" s="229" t="s">
        <v>273</v>
      </c>
      <c r="V22" s="290" t="s">
        <v>951</v>
      </c>
      <c r="W22" s="290"/>
      <c r="X22" s="290" t="s">
        <v>432</v>
      </c>
      <c r="Y22" s="290" t="s">
        <v>432</v>
      </c>
      <c r="Z22" s="36"/>
      <c r="AA22" s="279" t="s">
        <v>937</v>
      </c>
      <c r="AB22" s="218">
        <v>46036</v>
      </c>
      <c r="AC22" s="218"/>
      <c r="AD22" s="253"/>
      <c r="AE22" s="218">
        <v>46118</v>
      </c>
      <c r="AF22" s="218">
        <v>46132</v>
      </c>
      <c r="AG22" s="218" t="s">
        <v>442</v>
      </c>
      <c r="AH22" s="292" t="s">
        <v>443</v>
      </c>
      <c r="AI22" s="9" t="s">
        <v>937</v>
      </c>
      <c r="AJ22" s="225">
        <f>IF(ISBLANK(Mentor_Connect[[#This Row],[Meeting Date]]),"",Mentor_Connect[[#This Row],[Meeting Date]]-WEEKDAY(Mentor_Connect[[#This Row],[Meeting Date]],2)+1)</f>
        <v>45971</v>
      </c>
      <c r="AK22" s="222">
        <f>IF(ISBLANK(Mentor_Connect[[#This Row],[Preferred Mentor Selected On]]),"",Mentor_Connect[[#This Row],[Preferred Mentor Selected On]]-WEEKDAY(Mentor_Connect[[#This Row],[Preferred Mentor Selected On]],2)+1)</f>
        <v>45922</v>
      </c>
    </row>
    <row r="23" spans="1:37" ht="24.6" customHeight="1" x14ac:dyDescent="0.3">
      <c r="A23" s="290" t="s">
        <v>270</v>
      </c>
      <c r="B23" s="22" t="str">
        <f>VLOOKUP(Mentor_Connect[[#This Row],[Venture Name]],[1]!VenturesList[#All],2,FALSE)</f>
        <v>Accelerate Core</v>
      </c>
      <c r="C23" s="1">
        <f>VLOOKUP(Mentor_Connect[[#This Row],[Venture Name]],[1]!VenturesList[#All],3,FALSE)</f>
        <v>45839</v>
      </c>
      <c r="D23" s="275" t="str">
        <f>VLOOKUP(Mentor_Connect[[#This Row],[Venture Name]],[1]!VenturesList[#All],5,FALSE)</f>
        <v>Vignesh</v>
      </c>
      <c r="E23" s="3" t="s">
        <v>92</v>
      </c>
      <c r="F23" s="288" t="s">
        <v>18</v>
      </c>
      <c r="G23" s="218">
        <v>45887</v>
      </c>
      <c r="H23" s="239">
        <v>45910</v>
      </c>
      <c r="I23" s="218">
        <v>45910</v>
      </c>
      <c r="J23" s="240">
        <v>45923</v>
      </c>
      <c r="K23" s="230">
        <v>46003</v>
      </c>
      <c r="L23" s="217" t="s">
        <v>345</v>
      </c>
      <c r="M23" s="217">
        <v>45923</v>
      </c>
      <c r="N23" s="4"/>
      <c r="O23" s="4"/>
      <c r="P23" s="5" t="s">
        <v>358</v>
      </c>
      <c r="Q23" s="293">
        <v>115006163361</v>
      </c>
      <c r="R23" s="43" t="s">
        <v>913</v>
      </c>
      <c r="S23" s="294" t="s">
        <v>271</v>
      </c>
      <c r="T23" s="295" t="s">
        <v>952</v>
      </c>
      <c r="U23" s="294" t="s">
        <v>953</v>
      </c>
      <c r="V23" s="6" t="s">
        <v>954</v>
      </c>
      <c r="W23" s="290"/>
      <c r="X23" s="296" t="s">
        <v>955</v>
      </c>
      <c r="Y23" s="296" t="s">
        <v>956</v>
      </c>
      <c r="Z23" s="36"/>
      <c r="AA23" s="8"/>
      <c r="AB23" s="9"/>
      <c r="AC23" s="9"/>
      <c r="AD23" s="9"/>
      <c r="AE23" s="9"/>
      <c r="AF23" s="9"/>
      <c r="AG23" s="9"/>
      <c r="AH23" s="9"/>
      <c r="AI23" s="9" t="s">
        <v>916</v>
      </c>
      <c r="AJ23" s="225">
        <f>IF(ISBLANK(Mentor_Connect[[#This Row],[Meeting Date]]),"",Mentor_Connect[[#This Row],[Meeting Date]]-WEEKDAY(Mentor_Connect[[#This Row],[Meeting Date]],2)+1)</f>
        <v>45999</v>
      </c>
      <c r="AK23" s="222">
        <f>IF(ISBLANK(Mentor_Connect[[#This Row],[Preferred Mentor Selected On]]),"",Mentor_Connect[[#This Row],[Preferred Mentor Selected On]]-WEEKDAY(Mentor_Connect[[#This Row],[Preferred Mentor Selected On]],2)+1)</f>
        <v>45922</v>
      </c>
    </row>
    <row r="24" spans="1:37" ht="24.6" customHeight="1" x14ac:dyDescent="0.3">
      <c r="A24" s="297" t="s">
        <v>189</v>
      </c>
      <c r="B24" s="298" t="str">
        <f>VLOOKUP(Mentor_Connect[[#This Row],[Venture Name]],[1]!VenturesList[#All],2,FALSE)</f>
        <v>Accelerate Prime</v>
      </c>
      <c r="C24" s="299">
        <f>VLOOKUP(Mentor_Connect[[#This Row],[Venture Name]],[1]!VenturesList[#All],3,FALSE)</f>
        <v>45809</v>
      </c>
      <c r="D24" s="8" t="str">
        <f>VLOOKUP(Mentor_Connect[[#This Row],[Venture Name]],[1]!VenturesList[#All],5,FALSE)</f>
        <v>Kedar</v>
      </c>
      <c r="E24" s="300" t="s">
        <v>957</v>
      </c>
      <c r="F24" s="301" t="s">
        <v>444</v>
      </c>
      <c r="G24" s="302">
        <v>45888</v>
      </c>
      <c r="H24" s="303"/>
      <c r="I24" s="302"/>
      <c r="J24" s="304">
        <v>45809</v>
      </c>
      <c r="K24" s="304"/>
      <c r="L24" s="217" t="s">
        <v>358</v>
      </c>
      <c r="M24" s="217">
        <v>45809</v>
      </c>
      <c r="N24" s="20"/>
      <c r="O24" s="305" t="s">
        <v>958</v>
      </c>
      <c r="P24" s="306"/>
      <c r="Q24" s="307"/>
      <c r="R24" s="308"/>
      <c r="S24" s="306"/>
      <c r="T24" s="308"/>
      <c r="U24" s="308"/>
      <c r="V24" s="308"/>
      <c r="W24" s="297"/>
      <c r="X24" s="297"/>
      <c r="Y24" s="297"/>
      <c r="Z24" s="309" t="s">
        <v>943</v>
      </c>
      <c r="AA24" s="308"/>
      <c r="AB24" s="306"/>
      <c r="AC24" s="306"/>
      <c r="AD24" s="306"/>
      <c r="AE24" s="306"/>
      <c r="AF24" s="306"/>
      <c r="AG24" s="306"/>
      <c r="AH24" s="306"/>
      <c r="AI24" s="9"/>
      <c r="AJ24" s="225" t="str">
        <f>IF(ISBLANK(Mentor_Connect[[#This Row],[Meeting Date]]),"",Mentor_Connect[[#This Row],[Meeting Date]]-WEEKDAY(Mentor_Connect[[#This Row],[Meeting Date]],2)+1)</f>
        <v/>
      </c>
      <c r="AK24" s="222">
        <f>IF(ISBLANK(Mentor_Connect[[#This Row],[Preferred Mentor Selected On]]),"",Mentor_Connect[[#This Row],[Preferred Mentor Selected On]]-WEEKDAY(Mentor_Connect[[#This Row],[Preferred Mentor Selected On]],2)+1)</f>
        <v>45803</v>
      </c>
    </row>
    <row r="25" spans="1:37" ht="24.6" customHeight="1" x14ac:dyDescent="0.3">
      <c r="A25" s="229" t="s">
        <v>30</v>
      </c>
      <c r="B25" s="38" t="str">
        <f>VLOOKUP(Mentor_Connect[[#This Row],[Venture Name]],[1]!VenturesList[#All],2,FALSE)</f>
        <v>Accelerate Prime</v>
      </c>
      <c r="C25" s="1">
        <f>VLOOKUP(Mentor_Connect[[#This Row],[Venture Name]],[1]!VenturesList[#All],3,FALSE)</f>
        <v>45839</v>
      </c>
      <c r="D25" s="8" t="str">
        <f>VLOOKUP(Mentor_Connect[[#This Row],[Venture Name]],[1]!VenturesList[#All],5,FALSE)</f>
        <v>Kedar</v>
      </c>
      <c r="E25" s="216" t="s">
        <v>93</v>
      </c>
      <c r="F25" s="288" t="s">
        <v>18</v>
      </c>
      <c r="G25" s="218">
        <v>45891</v>
      </c>
      <c r="H25" s="239"/>
      <c r="I25" s="218"/>
      <c r="J25" s="240">
        <v>45924</v>
      </c>
      <c r="K25" s="219">
        <v>46007</v>
      </c>
      <c r="L25" s="217" t="s">
        <v>345</v>
      </c>
      <c r="M25" s="217">
        <v>45924</v>
      </c>
      <c r="N25" s="20"/>
      <c r="O25" s="60" t="s">
        <v>925</v>
      </c>
      <c r="P25" s="9"/>
      <c r="Q25" s="129">
        <v>115002845847</v>
      </c>
      <c r="R25" s="8" t="s">
        <v>913</v>
      </c>
      <c r="S25" s="295" t="s">
        <v>178</v>
      </c>
      <c r="T25" s="295" t="s">
        <v>179</v>
      </c>
      <c r="U25" s="295" t="s">
        <v>180</v>
      </c>
      <c r="V25" s="8" t="s">
        <v>959</v>
      </c>
      <c r="W25" s="8"/>
      <c r="X25" s="53" t="s">
        <v>960</v>
      </c>
      <c r="Y25" s="53" t="s">
        <v>961</v>
      </c>
      <c r="Z25" s="9"/>
      <c r="AA25" s="8" t="s">
        <v>937</v>
      </c>
      <c r="AB25" s="217">
        <v>46062</v>
      </c>
      <c r="AC25" s="217"/>
      <c r="AD25" s="217"/>
      <c r="AE25" s="217"/>
      <c r="AF25" s="217">
        <v>46097</v>
      </c>
      <c r="AG25" s="217" t="s">
        <v>962</v>
      </c>
      <c r="AH25" s="217"/>
      <c r="AI25" s="9" t="s">
        <v>937</v>
      </c>
      <c r="AJ25" s="225">
        <f>IF(ISBLANK(Mentor_Connect[[#This Row],[Meeting Date]]),"",Mentor_Connect[[#This Row],[Meeting Date]]-WEEKDAY(Mentor_Connect[[#This Row],[Meeting Date]],2)+1)</f>
        <v>46006</v>
      </c>
      <c r="AK25" s="222">
        <f>IF(ISBLANK(Mentor_Connect[[#This Row],[Preferred Mentor Selected On]]),"",Mentor_Connect[[#This Row],[Preferred Mentor Selected On]]-WEEKDAY(Mentor_Connect[[#This Row],[Preferred Mentor Selected On]],2)+1)</f>
        <v>45922</v>
      </c>
    </row>
    <row r="26" spans="1:37" ht="24.6" customHeight="1" x14ac:dyDescent="0.3">
      <c r="A26" s="310" t="s">
        <v>30</v>
      </c>
      <c r="B26" s="311" t="str">
        <f>VLOOKUP(Mentor_Connect[[#This Row],[Venture Name]],[1]!VenturesList[#All],2,FALSE)</f>
        <v>Accelerate Prime</v>
      </c>
      <c r="C26" s="312">
        <f>VLOOKUP(Mentor_Connect[[#This Row],[Venture Name]],[1]!VenturesList[#All],3,FALSE)</f>
        <v>45839</v>
      </c>
      <c r="D26" s="279" t="str">
        <f>VLOOKUP(Mentor_Connect[[#This Row],[Venture Name]],[1]!VenturesList[#All],5,FALSE)</f>
        <v>Kedar</v>
      </c>
      <c r="E26" s="313" t="s">
        <v>89</v>
      </c>
      <c r="F26" s="314" t="s">
        <v>18</v>
      </c>
      <c r="G26" s="218">
        <v>45891</v>
      </c>
      <c r="H26" s="239"/>
      <c r="I26" s="218"/>
      <c r="J26" s="240">
        <v>45924</v>
      </c>
      <c r="K26" s="315">
        <v>46030</v>
      </c>
      <c r="L26" s="217" t="s">
        <v>345</v>
      </c>
      <c r="M26" s="217">
        <v>45924</v>
      </c>
      <c r="N26" s="20"/>
      <c r="O26" s="316" t="s">
        <v>963</v>
      </c>
      <c r="P26" s="36"/>
      <c r="Q26" s="269">
        <v>115006614055</v>
      </c>
      <c r="R26" s="263" t="s">
        <v>913</v>
      </c>
      <c r="S26" s="317" t="s">
        <v>178</v>
      </c>
      <c r="T26" s="318" t="s">
        <v>179</v>
      </c>
      <c r="U26" s="319">
        <v>9850819688</v>
      </c>
      <c r="V26" s="311"/>
      <c r="W26" s="311"/>
      <c r="X26" s="320" t="s">
        <v>432</v>
      </c>
      <c r="Y26" s="320" t="s">
        <v>432</v>
      </c>
      <c r="Z26" s="36"/>
      <c r="AA26" s="8" t="s">
        <v>441</v>
      </c>
      <c r="AB26" s="218">
        <v>46130</v>
      </c>
      <c r="AC26" s="218">
        <v>46132</v>
      </c>
      <c r="AD26" s="218">
        <v>46132</v>
      </c>
      <c r="AE26" s="218">
        <v>46132</v>
      </c>
      <c r="AF26" s="36"/>
      <c r="AG26" s="36" t="s">
        <v>886</v>
      </c>
      <c r="AH26" s="279" t="s">
        <v>941</v>
      </c>
      <c r="AI26" s="9" t="s">
        <v>937</v>
      </c>
      <c r="AJ26" s="225">
        <f>IF(ISBLANK(Mentor_Connect[[#This Row],[Meeting Date]]),"",Mentor_Connect[[#This Row],[Meeting Date]]-WEEKDAY(Mentor_Connect[[#This Row],[Meeting Date]],2)+1)</f>
        <v>46027</v>
      </c>
      <c r="AK26" s="222">
        <f>IF(ISBLANK(Mentor_Connect[[#This Row],[Preferred Mentor Selected On]]),"",Mentor_Connect[[#This Row],[Preferred Mentor Selected On]]-WEEKDAY(Mentor_Connect[[#This Row],[Preferred Mentor Selected On]],2)+1)</f>
        <v>45922</v>
      </c>
    </row>
    <row r="27" spans="1:37" ht="24.6" customHeight="1" x14ac:dyDescent="0.3">
      <c r="A27" s="38" t="s">
        <v>30</v>
      </c>
      <c r="B27" s="38" t="str">
        <f>VLOOKUP(Mentor_Connect[[#This Row],[Venture Name]],[1]!VenturesList[#All],2,FALSE)</f>
        <v>Accelerate Prime</v>
      </c>
      <c r="C27" s="236">
        <f>VLOOKUP(Mentor_Connect[[#This Row],[Venture Name]],[1]!VenturesList[#All],3,FALSE)</f>
        <v>45839</v>
      </c>
      <c r="D27" s="237" t="str">
        <f>VLOOKUP(Mentor_Connect[[#This Row],[Venture Name]],[1]!VenturesList[#All],5,FALSE)</f>
        <v>Kedar</v>
      </c>
      <c r="E27" s="39" t="s">
        <v>89</v>
      </c>
      <c r="F27" s="238" t="s">
        <v>18</v>
      </c>
      <c r="G27" s="239">
        <v>45891</v>
      </c>
      <c r="H27" s="239"/>
      <c r="I27" s="239"/>
      <c r="J27" s="240">
        <v>45924</v>
      </c>
      <c r="K27" s="230">
        <v>45946</v>
      </c>
      <c r="L27" s="239" t="s">
        <v>345</v>
      </c>
      <c r="M27" s="239">
        <v>45924</v>
      </c>
      <c r="N27" s="22"/>
      <c r="O27" s="321" t="s">
        <v>925</v>
      </c>
      <c r="P27" s="25" t="s">
        <v>358</v>
      </c>
      <c r="Q27" s="322">
        <v>115017009833</v>
      </c>
      <c r="R27" s="38" t="s">
        <v>913</v>
      </c>
      <c r="S27" s="38" t="s">
        <v>178</v>
      </c>
      <c r="T27" s="323" t="s">
        <v>179</v>
      </c>
      <c r="U27" s="237">
        <v>9850819688</v>
      </c>
      <c r="V27" s="237"/>
      <c r="W27" s="237"/>
      <c r="X27" s="237" t="s">
        <v>432</v>
      </c>
      <c r="Y27" s="237" t="s">
        <v>432</v>
      </c>
      <c r="Z27" s="21"/>
      <c r="AA27" s="8" t="s">
        <v>441</v>
      </c>
      <c r="AB27" s="218">
        <v>46130</v>
      </c>
      <c r="AC27" s="218">
        <v>46132</v>
      </c>
      <c r="AD27" s="218">
        <v>46132</v>
      </c>
      <c r="AE27" s="218">
        <v>46132</v>
      </c>
      <c r="AF27" s="21"/>
      <c r="AG27" s="36" t="s">
        <v>886</v>
      </c>
      <c r="AH27" s="279" t="s">
        <v>941</v>
      </c>
      <c r="AI27" s="9" t="s">
        <v>937</v>
      </c>
      <c r="AJ27" s="225">
        <f>IF(ISBLANK(Mentor_Connect[[#This Row],[Meeting Date]]),"",Mentor_Connect[[#This Row],[Meeting Date]]-WEEKDAY(Mentor_Connect[[#This Row],[Meeting Date]],2)+1)</f>
        <v>45943</v>
      </c>
      <c r="AK27" s="222">
        <f>IF(ISBLANK(Mentor_Connect[[#This Row],[Preferred Mentor Selected On]]),"",Mentor_Connect[[#This Row],[Preferred Mentor Selected On]]-WEEKDAY(Mentor_Connect[[#This Row],[Preferred Mentor Selected On]],2)+1)</f>
        <v>45922</v>
      </c>
    </row>
    <row r="28" spans="1:37" ht="24.6" customHeight="1" x14ac:dyDescent="0.3">
      <c r="A28" s="2" t="s">
        <v>73</v>
      </c>
      <c r="B28" s="2" t="str">
        <f>VLOOKUP(Mentor_Connect[[#This Row],[Venture Name]],[1]!VenturesList[#All],2,FALSE)</f>
        <v>Accelerate Core</v>
      </c>
      <c r="C28" s="1">
        <f>VLOOKUP(Mentor_Connect[[#This Row],[Venture Name]],[1]!VenturesList[#All],3,FALSE)</f>
        <v>45809</v>
      </c>
      <c r="D28" s="2" t="str">
        <f>VLOOKUP(Mentor_Connect[[#This Row],[Venture Name]],[1]!VenturesList[#All],5,FALSE)</f>
        <v xml:space="preserve">Kedar </v>
      </c>
      <c r="E28" s="3" t="s">
        <v>94</v>
      </c>
      <c r="F28" s="216" t="s">
        <v>18</v>
      </c>
      <c r="G28" s="217">
        <v>45891</v>
      </c>
      <c r="H28" s="217">
        <v>45891</v>
      </c>
      <c r="I28" s="217">
        <v>45891</v>
      </c>
      <c r="J28" s="261">
        <v>45924</v>
      </c>
      <c r="K28" s="220">
        <v>45927</v>
      </c>
      <c r="L28" s="217" t="s">
        <v>345</v>
      </c>
      <c r="M28" s="217">
        <v>45924</v>
      </c>
      <c r="N28" s="6"/>
      <c r="O28" s="159"/>
      <c r="P28" s="5" t="s">
        <v>358</v>
      </c>
      <c r="Q28" s="10">
        <v>115006724700</v>
      </c>
      <c r="R28" s="2" t="s">
        <v>913</v>
      </c>
      <c r="S28" s="2" t="s">
        <v>146</v>
      </c>
      <c r="T28" s="246" t="s">
        <v>326</v>
      </c>
      <c r="U28" s="2">
        <v>7774034634</v>
      </c>
      <c r="V28" s="6" t="s">
        <v>915</v>
      </c>
      <c r="W28" s="6"/>
      <c r="X28" s="6" t="s">
        <v>432</v>
      </c>
      <c r="Y28" s="6" t="s">
        <v>432</v>
      </c>
      <c r="Z28" s="9"/>
      <c r="AA28" s="8"/>
      <c r="AB28" s="9"/>
      <c r="AC28" s="9"/>
      <c r="AD28" s="9"/>
      <c r="AE28" s="9"/>
      <c r="AF28" s="9"/>
      <c r="AG28" s="9"/>
      <c r="AH28" s="9"/>
      <c r="AI28" s="9" t="s">
        <v>916</v>
      </c>
      <c r="AJ28" s="225">
        <f>IF(ISBLANK(Mentor_Connect[[#This Row],[Meeting Date]]),"",Mentor_Connect[[#This Row],[Meeting Date]]-WEEKDAY(Mentor_Connect[[#This Row],[Meeting Date]],2)+1)</f>
        <v>45922</v>
      </c>
      <c r="AK28" s="222">
        <f>IF(ISBLANK(Mentor_Connect[[#This Row],[Preferred Mentor Selected On]]),"",Mentor_Connect[[#This Row],[Preferred Mentor Selected On]]-WEEKDAY(Mentor_Connect[[#This Row],[Preferred Mentor Selected On]],2)+1)</f>
        <v>45922</v>
      </c>
    </row>
    <row r="29" spans="1:37" ht="24.6" customHeight="1" x14ac:dyDescent="0.3">
      <c r="A29" s="8" t="s">
        <v>169</v>
      </c>
      <c r="B29" s="8" t="str">
        <f>VLOOKUP(Mentor_Connect[[#This Row],[Venture Name]],[1]!VenturesList[#All],2,FALSE)</f>
        <v>Accelerate Prime</v>
      </c>
      <c r="C29" s="223">
        <f>VLOOKUP(Mentor_Connect[[#This Row],[Venture Name]],[1]!VenturesList[#All],3,FALSE)</f>
        <v>45839</v>
      </c>
      <c r="D29" s="8" t="str">
        <f>VLOOKUP(Mentor_Connect[[#This Row],[Venture Name]],[1]!VenturesList[#All],5,FALSE)</f>
        <v>Kedar</v>
      </c>
      <c r="E29" s="324" t="s">
        <v>445</v>
      </c>
      <c r="F29" s="3" t="s">
        <v>439</v>
      </c>
      <c r="G29" s="217">
        <v>45894</v>
      </c>
      <c r="H29" s="217"/>
      <c r="I29" s="217"/>
      <c r="J29" s="225">
        <v>45930</v>
      </c>
      <c r="K29" s="225"/>
      <c r="L29" s="217" t="s">
        <v>345</v>
      </c>
      <c r="M29" s="217">
        <v>45930</v>
      </c>
      <c r="N29" s="6" t="s">
        <v>964</v>
      </c>
      <c r="O29" s="325" t="s">
        <v>965</v>
      </c>
      <c r="P29" s="5"/>
      <c r="Q29" s="10"/>
      <c r="R29" s="8"/>
      <c r="S29" s="9"/>
      <c r="T29" s="8"/>
      <c r="U29" s="8"/>
      <c r="V29" s="8"/>
      <c r="W29" s="8"/>
      <c r="X29" s="8"/>
      <c r="Y29" s="8"/>
      <c r="Z29" s="9" t="s">
        <v>966</v>
      </c>
      <c r="AA29" s="8"/>
      <c r="AB29" s="9"/>
      <c r="AC29" s="9"/>
      <c r="AD29" s="9"/>
      <c r="AE29" s="9"/>
      <c r="AF29" s="9"/>
      <c r="AG29" s="9"/>
      <c r="AH29" s="9"/>
      <c r="AI29" s="9"/>
      <c r="AJ29" s="225" t="str">
        <f>IF(ISBLANK(Mentor_Connect[[#This Row],[Meeting Date]]),"",Mentor_Connect[[#This Row],[Meeting Date]]-WEEKDAY(Mentor_Connect[[#This Row],[Meeting Date]],2)+1)</f>
        <v/>
      </c>
      <c r="AK29" s="222">
        <f>IF(ISBLANK(Mentor_Connect[[#This Row],[Preferred Mentor Selected On]]),"",Mentor_Connect[[#This Row],[Preferred Mentor Selected On]]-WEEKDAY(Mentor_Connect[[#This Row],[Preferred Mentor Selected On]],2)+1)</f>
        <v>45929</v>
      </c>
    </row>
    <row r="30" spans="1:37" ht="24.6" customHeight="1" x14ac:dyDescent="0.3">
      <c r="A30" s="8" t="s">
        <v>169</v>
      </c>
      <c r="B30" s="8" t="str">
        <f>VLOOKUP(Mentor_Connect[[#This Row],[Venture Name]],[1]!VenturesList[#All],2,FALSE)</f>
        <v>Accelerate Prime</v>
      </c>
      <c r="C30" s="223">
        <f>VLOOKUP(Mentor_Connect[[#This Row],[Venture Name]],[1]!VenturesList[#All],3,FALSE)</f>
        <v>45839</v>
      </c>
      <c r="D30" s="8" t="str">
        <f>VLOOKUP(Mentor_Connect[[#This Row],[Venture Name]],[1]!VenturesList[#All],5,FALSE)</f>
        <v>Kedar</v>
      </c>
      <c r="E30" s="8" t="s">
        <v>103</v>
      </c>
      <c r="F30" s="216" t="s">
        <v>446</v>
      </c>
      <c r="G30" s="217">
        <v>45894</v>
      </c>
      <c r="H30" s="217"/>
      <c r="I30" s="217"/>
      <c r="J30" s="225">
        <v>45930</v>
      </c>
      <c r="K30" s="225"/>
      <c r="L30" s="217" t="s">
        <v>345</v>
      </c>
      <c r="M30" s="217">
        <v>45930</v>
      </c>
      <c r="N30" s="9"/>
      <c r="O30" s="2" t="s">
        <v>967</v>
      </c>
      <c r="P30" s="8"/>
      <c r="Q30" s="326"/>
      <c r="R30" s="8"/>
      <c r="S30" s="8"/>
      <c r="T30" s="9"/>
      <c r="U30" s="9"/>
      <c r="V30" s="9"/>
      <c r="W30" s="9"/>
      <c r="X30" s="9"/>
      <c r="Y30" s="9"/>
      <c r="Z30" s="9" t="s">
        <v>966</v>
      </c>
      <c r="AA30" s="8"/>
      <c r="AB30" s="9"/>
      <c r="AC30" s="9"/>
      <c r="AD30" s="9"/>
      <c r="AE30" s="9"/>
      <c r="AF30" s="9"/>
      <c r="AG30" s="9"/>
      <c r="AH30" s="9"/>
      <c r="AI30" s="9"/>
      <c r="AJ30" s="225" t="str">
        <f>IF(ISBLANK(Mentor_Connect[[#This Row],[Meeting Date]]),"",Mentor_Connect[[#This Row],[Meeting Date]]-WEEKDAY(Mentor_Connect[[#This Row],[Meeting Date]],2)+1)</f>
        <v/>
      </c>
      <c r="AK30" s="222">
        <f>IF(ISBLANK(Mentor_Connect[[#This Row],[Preferred Mentor Selected On]]),"",Mentor_Connect[[#This Row],[Preferred Mentor Selected On]]-WEEKDAY(Mentor_Connect[[#This Row],[Preferred Mentor Selected On]],2)+1)</f>
        <v>45929</v>
      </c>
    </row>
    <row r="31" spans="1:37" ht="24.6" customHeight="1" x14ac:dyDescent="0.3">
      <c r="A31" s="327" t="s">
        <v>35</v>
      </c>
      <c r="B31" s="279" t="str">
        <f>VLOOKUP(Mentor_Connect[[#This Row],[Venture Name]],[1]!VenturesList[#All],2,FALSE)</f>
        <v>Accelerate Prime</v>
      </c>
      <c r="C31" s="328">
        <f>VLOOKUP(Mentor_Connect[[#This Row],[Venture Name]],[1]!VenturesList[#All],3,FALSE)</f>
        <v>45809</v>
      </c>
      <c r="D31" s="279" t="str">
        <f>VLOOKUP(Mentor_Connect[[#This Row],[Venture Name]],[1]!VenturesList[#All],5,FALSE)</f>
        <v>Ramya</v>
      </c>
      <c r="E31" s="288" t="s">
        <v>5</v>
      </c>
      <c r="F31" s="288" t="s">
        <v>18</v>
      </c>
      <c r="G31" s="218">
        <v>45899</v>
      </c>
      <c r="H31" s="36"/>
      <c r="I31" s="36"/>
      <c r="J31" s="219">
        <v>45899</v>
      </c>
      <c r="K31" s="219">
        <v>46076</v>
      </c>
      <c r="L31" s="218"/>
      <c r="M31" s="218">
        <v>46072</v>
      </c>
      <c r="N31" s="329"/>
      <c r="O31" s="290" t="s">
        <v>968</v>
      </c>
      <c r="P31" s="36"/>
      <c r="Q31" s="127">
        <v>115005944151</v>
      </c>
      <c r="R31" s="279" t="s">
        <v>913</v>
      </c>
      <c r="S31" s="330" t="s">
        <v>153</v>
      </c>
      <c r="T31" s="330" t="s">
        <v>154</v>
      </c>
      <c r="U31" s="331" t="s">
        <v>155</v>
      </c>
      <c r="V31" s="279"/>
      <c r="W31" s="279"/>
      <c r="X31" s="332" t="s">
        <v>969</v>
      </c>
      <c r="Y31" s="332" t="s">
        <v>970</v>
      </c>
      <c r="Z31" s="36"/>
      <c r="AA31" s="279"/>
      <c r="AB31" s="36"/>
      <c r="AC31" s="36"/>
      <c r="AD31" s="36"/>
      <c r="AE31" s="36"/>
      <c r="AF31" s="36"/>
      <c r="AG31" s="36"/>
      <c r="AH31" s="8" t="s">
        <v>433</v>
      </c>
      <c r="AI31" s="9" t="s">
        <v>937</v>
      </c>
      <c r="AJ31" s="225">
        <f>IF(ISBLANK(Mentor_Connect[[#This Row],[Meeting Date]]),"",Mentor_Connect[[#This Row],[Meeting Date]]-WEEKDAY(Mentor_Connect[[#This Row],[Meeting Date]],2)+1)</f>
        <v>46076</v>
      </c>
      <c r="AK31" s="222">
        <f>IF(ISBLANK(Mentor_Connect[[#This Row],[Preferred Mentor Selected On]]),"",Mentor_Connect[[#This Row],[Preferred Mentor Selected On]]-WEEKDAY(Mentor_Connect[[#This Row],[Preferred Mentor Selected On]],2)+1)</f>
        <v>45894</v>
      </c>
    </row>
    <row r="32" spans="1:37" ht="24.6" customHeight="1" x14ac:dyDescent="0.3">
      <c r="A32" s="8" t="s">
        <v>35</v>
      </c>
      <c r="B32" s="8" t="str">
        <f>VLOOKUP(Mentor_Connect[[#This Row],[Venture Name]],[1]!VenturesList[#All],2,FALSE)</f>
        <v>Accelerate Prime</v>
      </c>
      <c r="C32" s="328">
        <f>VLOOKUP(Mentor_Connect[[#This Row],[Venture Name]],[1]!VenturesList[#All],3,FALSE)</f>
        <v>45809</v>
      </c>
      <c r="D32" s="8" t="str">
        <f>VLOOKUP(Mentor_Connect[[#This Row],[Venture Name]],[1]!VenturesList[#All],5,FALSE)</f>
        <v>Ramya</v>
      </c>
      <c r="E32" s="216" t="s">
        <v>447</v>
      </c>
      <c r="F32" s="252" t="s">
        <v>444</v>
      </c>
      <c r="G32" s="253">
        <v>45899</v>
      </c>
      <c r="H32" s="217"/>
      <c r="I32" s="253"/>
      <c r="J32" s="261">
        <v>45902</v>
      </c>
      <c r="K32" s="225"/>
      <c r="L32" s="217" t="s">
        <v>345</v>
      </c>
      <c r="M32" s="217">
        <v>45902</v>
      </c>
      <c r="N32" s="221" t="s">
        <v>971</v>
      </c>
      <c r="O32" s="258" t="s">
        <v>972</v>
      </c>
      <c r="P32" s="4"/>
      <c r="Q32" s="333"/>
      <c r="R32" s="8"/>
      <c r="S32" s="9"/>
      <c r="T32" s="8"/>
      <c r="U32" s="8"/>
      <c r="V32" s="8"/>
      <c r="W32" s="8"/>
      <c r="X32" s="8"/>
      <c r="Y32" s="8"/>
      <c r="Z32" s="9"/>
      <c r="AA32" s="8"/>
      <c r="AB32" s="9"/>
      <c r="AC32" s="9"/>
      <c r="AD32" s="9"/>
      <c r="AE32" s="9"/>
      <c r="AF32" s="9"/>
      <c r="AG32" s="9"/>
      <c r="AH32" s="9"/>
      <c r="AI32" s="9" t="s">
        <v>916</v>
      </c>
      <c r="AJ32" s="225" t="str">
        <f>IF(ISBLANK(Mentor_Connect[[#This Row],[Meeting Date]]),"",Mentor_Connect[[#This Row],[Meeting Date]]-WEEKDAY(Mentor_Connect[[#This Row],[Meeting Date]],2)+1)</f>
        <v/>
      </c>
      <c r="AK32" s="222">
        <f>IF(ISBLANK(Mentor_Connect[[#This Row],[Preferred Mentor Selected On]]),"",Mentor_Connect[[#This Row],[Preferred Mentor Selected On]]-WEEKDAY(Mentor_Connect[[#This Row],[Preferred Mentor Selected On]],2)+1)</f>
        <v>45901</v>
      </c>
    </row>
    <row r="33" spans="1:37" ht="24.6" customHeight="1" x14ac:dyDescent="0.3">
      <c r="A33" s="43" t="s">
        <v>35</v>
      </c>
      <c r="B33" s="38" t="str">
        <f>VLOOKUP(Mentor_Connect[[#This Row],[Venture Name]],[1]!VenturesList[#All],2,FALSE)</f>
        <v>Accelerate Prime</v>
      </c>
      <c r="C33" s="1">
        <f>VLOOKUP(Mentor_Connect[[#This Row],[Venture Name]],[1]!VenturesList[#All],3,FALSE)</f>
        <v>45809</v>
      </c>
      <c r="D33" s="8" t="str">
        <f>VLOOKUP(Mentor_Connect[[#This Row],[Venture Name]],[1]!VenturesList[#All],5,FALSE)</f>
        <v>Ramya</v>
      </c>
      <c r="E33" s="3" t="s">
        <v>5</v>
      </c>
      <c r="F33" s="216" t="s">
        <v>18</v>
      </c>
      <c r="G33" s="217">
        <v>45899</v>
      </c>
      <c r="H33" s="217"/>
      <c r="I33" s="217"/>
      <c r="J33" s="261">
        <v>45902</v>
      </c>
      <c r="K33" s="230">
        <v>45905</v>
      </c>
      <c r="L33" s="217" t="s">
        <v>345</v>
      </c>
      <c r="M33" s="217">
        <v>45902</v>
      </c>
      <c r="N33" s="6" t="s">
        <v>973</v>
      </c>
      <c r="O33" s="60" t="s">
        <v>925</v>
      </c>
      <c r="P33" s="5" t="s">
        <v>358</v>
      </c>
      <c r="Q33" s="10">
        <v>115005944151</v>
      </c>
      <c r="R33" s="2" t="s">
        <v>913</v>
      </c>
      <c r="S33" s="2" t="s">
        <v>153</v>
      </c>
      <c r="T33" s="246" t="s">
        <v>154</v>
      </c>
      <c r="U33" s="6" t="s">
        <v>155</v>
      </c>
      <c r="V33" s="20" t="s">
        <v>974</v>
      </c>
      <c r="W33" s="20"/>
      <c r="X33" s="20" t="s">
        <v>432</v>
      </c>
      <c r="Y33" s="20" t="s">
        <v>432</v>
      </c>
      <c r="Z33" s="9"/>
      <c r="AA33" s="8"/>
      <c r="AB33" s="9"/>
      <c r="AC33" s="9"/>
      <c r="AD33" s="9"/>
      <c r="AE33" s="9"/>
      <c r="AF33" s="9"/>
      <c r="AG33" s="9"/>
      <c r="AH33" s="8" t="s">
        <v>433</v>
      </c>
      <c r="AI33" s="9" t="s">
        <v>916</v>
      </c>
      <c r="AJ33" s="225">
        <f>IF(ISBLANK(Mentor_Connect[[#This Row],[Meeting Date]]),"",Mentor_Connect[[#This Row],[Meeting Date]]-WEEKDAY(Mentor_Connect[[#This Row],[Meeting Date]],2)+1)</f>
        <v>45901</v>
      </c>
      <c r="AK33" s="222">
        <f>IF(ISBLANK(Mentor_Connect[[#This Row],[Preferred Mentor Selected On]]),"",Mentor_Connect[[#This Row],[Preferred Mentor Selected On]]-WEEKDAY(Mentor_Connect[[#This Row],[Preferred Mentor Selected On]],2)+1)</f>
        <v>45901</v>
      </c>
    </row>
    <row r="34" spans="1:37" ht="24.6" customHeight="1" x14ac:dyDescent="0.3">
      <c r="A34" s="43" t="s">
        <v>80</v>
      </c>
      <c r="B34" s="43" t="str">
        <f>VLOOKUP(Mentor_Connect[[#This Row],[Venture Name]],[1]!VenturesList[#All],2,FALSE)</f>
        <v>Accelerate Core</v>
      </c>
      <c r="C34" s="250">
        <f>VLOOKUP(Mentor_Connect[[#This Row],[Venture Name]],[1]!VenturesList[#All],3,FALSE)</f>
        <v>45839</v>
      </c>
      <c r="D34" s="286" t="str">
        <f>VLOOKUP(Mentor_Connect[[#This Row],[Venture Name]],[1]!VenturesList[#All],5,FALSE)</f>
        <v>Vignesh</v>
      </c>
      <c r="E34" s="50" t="s">
        <v>95</v>
      </c>
      <c r="F34" s="252" t="s">
        <v>18</v>
      </c>
      <c r="G34" s="253">
        <v>45899</v>
      </c>
      <c r="H34" s="217">
        <v>45910</v>
      </c>
      <c r="I34" s="217">
        <v>45910</v>
      </c>
      <c r="J34" s="225">
        <v>45988</v>
      </c>
      <c r="K34" s="255">
        <v>45962</v>
      </c>
      <c r="L34" s="218" t="s">
        <v>345</v>
      </c>
      <c r="M34" s="217">
        <v>45988</v>
      </c>
      <c r="N34" s="334" t="s">
        <v>975</v>
      </c>
      <c r="O34" s="335"/>
      <c r="P34" s="28" t="s">
        <v>358</v>
      </c>
      <c r="Q34" s="257">
        <v>115005992519</v>
      </c>
      <c r="R34" s="43" t="s">
        <v>913</v>
      </c>
      <c r="S34" s="43" t="s">
        <v>297</v>
      </c>
      <c r="T34" s="251" t="s">
        <v>298</v>
      </c>
      <c r="U34" s="43">
        <v>9884613600</v>
      </c>
      <c r="V34" s="258" t="s">
        <v>954</v>
      </c>
      <c r="W34" s="258"/>
      <c r="X34" s="258" t="s">
        <v>432</v>
      </c>
      <c r="Y34" s="258" t="s">
        <v>432</v>
      </c>
      <c r="Z34" s="260"/>
      <c r="AA34" s="251"/>
      <c r="AB34" s="260"/>
      <c r="AC34" s="260"/>
      <c r="AD34" s="260"/>
      <c r="AE34" s="260"/>
      <c r="AF34" s="260"/>
      <c r="AG34" s="260"/>
      <c r="AH34" s="260"/>
      <c r="AI34" s="9" t="s">
        <v>916</v>
      </c>
      <c r="AJ34" s="225">
        <f>IF(ISBLANK(Mentor_Connect[[#This Row],[Meeting Date]]),"",Mentor_Connect[[#This Row],[Meeting Date]]-WEEKDAY(Mentor_Connect[[#This Row],[Meeting Date]],2)+1)</f>
        <v>45957</v>
      </c>
      <c r="AK34" s="222">
        <f>IF(ISBLANK(Mentor_Connect[[#This Row],[Preferred Mentor Selected On]]),"",Mentor_Connect[[#This Row],[Preferred Mentor Selected On]]-WEEKDAY(Mentor_Connect[[#This Row],[Preferred Mentor Selected On]],2)+1)</f>
        <v>45985</v>
      </c>
    </row>
    <row r="35" spans="1:37" ht="24.6" customHeight="1" x14ac:dyDescent="0.3">
      <c r="A35" s="8" t="s">
        <v>80</v>
      </c>
      <c r="B35" s="237" t="str">
        <f>VLOOKUP(Mentor_Connect[[#This Row],[Venture Name]],[1]!VenturesList[#All],2,FALSE)</f>
        <v>Accelerate Core</v>
      </c>
      <c r="C35" s="223">
        <f>VLOOKUP(Mentor_Connect[[#This Row],[Venture Name]],[1]!VenturesList[#All],3,FALSE)</f>
        <v>45839</v>
      </c>
      <c r="D35" s="8" t="str">
        <f>VLOOKUP(Mentor_Connect[[#This Row],[Venture Name]],[1]!VenturesList[#All],5,FALSE)</f>
        <v>Vignesh</v>
      </c>
      <c r="E35" s="3" t="s">
        <v>95</v>
      </c>
      <c r="F35" s="288" t="s">
        <v>439</v>
      </c>
      <c r="G35" s="217">
        <v>45899</v>
      </c>
      <c r="H35" s="239">
        <v>45910</v>
      </c>
      <c r="I35" s="239">
        <v>45910</v>
      </c>
      <c r="J35" s="240">
        <v>45988</v>
      </c>
      <c r="K35" s="240"/>
      <c r="L35" s="217" t="s">
        <v>345</v>
      </c>
      <c r="M35" s="217">
        <v>45988</v>
      </c>
      <c r="N35" s="20"/>
      <c r="O35" s="6" t="s">
        <v>976</v>
      </c>
      <c r="P35" s="9"/>
      <c r="Q35" s="129"/>
      <c r="R35" s="8"/>
      <c r="S35" s="336"/>
      <c r="T35" s="295"/>
      <c r="U35" s="295"/>
      <c r="V35" s="8"/>
      <c r="W35" s="279"/>
      <c r="X35" s="279"/>
      <c r="Y35" s="279"/>
      <c r="Z35" s="36" t="s">
        <v>943</v>
      </c>
      <c r="AA35" s="8"/>
      <c r="AB35" s="9"/>
      <c r="AC35" s="9"/>
      <c r="AD35" s="9"/>
      <c r="AE35" s="9"/>
      <c r="AF35" s="9"/>
      <c r="AG35" s="9"/>
      <c r="AH35" s="9"/>
      <c r="AI35" s="9"/>
      <c r="AJ35" s="225" t="str">
        <f>IF(ISBLANK(Mentor_Connect[[#This Row],[Meeting Date]]),"",Mentor_Connect[[#This Row],[Meeting Date]]-WEEKDAY(Mentor_Connect[[#This Row],[Meeting Date]],2)+1)</f>
        <v/>
      </c>
      <c r="AK35" s="222">
        <f>IF(ISBLANK(Mentor_Connect[[#This Row],[Preferred Mentor Selected On]]),"",Mentor_Connect[[#This Row],[Preferred Mentor Selected On]]-WEEKDAY(Mentor_Connect[[#This Row],[Preferred Mentor Selected On]],2)+1)</f>
        <v>45985</v>
      </c>
    </row>
    <row r="36" spans="1:37" ht="24.6" customHeight="1" x14ac:dyDescent="0.3">
      <c r="A36" s="8" t="s">
        <v>56</v>
      </c>
      <c r="B36" s="237" t="str">
        <f>VLOOKUP(Mentor_Connect[[#This Row],[Venture Name]],[1]!VenturesList[#All],2,FALSE)</f>
        <v>Accelerate Core</v>
      </c>
      <c r="C36" s="223">
        <f>VLOOKUP(Mentor_Connect[[#This Row],[Venture Name]],[1]!VenturesList[#All],3,FALSE)</f>
        <v>45839</v>
      </c>
      <c r="D36" s="337" t="str">
        <f>VLOOKUP(Mentor_Connect[[#This Row],[Venture Name]],[1]!VenturesList[#All],5,FALSE)</f>
        <v>Vignesh</v>
      </c>
      <c r="E36" s="338" t="s">
        <v>977</v>
      </c>
      <c r="F36" s="288" t="s">
        <v>440</v>
      </c>
      <c r="G36" s="217">
        <v>45916</v>
      </c>
      <c r="H36" s="239">
        <v>45910</v>
      </c>
      <c r="I36" s="239">
        <v>45910</v>
      </c>
      <c r="J36" s="240">
        <v>45916</v>
      </c>
      <c r="K36" s="240"/>
      <c r="L36" s="217" t="s">
        <v>345</v>
      </c>
      <c r="M36" s="217">
        <v>45916</v>
      </c>
      <c r="N36" s="20"/>
      <c r="O36" s="6" t="s">
        <v>978</v>
      </c>
      <c r="P36" s="9"/>
      <c r="Q36" s="129"/>
      <c r="R36" s="8"/>
      <c r="S36" s="9"/>
      <c r="T36" s="8"/>
      <c r="U36" s="8"/>
      <c r="V36" s="8"/>
      <c r="W36" s="8"/>
      <c r="X36" s="8"/>
      <c r="Y36" s="8"/>
      <c r="Z36" s="9" t="s">
        <v>943</v>
      </c>
      <c r="AA36" s="8"/>
      <c r="AB36" s="9"/>
      <c r="AC36" s="9"/>
      <c r="AD36" s="9"/>
      <c r="AE36" s="9"/>
      <c r="AF36" s="9"/>
      <c r="AG36" s="9"/>
      <c r="AH36" s="9"/>
      <c r="AI36" s="9"/>
      <c r="AJ36" s="225" t="str">
        <f>IF(ISBLANK(Mentor_Connect[[#This Row],[Meeting Date]]),"",Mentor_Connect[[#This Row],[Meeting Date]]-WEEKDAY(Mentor_Connect[[#This Row],[Meeting Date]],2)+1)</f>
        <v/>
      </c>
      <c r="AK36" s="222">
        <f>IF(ISBLANK(Mentor_Connect[[#This Row],[Preferred Mentor Selected On]]),"",Mentor_Connect[[#This Row],[Preferred Mentor Selected On]]-WEEKDAY(Mentor_Connect[[#This Row],[Preferred Mentor Selected On]],2)+1)</f>
        <v>45915</v>
      </c>
    </row>
    <row r="37" spans="1:37" ht="24.6" customHeight="1" x14ac:dyDescent="0.3">
      <c r="A37" s="8" t="s">
        <v>266</v>
      </c>
      <c r="B37" s="8" t="str">
        <f>VLOOKUP(Mentor_Connect[[#This Row],[Venture Name]],[1]!VenturesList[#All],2,FALSE)</f>
        <v>Accelerate Core</v>
      </c>
      <c r="C37" s="223">
        <f>VLOOKUP(Mentor_Connect[[#This Row],[Venture Name]],[1]!VenturesList[#All],3,FALSE)</f>
        <v>45870</v>
      </c>
      <c r="D37" s="8" t="str">
        <f>VLOOKUP(Mentor_Connect[[#This Row],[Venture Name]],[1]!VenturesList[#All],5,FALSE)</f>
        <v xml:space="preserve">Kedar </v>
      </c>
      <c r="E37" s="216" t="s">
        <v>950</v>
      </c>
      <c r="F37" s="216" t="s">
        <v>436</v>
      </c>
      <c r="G37" s="9"/>
      <c r="H37" s="9"/>
      <c r="I37" s="9"/>
      <c r="J37" s="223">
        <v>45870</v>
      </c>
      <c r="K37" s="225"/>
      <c r="L37" s="217" t="s">
        <v>358</v>
      </c>
      <c r="M37" s="217">
        <v>45870</v>
      </c>
      <c r="N37" s="226"/>
      <c r="O37" s="20" t="s">
        <v>233</v>
      </c>
      <c r="P37" s="9"/>
      <c r="Q37" s="129"/>
      <c r="R37" s="8"/>
      <c r="S37" s="9"/>
      <c r="T37" s="8"/>
      <c r="U37" s="8"/>
      <c r="V37" s="8"/>
      <c r="W37" s="8"/>
      <c r="X37" s="8"/>
      <c r="Y37" s="8"/>
      <c r="Z37" s="9"/>
      <c r="AA37" s="8"/>
      <c r="AB37" s="9"/>
      <c r="AC37" s="9"/>
      <c r="AD37" s="9"/>
      <c r="AE37" s="9"/>
      <c r="AF37" s="9"/>
      <c r="AG37" s="9"/>
      <c r="AH37" s="9"/>
      <c r="AI37" s="9"/>
      <c r="AJ37" s="225" t="str">
        <f>IF(ISBLANK(Mentor_Connect[[#This Row],[Meeting Date]]),"",Mentor_Connect[[#This Row],[Meeting Date]]-WEEKDAY(Mentor_Connect[[#This Row],[Meeting Date]],2)+1)</f>
        <v/>
      </c>
      <c r="AK37" s="222">
        <f>IF(ISBLANK(Mentor_Connect[[#This Row],[Preferred Mentor Selected On]]),"",Mentor_Connect[[#This Row],[Preferred Mentor Selected On]]-WEEKDAY(Mentor_Connect[[#This Row],[Preferred Mentor Selected On]],2)+1)</f>
        <v>45866</v>
      </c>
    </row>
    <row r="38" spans="1:37" ht="24.6" customHeight="1" x14ac:dyDescent="0.3">
      <c r="A38" s="237" t="s">
        <v>267</v>
      </c>
      <c r="B38" s="237" t="str">
        <f>VLOOKUP(Mentor_Connect[[#This Row],[Venture Name]],[1]!VenturesList[#All],2,FALSE)</f>
        <v>Accelerate Core</v>
      </c>
      <c r="C38" s="339">
        <f>VLOOKUP(Mentor_Connect[[#This Row],[Venture Name]],[1]!VenturesList[#All],3,FALSE)</f>
        <v>45870</v>
      </c>
      <c r="D38" s="237" t="str">
        <f>VLOOKUP(Mentor_Connect[[#This Row],[Venture Name]],[1]!VenturesList[#All],5,FALSE)</f>
        <v xml:space="preserve">Kedar </v>
      </c>
      <c r="E38" s="238" t="s">
        <v>950</v>
      </c>
      <c r="F38" s="238" t="s">
        <v>436</v>
      </c>
      <c r="G38" s="21"/>
      <c r="H38" s="21"/>
      <c r="I38" s="21"/>
      <c r="J38" s="339">
        <v>45870</v>
      </c>
      <c r="K38" s="240"/>
      <c r="L38" s="239" t="s">
        <v>358</v>
      </c>
      <c r="M38" s="239">
        <v>45870</v>
      </c>
      <c r="N38" s="340"/>
      <c r="O38" s="22" t="s">
        <v>979</v>
      </c>
      <c r="P38" s="21"/>
      <c r="Q38" s="242"/>
      <c r="R38" s="237"/>
      <c r="S38" s="21"/>
      <c r="T38" s="237"/>
      <c r="U38" s="237"/>
      <c r="V38" s="237"/>
      <c r="W38" s="237"/>
      <c r="X38" s="237"/>
      <c r="Y38" s="237"/>
      <c r="Z38" s="21"/>
      <c r="AA38" s="237"/>
      <c r="AB38" s="21"/>
      <c r="AC38" s="21"/>
      <c r="AD38" s="21"/>
      <c r="AE38" s="21"/>
      <c r="AF38" s="21"/>
      <c r="AG38" s="21"/>
      <c r="AH38" s="21"/>
      <c r="AI38" s="9"/>
      <c r="AJ38" s="225" t="str">
        <f>IF(ISBLANK(Mentor_Connect[[#This Row],[Meeting Date]]),"",Mentor_Connect[[#This Row],[Meeting Date]]-WEEKDAY(Mentor_Connect[[#This Row],[Meeting Date]],2)+1)</f>
        <v/>
      </c>
      <c r="AK38" s="222">
        <f>IF(ISBLANK(Mentor_Connect[[#This Row],[Preferred Mentor Selected On]]),"",Mentor_Connect[[#This Row],[Preferred Mentor Selected On]]-WEEKDAY(Mentor_Connect[[#This Row],[Preferred Mentor Selected On]],2)+1)</f>
        <v>45866</v>
      </c>
    </row>
    <row r="39" spans="1:37" ht="24.6" customHeight="1" x14ac:dyDescent="0.3">
      <c r="A39" s="2" t="s">
        <v>56</v>
      </c>
      <c r="B39" s="2" t="str">
        <f>VLOOKUP(Mentor_Connect[[#This Row],[Venture Name]],[1]!VenturesList[#All],2,FALSE)</f>
        <v>Accelerate Core</v>
      </c>
      <c r="C39" s="1">
        <f>VLOOKUP(Mentor_Connect[[#This Row],[Venture Name]],[1]!VenturesList[#All],3,FALSE)</f>
        <v>45839</v>
      </c>
      <c r="D39" s="275" t="str">
        <f>VLOOKUP(Mentor_Connect[[#This Row],[Venture Name]],[1]!VenturesList[#All],5,FALSE)</f>
        <v>Vignesh</v>
      </c>
      <c r="E39" s="3" t="s">
        <v>96</v>
      </c>
      <c r="F39" s="216" t="s">
        <v>18</v>
      </c>
      <c r="G39" s="217">
        <v>45916</v>
      </c>
      <c r="H39" s="217">
        <v>45910</v>
      </c>
      <c r="I39" s="217">
        <v>45910</v>
      </c>
      <c r="J39" s="225">
        <v>45916</v>
      </c>
      <c r="K39" s="220">
        <v>46006</v>
      </c>
      <c r="L39" s="217" t="s">
        <v>345</v>
      </c>
      <c r="M39" s="217">
        <v>45916</v>
      </c>
      <c r="N39" s="4"/>
      <c r="O39" s="6" t="s">
        <v>980</v>
      </c>
      <c r="P39" s="4" t="s">
        <v>358</v>
      </c>
      <c r="Q39" s="333">
        <v>115009560473</v>
      </c>
      <c r="R39" s="2" t="s">
        <v>913</v>
      </c>
      <c r="S39" s="2" t="s">
        <v>299</v>
      </c>
      <c r="T39" s="2" t="s">
        <v>300</v>
      </c>
      <c r="U39" s="2" t="s">
        <v>301</v>
      </c>
      <c r="V39" s="6" t="s">
        <v>981</v>
      </c>
      <c r="W39" s="6"/>
      <c r="X39" s="281" t="s">
        <v>982</v>
      </c>
      <c r="Y39" s="281" t="s">
        <v>983</v>
      </c>
      <c r="Z39" s="9"/>
      <c r="AA39" s="8" t="s">
        <v>937</v>
      </c>
      <c r="AB39" s="217">
        <v>46026</v>
      </c>
      <c r="AC39" s="217"/>
      <c r="AD39" s="217"/>
      <c r="AE39" s="217"/>
      <c r="AF39" s="217">
        <v>46093</v>
      </c>
      <c r="AG39" s="217" t="s">
        <v>984</v>
      </c>
      <c r="AH39" s="217"/>
      <c r="AI39" s="9" t="s">
        <v>937</v>
      </c>
      <c r="AJ39" s="225">
        <f>IF(ISBLANK(Mentor_Connect[[#This Row],[Meeting Date]]),"",Mentor_Connect[[#This Row],[Meeting Date]]-WEEKDAY(Mentor_Connect[[#This Row],[Meeting Date]],2)+1)</f>
        <v>46006</v>
      </c>
      <c r="AK39" s="222">
        <f>IF(ISBLANK(Mentor_Connect[[#This Row],[Preferred Mentor Selected On]]),"",Mentor_Connect[[#This Row],[Preferred Mentor Selected On]]-WEEKDAY(Mentor_Connect[[#This Row],[Preferred Mentor Selected On]],2)+1)</f>
        <v>45915</v>
      </c>
    </row>
    <row r="40" spans="1:37" ht="24.6" customHeight="1" x14ac:dyDescent="0.3">
      <c r="A40" s="279" t="s">
        <v>259</v>
      </c>
      <c r="B40" s="279" t="str">
        <f>VLOOKUP(Mentor_Connect[[#This Row],[Venture Name]],[1]!VenturesList[#All],2,FALSE)</f>
        <v>Accelerate Core</v>
      </c>
      <c r="C40" s="328">
        <f>VLOOKUP(Mentor_Connect[[#This Row],[Venture Name]],[1]!VenturesList[#All],3,FALSE)</f>
        <v>45870</v>
      </c>
      <c r="D40" s="279" t="str">
        <f>VLOOKUP(Mentor_Connect[[#This Row],[Venture Name]],[1]!VenturesList[#All],5,FALSE)</f>
        <v>Vignesh</v>
      </c>
      <c r="E40" s="288" t="s">
        <v>950</v>
      </c>
      <c r="F40" s="288" t="s">
        <v>440</v>
      </c>
      <c r="G40" s="218">
        <v>45919</v>
      </c>
      <c r="H40" s="218">
        <v>45940</v>
      </c>
      <c r="I40" s="218">
        <v>45940</v>
      </c>
      <c r="J40" s="219">
        <v>45870</v>
      </c>
      <c r="K40" s="219"/>
      <c r="L40" s="218" t="s">
        <v>358</v>
      </c>
      <c r="M40" s="218">
        <v>45870</v>
      </c>
      <c r="N40" s="329"/>
      <c r="O40" s="341" t="s">
        <v>985</v>
      </c>
      <c r="P40" s="36"/>
      <c r="Q40" s="149"/>
      <c r="R40" s="279"/>
      <c r="S40" s="36"/>
      <c r="T40" s="279"/>
      <c r="U40" s="279"/>
      <c r="V40" s="279"/>
      <c r="W40" s="279"/>
      <c r="X40" s="279"/>
      <c r="Y40" s="279"/>
      <c r="Z40" s="36"/>
      <c r="AA40" s="279"/>
      <c r="AB40" s="36"/>
      <c r="AC40" s="36"/>
      <c r="AD40" s="36"/>
      <c r="AE40" s="36"/>
      <c r="AF40" s="36"/>
      <c r="AG40" s="36"/>
      <c r="AH40" s="36"/>
      <c r="AI40" s="9"/>
      <c r="AJ40" s="225" t="str">
        <f>IF(ISBLANK(Mentor_Connect[[#This Row],[Meeting Date]]),"",Mentor_Connect[[#This Row],[Meeting Date]]-WEEKDAY(Mentor_Connect[[#This Row],[Meeting Date]],2)+1)</f>
        <v/>
      </c>
      <c r="AK40" s="222">
        <f>IF(ISBLANK(Mentor_Connect[[#This Row],[Preferred Mentor Selected On]]),"",Mentor_Connect[[#This Row],[Preferred Mentor Selected On]]-WEEKDAY(Mentor_Connect[[#This Row],[Preferred Mentor Selected On]],2)+1)</f>
        <v>45866</v>
      </c>
    </row>
    <row r="41" spans="1:37" ht="24.6" customHeight="1" x14ac:dyDescent="0.3">
      <c r="A41" s="43" t="s">
        <v>68</v>
      </c>
      <c r="B41" s="43" t="str">
        <f>VLOOKUP(Mentor_Connect[[#This Row],[Venture Name]],[1]!VenturesList[#All],2,FALSE)</f>
        <v>Accelerate Prime</v>
      </c>
      <c r="C41" s="250">
        <f>VLOOKUP(Mentor_Connect[[#This Row],[Venture Name]],[1]!VenturesList[#All],3,FALSE)</f>
        <v>45839</v>
      </c>
      <c r="D41" s="251" t="str">
        <f>VLOOKUP(Mentor_Connect[[#This Row],[Venture Name]],[1]!VenturesList[#All],5,FALSE)</f>
        <v>Shruti Modi</v>
      </c>
      <c r="E41" s="50" t="s">
        <v>97</v>
      </c>
      <c r="F41" s="252" t="s">
        <v>18</v>
      </c>
      <c r="G41" s="253">
        <v>45919</v>
      </c>
      <c r="H41" s="217"/>
      <c r="I41" s="253"/>
      <c r="J41" s="283">
        <v>45919</v>
      </c>
      <c r="K41" s="255">
        <v>45996</v>
      </c>
      <c r="L41" s="239" t="s">
        <v>345</v>
      </c>
      <c r="M41" s="239">
        <v>45919</v>
      </c>
      <c r="N41" s="22"/>
      <c r="O41" s="256" t="s">
        <v>925</v>
      </c>
      <c r="P41" s="28" t="s">
        <v>358</v>
      </c>
      <c r="Q41" s="257">
        <v>115012660017</v>
      </c>
      <c r="R41" s="43" t="s">
        <v>913</v>
      </c>
      <c r="S41" s="43" t="s">
        <v>159</v>
      </c>
      <c r="T41" s="271" t="s">
        <v>160</v>
      </c>
      <c r="U41" s="43" t="s">
        <v>161</v>
      </c>
      <c r="V41" s="258" t="s">
        <v>986</v>
      </c>
      <c r="W41" s="258"/>
      <c r="X41" s="258" t="s">
        <v>432</v>
      </c>
      <c r="Y41" s="258" t="s">
        <v>432</v>
      </c>
      <c r="Z41" s="260"/>
      <c r="AA41" s="251" t="s">
        <v>885</v>
      </c>
      <c r="AB41" s="260"/>
      <c r="AC41" s="260"/>
      <c r="AD41" s="260"/>
      <c r="AE41" s="260"/>
      <c r="AF41" s="260"/>
      <c r="AG41" s="260"/>
      <c r="AH41" s="342" t="s">
        <v>987</v>
      </c>
      <c r="AI41" s="9" t="s">
        <v>916</v>
      </c>
      <c r="AJ41" s="225">
        <f>IF(ISBLANK(Mentor_Connect[[#This Row],[Meeting Date]]),"",Mentor_Connect[[#This Row],[Meeting Date]]-WEEKDAY(Mentor_Connect[[#This Row],[Meeting Date]],2)+1)</f>
        <v>45992</v>
      </c>
      <c r="AK41" s="222">
        <f>IF(ISBLANK(Mentor_Connect[[#This Row],[Preferred Mentor Selected On]]),"",Mentor_Connect[[#This Row],[Preferred Mentor Selected On]]-WEEKDAY(Mentor_Connect[[#This Row],[Preferred Mentor Selected On]],2)+1)</f>
        <v>45915</v>
      </c>
    </row>
    <row r="42" spans="1:37" ht="24.6" customHeight="1" x14ac:dyDescent="0.3">
      <c r="A42" s="8" t="s">
        <v>77</v>
      </c>
      <c r="B42" s="8" t="str">
        <f>VLOOKUP(Mentor_Connect[[#This Row],[Venture Name]],[1]!VenturesList[#All],2,FALSE)</f>
        <v>Accelerate Core</v>
      </c>
      <c r="C42" s="223">
        <f>VLOOKUP(Mentor_Connect[[#This Row],[Venture Name]],[1]!VenturesList[#All],3,FALSE)</f>
        <v>45870</v>
      </c>
      <c r="D42" s="8" t="str">
        <f>VLOOKUP(Mentor_Connect[[#This Row],[Venture Name]],[1]!VenturesList[#All],5,FALSE)</f>
        <v>Vignesh</v>
      </c>
      <c r="E42" s="216" t="s">
        <v>98</v>
      </c>
      <c r="F42" s="216" t="s">
        <v>18</v>
      </c>
      <c r="G42" s="217">
        <v>45919</v>
      </c>
      <c r="H42" s="217">
        <v>45940</v>
      </c>
      <c r="I42" s="217">
        <v>45940</v>
      </c>
      <c r="J42" s="225">
        <v>46066</v>
      </c>
      <c r="K42" s="225">
        <v>46069</v>
      </c>
      <c r="L42" s="217" t="s">
        <v>345</v>
      </c>
      <c r="M42" s="217">
        <v>45870</v>
      </c>
      <c r="N42" s="20"/>
      <c r="O42" s="343" t="s">
        <v>988</v>
      </c>
      <c r="P42" s="9"/>
      <c r="Q42" s="129"/>
      <c r="R42" s="2" t="s">
        <v>989</v>
      </c>
      <c r="S42" s="344" t="s">
        <v>146</v>
      </c>
      <c r="T42" s="345" t="s">
        <v>990</v>
      </c>
      <c r="U42" s="346">
        <v>8130981287</v>
      </c>
      <c r="V42" s="2" t="s">
        <v>991</v>
      </c>
      <c r="W42" s="2"/>
      <c r="X42" s="53" t="s">
        <v>992</v>
      </c>
      <c r="Y42" s="53" t="s">
        <v>993</v>
      </c>
      <c r="Z42" s="9" t="s">
        <v>966</v>
      </c>
      <c r="AA42" s="8"/>
      <c r="AB42" s="9"/>
      <c r="AC42" s="9"/>
      <c r="AD42" s="9"/>
      <c r="AE42" s="9"/>
      <c r="AF42" s="9"/>
      <c r="AG42" s="9"/>
      <c r="AH42" s="9"/>
      <c r="AI42" s="9" t="s">
        <v>916</v>
      </c>
      <c r="AJ42" s="225">
        <f>IF(ISBLANK(Mentor_Connect[[#This Row],[Meeting Date]]),"",Mentor_Connect[[#This Row],[Meeting Date]]-WEEKDAY(Mentor_Connect[[#This Row],[Meeting Date]],2)+1)</f>
        <v>46069</v>
      </c>
      <c r="AK42" s="222">
        <f>IF(ISBLANK(Mentor_Connect[[#This Row],[Preferred Mentor Selected On]]),"",Mentor_Connect[[#This Row],[Preferred Mentor Selected On]]-WEEKDAY(Mentor_Connect[[#This Row],[Preferred Mentor Selected On]],2)+1)</f>
        <v>46062</v>
      </c>
    </row>
    <row r="43" spans="1:37" ht="24.6" customHeight="1" x14ac:dyDescent="0.3">
      <c r="A43" s="198" t="s">
        <v>27</v>
      </c>
      <c r="B43" s="251" t="str">
        <f>VLOOKUP(Mentor_Connect[[#This Row],[Venture Name]],[1]!VenturesList[#All],2,FALSE)</f>
        <v>Accelerate Core</v>
      </c>
      <c r="C43" s="282">
        <f>VLOOKUP(Mentor_Connect[[#This Row],[Venture Name]],[1]!VenturesList[#All],3,FALSE)</f>
        <v>45870</v>
      </c>
      <c r="D43" s="251" t="str">
        <f>VLOOKUP(Mentor_Connect[[#This Row],[Venture Name]],[1]!VenturesList[#All],5,FALSE)</f>
        <v>Balasubramanian S</v>
      </c>
      <c r="E43" s="50" t="s">
        <v>99</v>
      </c>
      <c r="F43" s="252" t="s">
        <v>18</v>
      </c>
      <c r="G43" s="253">
        <v>45919</v>
      </c>
      <c r="H43" s="253">
        <v>45940</v>
      </c>
      <c r="I43" s="253">
        <v>45940</v>
      </c>
      <c r="J43" s="219">
        <v>45961</v>
      </c>
      <c r="K43" s="283">
        <v>46010</v>
      </c>
      <c r="L43" s="218" t="s">
        <v>345</v>
      </c>
      <c r="M43" s="218">
        <v>45961</v>
      </c>
      <c r="N43" s="347" t="s">
        <v>994</v>
      </c>
      <c r="O43" s="258" t="s">
        <v>995</v>
      </c>
      <c r="P43" s="260"/>
      <c r="Q43" s="269">
        <v>115034932805</v>
      </c>
      <c r="R43" s="43" t="s">
        <v>913</v>
      </c>
      <c r="S43" s="348" t="s">
        <v>302</v>
      </c>
      <c r="T43" s="349" t="s">
        <v>303</v>
      </c>
      <c r="U43" s="350" t="s">
        <v>304</v>
      </c>
      <c r="V43" s="251"/>
      <c r="W43" s="251"/>
      <c r="X43" s="271" t="s">
        <v>996</v>
      </c>
      <c r="Y43" s="271" t="s">
        <v>997</v>
      </c>
      <c r="Z43" s="260"/>
      <c r="AA43" s="251"/>
      <c r="AB43" s="260"/>
      <c r="AC43" s="260"/>
      <c r="AD43" s="260"/>
      <c r="AE43" s="260"/>
      <c r="AF43" s="260"/>
      <c r="AG43" s="260"/>
      <c r="AH43" s="260"/>
      <c r="AI43" s="9" t="s">
        <v>916</v>
      </c>
      <c r="AJ43" s="225">
        <f>IF(ISBLANK(Mentor_Connect[[#This Row],[Meeting Date]]),"",Mentor_Connect[[#This Row],[Meeting Date]]-WEEKDAY(Mentor_Connect[[#This Row],[Meeting Date]],2)+1)</f>
        <v>46006</v>
      </c>
      <c r="AK43" s="222">
        <f>IF(ISBLANK(Mentor_Connect[[#This Row],[Preferred Mentor Selected On]]),"",Mentor_Connect[[#This Row],[Preferred Mentor Selected On]]-WEEKDAY(Mentor_Connect[[#This Row],[Preferred Mentor Selected On]],2)+1)</f>
        <v>45957</v>
      </c>
    </row>
    <row r="44" spans="1:37" ht="24.6" customHeight="1" x14ac:dyDescent="0.3">
      <c r="A44" s="243" t="s">
        <v>216</v>
      </c>
      <c r="B44" s="243" t="str">
        <f>VLOOKUP(Mentor_Connect[[#This Row],[Venture Name]],[1]!VenturesList[#All],2,FALSE)</f>
        <v>Accelerate Core</v>
      </c>
      <c r="C44" s="351">
        <f>VLOOKUP(Mentor_Connect[[#This Row],[Venture Name]],[1]!VenturesList[#All],3,FALSE)</f>
        <v>45901</v>
      </c>
      <c r="D44" s="237" t="str">
        <f>VLOOKUP(Mentor_Connect[[#This Row],[Venture Name]],[1]!VenturesList[#All],5,FALSE)</f>
        <v>Balasubramanian S</v>
      </c>
      <c r="E44" s="238"/>
      <c r="F44" s="238" t="s">
        <v>434</v>
      </c>
      <c r="G44" s="21"/>
      <c r="H44" s="21"/>
      <c r="I44" s="21"/>
      <c r="J44" s="21"/>
      <c r="K44" s="240"/>
      <c r="L44" s="239"/>
      <c r="M44" s="239"/>
      <c r="N44" s="340"/>
      <c r="O44" s="241"/>
      <c r="P44" s="21"/>
      <c r="Q44" s="242"/>
      <c r="R44" s="237"/>
      <c r="S44" s="21"/>
      <c r="T44" s="237"/>
      <c r="U44" s="237"/>
      <c r="V44" s="237"/>
      <c r="W44" s="237"/>
      <c r="X44" s="237"/>
      <c r="Y44" s="237"/>
      <c r="Z44" s="21"/>
      <c r="AA44" s="237"/>
      <c r="AB44" s="21"/>
      <c r="AC44" s="21"/>
      <c r="AD44" s="21"/>
      <c r="AE44" s="21"/>
      <c r="AF44" s="21"/>
      <c r="AG44" s="21"/>
      <c r="AH44" s="21"/>
      <c r="AI44" s="9"/>
      <c r="AJ44" s="225" t="str">
        <f>IF(ISBLANK(Mentor_Connect[[#This Row],[Meeting Date]]),"",Mentor_Connect[[#This Row],[Meeting Date]]-WEEKDAY(Mentor_Connect[[#This Row],[Meeting Date]],2)+1)</f>
        <v/>
      </c>
      <c r="AK44" s="222" t="str">
        <f>IF(ISBLANK(Mentor_Connect[[#This Row],[Preferred Mentor Selected On]]),"",Mentor_Connect[[#This Row],[Preferred Mentor Selected On]]-WEEKDAY(Mentor_Connect[[#This Row],[Preferred Mentor Selected On]],2)+1)</f>
        <v/>
      </c>
    </row>
    <row r="45" spans="1:37" ht="24.6" customHeight="1" x14ac:dyDescent="0.3">
      <c r="A45" s="352" t="s">
        <v>27</v>
      </c>
      <c r="B45" s="8" t="str">
        <f>VLOOKUP(Mentor_Connect[[#This Row],[Venture Name]],[1]!VenturesList[#All],2,FALSE)</f>
        <v>Accelerate Core</v>
      </c>
      <c r="C45" s="223">
        <f>VLOOKUP(Mentor_Connect[[#This Row],[Venture Name]],[1]!VenturesList[#All],3,FALSE)</f>
        <v>45870</v>
      </c>
      <c r="D45" s="8" t="str">
        <f>VLOOKUP(Mentor_Connect[[#This Row],[Venture Name]],[1]!VenturesList[#All],5,FALSE)</f>
        <v>Balasubramanian S</v>
      </c>
      <c r="E45" s="3" t="s">
        <v>100</v>
      </c>
      <c r="F45" s="216" t="s">
        <v>18</v>
      </c>
      <c r="G45" s="217">
        <v>45919</v>
      </c>
      <c r="H45" s="217">
        <v>45940</v>
      </c>
      <c r="I45" s="217">
        <v>45940</v>
      </c>
      <c r="J45" s="225">
        <v>45961</v>
      </c>
      <c r="K45" s="225">
        <v>46041</v>
      </c>
      <c r="L45" s="217" t="s">
        <v>345</v>
      </c>
      <c r="M45" s="217">
        <v>45961</v>
      </c>
      <c r="N45" s="20" t="s">
        <v>998</v>
      </c>
      <c r="O45" s="262" t="s">
        <v>999</v>
      </c>
      <c r="P45" s="9"/>
      <c r="Q45" s="129">
        <v>115025883593</v>
      </c>
      <c r="R45" s="277" t="s">
        <v>913</v>
      </c>
      <c r="S45" s="353" t="s">
        <v>302</v>
      </c>
      <c r="T45" s="354" t="s">
        <v>303</v>
      </c>
      <c r="U45" s="355" t="s">
        <v>304</v>
      </c>
      <c r="V45" s="2" t="s">
        <v>1000</v>
      </c>
      <c r="W45" s="2"/>
      <c r="X45" s="53" t="s">
        <v>1001</v>
      </c>
      <c r="Y45" s="53" t="s">
        <v>1002</v>
      </c>
      <c r="Z45" s="9" t="s">
        <v>943</v>
      </c>
      <c r="AA45" s="8"/>
      <c r="AB45" s="9"/>
      <c r="AC45" s="9"/>
      <c r="AD45" s="9"/>
      <c r="AE45" s="9"/>
      <c r="AF45" s="9"/>
      <c r="AG45" s="9"/>
      <c r="AH45" s="9"/>
      <c r="AI45" s="9" t="s">
        <v>916</v>
      </c>
      <c r="AJ45" s="225">
        <f>IF(ISBLANK(Mentor_Connect[[#This Row],[Meeting Date]]),"",Mentor_Connect[[#This Row],[Meeting Date]]-WEEKDAY(Mentor_Connect[[#This Row],[Meeting Date]],2)+1)</f>
        <v>46041</v>
      </c>
      <c r="AK45" s="222">
        <f>IF(ISBLANK(Mentor_Connect[[#This Row],[Preferred Mentor Selected On]]),"",Mentor_Connect[[#This Row],[Preferred Mentor Selected On]]-WEEKDAY(Mentor_Connect[[#This Row],[Preferred Mentor Selected On]],2)+1)</f>
        <v>45957</v>
      </c>
    </row>
    <row r="46" spans="1:37" ht="24.6" customHeight="1" x14ac:dyDescent="0.3">
      <c r="A46" s="198" t="s">
        <v>27</v>
      </c>
      <c r="B46" s="251" t="str">
        <f>VLOOKUP(Mentor_Connect[[#This Row],[Venture Name]],[1]!VenturesList[#All],2,FALSE)</f>
        <v>Accelerate Core</v>
      </c>
      <c r="C46" s="282">
        <f>VLOOKUP(Mentor_Connect[[#This Row],[Venture Name]],[1]!VenturesList[#All],3,FALSE)</f>
        <v>45870</v>
      </c>
      <c r="D46" s="251" t="str">
        <f>VLOOKUP(Mentor_Connect[[#This Row],[Venture Name]],[1]!VenturesList[#All],5,FALSE)</f>
        <v>Balasubramanian S</v>
      </c>
      <c r="E46" s="50" t="s">
        <v>87</v>
      </c>
      <c r="F46" s="252" t="s">
        <v>18</v>
      </c>
      <c r="G46" s="253">
        <v>45919</v>
      </c>
      <c r="H46" s="253">
        <v>45940</v>
      </c>
      <c r="I46" s="253">
        <v>45940</v>
      </c>
      <c r="J46" s="283">
        <v>45961</v>
      </c>
      <c r="K46" s="283">
        <v>46057</v>
      </c>
      <c r="L46" s="218" t="s">
        <v>345</v>
      </c>
      <c r="M46" s="218">
        <v>45961</v>
      </c>
      <c r="N46" s="347" t="s">
        <v>1003</v>
      </c>
      <c r="O46" s="356" t="s">
        <v>1004</v>
      </c>
      <c r="P46" s="260"/>
      <c r="Q46" s="269">
        <v>115010656706</v>
      </c>
      <c r="R46" s="43" t="s">
        <v>913</v>
      </c>
      <c r="S46" s="357" t="s">
        <v>302</v>
      </c>
      <c r="T46" s="358" t="s">
        <v>303</v>
      </c>
      <c r="U46" s="359" t="s">
        <v>304</v>
      </c>
      <c r="V46" s="360" t="s">
        <v>1005</v>
      </c>
      <c r="W46" s="360"/>
      <c r="X46" s="361" t="s">
        <v>1006</v>
      </c>
      <c r="Y46" s="27" t="s">
        <v>1007</v>
      </c>
      <c r="Z46" s="362" t="s">
        <v>943</v>
      </c>
      <c r="AA46" s="279" t="s">
        <v>441</v>
      </c>
      <c r="AB46" s="253">
        <v>46069</v>
      </c>
      <c r="AC46" s="253">
        <v>46121</v>
      </c>
      <c r="AD46" s="253">
        <v>46121</v>
      </c>
      <c r="AE46" s="253">
        <v>46125</v>
      </c>
      <c r="AF46" s="253"/>
      <c r="AG46" s="253" t="s">
        <v>484</v>
      </c>
      <c r="AH46" s="292" t="s">
        <v>443</v>
      </c>
      <c r="AI46" s="9" t="s">
        <v>937</v>
      </c>
      <c r="AJ46" s="225">
        <f>IF(ISBLANK(Mentor_Connect[[#This Row],[Meeting Date]]),"",Mentor_Connect[[#This Row],[Meeting Date]]-WEEKDAY(Mentor_Connect[[#This Row],[Meeting Date]],2)+1)</f>
        <v>46055</v>
      </c>
      <c r="AK46" s="222">
        <f>IF(ISBLANK(Mentor_Connect[[#This Row],[Preferred Mentor Selected On]]),"",Mentor_Connect[[#This Row],[Preferred Mentor Selected On]]-WEEKDAY(Mentor_Connect[[#This Row],[Preferred Mentor Selected On]],2)+1)</f>
        <v>45957</v>
      </c>
    </row>
    <row r="47" spans="1:37" ht="24.6" customHeight="1" x14ac:dyDescent="0.3">
      <c r="A47" s="8" t="s">
        <v>306</v>
      </c>
      <c r="B47" s="8" t="str">
        <f>VLOOKUP(Mentor_Connect[[#This Row],[Venture Name]],[1]!VenturesList[#All],2,FALSE)</f>
        <v>Accelerate Core</v>
      </c>
      <c r="C47" s="223">
        <f>VLOOKUP(Mentor_Connect[[#This Row],[Venture Name]],[1]!VenturesList[#All],3,FALSE)</f>
        <v>45870</v>
      </c>
      <c r="D47" s="8" t="str">
        <f>VLOOKUP(Mentor_Connect[[#This Row],[Venture Name]],[1]!VenturesList[#All],5,FALSE)</f>
        <v>Vignesh</v>
      </c>
      <c r="E47" s="216" t="s">
        <v>950</v>
      </c>
      <c r="F47" s="216" t="s">
        <v>444</v>
      </c>
      <c r="G47" s="253">
        <v>45923</v>
      </c>
      <c r="H47" s="253">
        <v>45939</v>
      </c>
      <c r="I47" s="253">
        <v>45939</v>
      </c>
      <c r="J47" s="225">
        <v>45870</v>
      </c>
      <c r="K47" s="225"/>
      <c r="L47" s="218" t="s">
        <v>358</v>
      </c>
      <c r="M47" s="217">
        <v>45870</v>
      </c>
      <c r="N47" s="226"/>
      <c r="O47" s="6" t="s">
        <v>1008</v>
      </c>
      <c r="P47" s="9"/>
      <c r="Q47" s="129"/>
      <c r="R47" s="8"/>
      <c r="S47" s="9"/>
      <c r="T47" s="8"/>
      <c r="U47" s="8"/>
      <c r="V47" s="8"/>
      <c r="W47" s="8"/>
      <c r="X47" s="8"/>
      <c r="Y47" s="8"/>
      <c r="Z47" s="9"/>
      <c r="AA47" s="8"/>
      <c r="AB47" s="9"/>
      <c r="AC47" s="9"/>
      <c r="AD47" s="9"/>
      <c r="AE47" s="9"/>
      <c r="AF47" s="9"/>
      <c r="AG47" s="9"/>
      <c r="AH47" s="9"/>
      <c r="AI47" s="9"/>
      <c r="AJ47" s="225" t="str">
        <f>IF(ISBLANK(Mentor_Connect[[#This Row],[Meeting Date]]),"",Mentor_Connect[[#This Row],[Meeting Date]]-WEEKDAY(Mentor_Connect[[#This Row],[Meeting Date]],2)+1)</f>
        <v/>
      </c>
      <c r="AK47" s="222">
        <f>IF(ISBLANK(Mentor_Connect[[#This Row],[Preferred Mentor Selected On]]),"",Mentor_Connect[[#This Row],[Preferred Mentor Selected On]]-WEEKDAY(Mentor_Connect[[#This Row],[Preferred Mentor Selected On]],2)+1)</f>
        <v>45866</v>
      </c>
    </row>
    <row r="48" spans="1:37" ht="24.6" customHeight="1" x14ac:dyDescent="0.3">
      <c r="A48" s="363" t="s">
        <v>40</v>
      </c>
      <c r="B48" s="363" t="str">
        <f>VLOOKUP(Mentor_Connect[[#This Row],[Venture Name]],[1]!VenturesList[#All],2,FALSE)</f>
        <v>Accelerate Core</v>
      </c>
      <c r="C48" s="236">
        <f>VLOOKUP(Mentor_Connect[[#This Row],[Venture Name]],[1]!VenturesList[#All],3,FALSE)</f>
        <v>45870</v>
      </c>
      <c r="D48" s="364" t="str">
        <f>VLOOKUP(Mentor_Connect[[#This Row],[Venture Name]],[1]!VenturesList[#All],5,FALSE)</f>
        <v xml:space="preserve">Kedar </v>
      </c>
      <c r="E48" s="39" t="s">
        <v>5</v>
      </c>
      <c r="F48" s="238" t="s">
        <v>18</v>
      </c>
      <c r="G48" s="239">
        <v>45924</v>
      </c>
      <c r="H48" s="239">
        <v>45939</v>
      </c>
      <c r="I48" s="239">
        <v>45939</v>
      </c>
      <c r="J48" s="365">
        <v>45942</v>
      </c>
      <c r="K48" s="230">
        <v>45945</v>
      </c>
      <c r="L48" s="239" t="s">
        <v>345</v>
      </c>
      <c r="M48" s="239">
        <v>45942</v>
      </c>
      <c r="N48" s="40"/>
      <c r="O48" s="40"/>
      <c r="P48" s="25" t="s">
        <v>358</v>
      </c>
      <c r="Q48" s="322">
        <v>115006013586</v>
      </c>
      <c r="R48" s="38" t="s">
        <v>913</v>
      </c>
      <c r="S48" s="38" t="s">
        <v>284</v>
      </c>
      <c r="T48" s="323" t="s">
        <v>285</v>
      </c>
      <c r="U48" s="38">
        <v>9552435003</v>
      </c>
      <c r="V48" s="22" t="s">
        <v>1009</v>
      </c>
      <c r="W48" s="22"/>
      <c r="X48" s="22" t="s">
        <v>432</v>
      </c>
      <c r="Y48" s="22" t="s">
        <v>432</v>
      </c>
      <c r="Z48" s="21"/>
      <c r="AA48" s="237"/>
      <c r="AB48" s="21"/>
      <c r="AC48" s="21"/>
      <c r="AD48" s="21"/>
      <c r="AE48" s="21"/>
      <c r="AF48" s="21"/>
      <c r="AG48" s="21"/>
      <c r="AH48" s="8" t="s">
        <v>433</v>
      </c>
      <c r="AI48" s="9" t="s">
        <v>916</v>
      </c>
      <c r="AJ48" s="225">
        <f>IF(ISBLANK(Mentor_Connect[[#This Row],[Meeting Date]]),"",Mentor_Connect[[#This Row],[Meeting Date]]-WEEKDAY(Mentor_Connect[[#This Row],[Meeting Date]],2)+1)</f>
        <v>45943</v>
      </c>
      <c r="AK48" s="222">
        <f>IF(ISBLANK(Mentor_Connect[[#This Row],[Preferred Mentor Selected On]]),"",Mentor_Connect[[#This Row],[Preferred Mentor Selected On]]-WEEKDAY(Mentor_Connect[[#This Row],[Preferred Mentor Selected On]],2)+1)</f>
        <v>45936</v>
      </c>
    </row>
    <row r="49" spans="1:37" ht="24.6" customHeight="1" x14ac:dyDescent="0.3">
      <c r="A49" s="8" t="s">
        <v>40</v>
      </c>
      <c r="B49" s="8" t="str">
        <f>VLOOKUP(Mentor_Connect[[#This Row],[Venture Name]],[1]!VenturesList[#All],2,FALSE)</f>
        <v>Accelerate Core</v>
      </c>
      <c r="C49" s="223">
        <f>VLOOKUP(Mentor_Connect[[#This Row],[Venture Name]],[1]!VenturesList[#All],3,FALSE)</f>
        <v>45870</v>
      </c>
      <c r="D49" s="8" t="str">
        <f>VLOOKUP(Mentor_Connect[[#This Row],[Venture Name]],[1]!VenturesList[#All],5,FALSE)</f>
        <v xml:space="preserve">Kedar </v>
      </c>
      <c r="E49" s="216" t="s">
        <v>96</v>
      </c>
      <c r="F49" s="216" t="s">
        <v>18</v>
      </c>
      <c r="G49" s="217">
        <v>45924</v>
      </c>
      <c r="H49" s="217">
        <v>45939</v>
      </c>
      <c r="I49" s="217">
        <v>45939</v>
      </c>
      <c r="J49" s="261">
        <v>45942</v>
      </c>
      <c r="K49" s="225">
        <v>46014</v>
      </c>
      <c r="L49" s="217" t="s">
        <v>345</v>
      </c>
      <c r="M49" s="217">
        <v>45942</v>
      </c>
      <c r="N49" s="20"/>
      <c r="O49" s="6" t="s">
        <v>1010</v>
      </c>
      <c r="P49" s="9"/>
      <c r="Q49" s="129">
        <v>115012289070</v>
      </c>
      <c r="R49" s="8" t="s">
        <v>913</v>
      </c>
      <c r="S49" s="30" t="s">
        <v>284</v>
      </c>
      <c r="T49" s="233" t="s">
        <v>285</v>
      </c>
      <c r="U49" s="248">
        <v>9552435003</v>
      </c>
      <c r="V49" s="2" t="s">
        <v>1011</v>
      </c>
      <c r="W49" s="2"/>
      <c r="X49" s="53" t="s">
        <v>1012</v>
      </c>
      <c r="Y49" s="53" t="s">
        <v>1013</v>
      </c>
      <c r="Z49" s="9"/>
      <c r="AA49" s="8" t="s">
        <v>937</v>
      </c>
      <c r="AB49" s="217">
        <v>46026</v>
      </c>
      <c r="AC49" s="217"/>
      <c r="AD49" s="217"/>
      <c r="AE49" s="217"/>
      <c r="AF49" s="217">
        <v>46093</v>
      </c>
      <c r="AG49" s="217" t="s">
        <v>984</v>
      </c>
      <c r="AH49" s="217"/>
      <c r="AI49" s="9" t="s">
        <v>937</v>
      </c>
      <c r="AJ49" s="225">
        <f>IF(ISBLANK(Mentor_Connect[[#This Row],[Meeting Date]]),"",Mentor_Connect[[#This Row],[Meeting Date]]-WEEKDAY(Mentor_Connect[[#This Row],[Meeting Date]],2)+1)</f>
        <v>46013</v>
      </c>
      <c r="AK49" s="222">
        <f>IF(ISBLANK(Mentor_Connect[[#This Row],[Preferred Mentor Selected On]]),"",Mentor_Connect[[#This Row],[Preferred Mentor Selected On]]-WEEKDAY(Mentor_Connect[[#This Row],[Preferred Mentor Selected On]],2)+1)</f>
        <v>45936</v>
      </c>
    </row>
    <row r="50" spans="1:37" ht="24.6" customHeight="1" x14ac:dyDescent="0.3">
      <c r="A50" s="273" t="s">
        <v>163</v>
      </c>
      <c r="B50" s="273" t="str">
        <f>VLOOKUP(Mentor_Connect[[#This Row],[Venture Name]],[1]!VenturesList[#All],2,FALSE)</f>
        <v>Accelerate Prime</v>
      </c>
      <c r="C50" s="274">
        <f>VLOOKUP(Mentor_Connect[[#This Row],[Venture Name]],[1]!VenturesList[#All],3,FALSE)</f>
        <v>45992</v>
      </c>
      <c r="D50" s="8" t="str">
        <f>VLOOKUP(Mentor_Connect[[#This Row],[Venture Name]],[1]!VenturesList[#All],5,FALSE)</f>
        <v>Kedar</v>
      </c>
      <c r="E50" s="216"/>
      <c r="F50" s="216" t="s">
        <v>434</v>
      </c>
      <c r="G50" s="9"/>
      <c r="H50" s="9"/>
      <c r="I50" s="9"/>
      <c r="J50" s="223">
        <v>45992</v>
      </c>
      <c r="K50" s="225"/>
      <c r="L50" s="217" t="s">
        <v>358</v>
      </c>
      <c r="M50" s="217">
        <v>45992</v>
      </c>
      <c r="N50" s="20"/>
      <c r="O50" s="44" t="s">
        <v>925</v>
      </c>
      <c r="P50" s="9"/>
      <c r="Q50" s="129"/>
      <c r="R50" s="8"/>
      <c r="S50" s="9"/>
      <c r="T50" s="8"/>
      <c r="U50" s="8"/>
      <c r="V50" s="8"/>
      <c r="W50" s="8"/>
      <c r="X50" s="8"/>
      <c r="Y50" s="8"/>
      <c r="Z50" s="9"/>
      <c r="AB50" s="9"/>
      <c r="AC50" s="9"/>
      <c r="AD50" s="9"/>
      <c r="AE50" s="9"/>
      <c r="AF50" s="9"/>
      <c r="AG50" s="9"/>
      <c r="AH50" s="9"/>
      <c r="AI50" s="9"/>
      <c r="AJ50" s="225" t="str">
        <f>IF(ISBLANK(Mentor_Connect[[#This Row],[Meeting Date]]),"",Mentor_Connect[[#This Row],[Meeting Date]]-WEEKDAY(Mentor_Connect[[#This Row],[Meeting Date]],2)+1)</f>
        <v/>
      </c>
      <c r="AK50" s="222">
        <f>IF(ISBLANK(Mentor_Connect[[#This Row],[Preferred Mentor Selected On]]),"",Mentor_Connect[[#This Row],[Preferred Mentor Selected On]]-WEEKDAY(Mentor_Connect[[#This Row],[Preferred Mentor Selected On]],2)+1)</f>
        <v>45992</v>
      </c>
    </row>
    <row r="51" spans="1:37" ht="24.6" customHeight="1" x14ac:dyDescent="0.3">
      <c r="A51" s="366" t="s">
        <v>217</v>
      </c>
      <c r="B51" s="366" t="str">
        <f>VLOOKUP(Mentor_Connect[[#This Row],[Venture Name]],[1]!VenturesList[#All],2,FALSE)</f>
        <v>Accelerate Core</v>
      </c>
      <c r="C51" s="367">
        <f>VLOOKUP(Mentor_Connect[[#This Row],[Venture Name]],[1]!VenturesList[#All],3,FALSE)</f>
        <v>45839</v>
      </c>
      <c r="D51" s="251" t="str">
        <f>VLOOKUP(Mentor_Connect[[#This Row],[Venture Name]],[1]!VenturesList[#All],5,FALSE)</f>
        <v>Satabdi Pratikshya</v>
      </c>
      <c r="E51" s="252"/>
      <c r="F51" s="252" t="s">
        <v>434</v>
      </c>
      <c r="G51" s="260"/>
      <c r="H51" s="260"/>
      <c r="I51" s="260"/>
      <c r="J51" s="260"/>
      <c r="K51" s="283"/>
      <c r="L51" s="253"/>
      <c r="M51" s="253"/>
      <c r="N51" s="267"/>
      <c r="O51" s="267"/>
      <c r="P51" s="260"/>
      <c r="Q51" s="269"/>
      <c r="R51" s="251"/>
      <c r="S51" s="260"/>
      <c r="T51" s="251"/>
      <c r="U51" s="251"/>
      <c r="V51" s="368"/>
      <c r="W51" s="368"/>
      <c r="X51" s="368"/>
      <c r="Y51" s="368"/>
      <c r="Z51" s="260"/>
      <c r="AB51" s="260"/>
      <c r="AC51" s="260"/>
      <c r="AD51" s="260"/>
      <c r="AE51" s="260"/>
      <c r="AF51" s="260"/>
      <c r="AG51" s="260"/>
      <c r="AH51" s="260"/>
      <c r="AI51" s="9"/>
      <c r="AJ51" s="225" t="str">
        <f>IF(ISBLANK(Mentor_Connect[[#This Row],[Meeting Date]]),"",Mentor_Connect[[#This Row],[Meeting Date]]-WEEKDAY(Mentor_Connect[[#This Row],[Meeting Date]],2)+1)</f>
        <v/>
      </c>
      <c r="AK51" s="222" t="str">
        <f>IF(ISBLANK(Mentor_Connect[[#This Row],[Preferred Mentor Selected On]]),"",Mentor_Connect[[#This Row],[Preferred Mentor Selected On]]-WEEKDAY(Mentor_Connect[[#This Row],[Preferred Mentor Selected On]],2)+1)</f>
        <v/>
      </c>
    </row>
    <row r="52" spans="1:37" ht="24.6" customHeight="1" x14ac:dyDescent="0.3">
      <c r="A52" s="2" t="s">
        <v>66</v>
      </c>
      <c r="B52" s="2" t="str">
        <f>VLOOKUP(Mentor_Connect[[#This Row],[Venture Name]],[1]!VenturesList[#All],2,FALSE)</f>
        <v>Accelerate Prime</v>
      </c>
      <c r="C52" s="1">
        <f>VLOOKUP(Mentor_Connect[[#This Row],[Venture Name]],[1]!VenturesList[#All],3,FALSE)</f>
        <v>45839</v>
      </c>
      <c r="D52" s="8" t="str">
        <f>VLOOKUP(Mentor_Connect[[#This Row],[Venture Name]],[1]!VenturesList[#All],5,FALSE)</f>
        <v>Kedar</v>
      </c>
      <c r="E52" s="3" t="s">
        <v>89</v>
      </c>
      <c r="F52" s="216" t="s">
        <v>18</v>
      </c>
      <c r="G52" s="217">
        <v>45924</v>
      </c>
      <c r="H52" s="217"/>
      <c r="I52" s="217"/>
      <c r="J52" s="225">
        <v>45924</v>
      </c>
      <c r="K52" s="220">
        <v>45948</v>
      </c>
      <c r="L52" s="217" t="s">
        <v>345</v>
      </c>
      <c r="M52" s="217">
        <v>45924</v>
      </c>
      <c r="N52" s="4"/>
      <c r="O52" s="60" t="s">
        <v>925</v>
      </c>
      <c r="P52" s="5" t="s">
        <v>358</v>
      </c>
      <c r="Q52" s="10">
        <v>115006764647</v>
      </c>
      <c r="R52" s="2" t="s">
        <v>913</v>
      </c>
      <c r="S52" s="2" t="s">
        <v>201</v>
      </c>
      <c r="T52" s="246" t="s">
        <v>202</v>
      </c>
      <c r="U52" s="2">
        <v>7977012055</v>
      </c>
      <c r="V52" s="6" t="s">
        <v>1014</v>
      </c>
      <c r="W52" s="6"/>
      <c r="X52" s="6" t="s">
        <v>432</v>
      </c>
      <c r="Y52" s="6" t="s">
        <v>432</v>
      </c>
      <c r="Z52" s="9"/>
      <c r="AA52" s="8" t="s">
        <v>441</v>
      </c>
      <c r="AB52" s="218">
        <v>46130</v>
      </c>
      <c r="AC52" s="218">
        <v>46132</v>
      </c>
      <c r="AD52" s="218">
        <v>46132</v>
      </c>
      <c r="AE52" s="218">
        <v>46132</v>
      </c>
      <c r="AF52" s="9"/>
      <c r="AG52" s="36" t="s">
        <v>886</v>
      </c>
      <c r="AH52" s="279" t="s">
        <v>941</v>
      </c>
      <c r="AI52" s="9" t="s">
        <v>937</v>
      </c>
      <c r="AJ52" s="225">
        <f>IF(ISBLANK(Mentor_Connect[[#This Row],[Meeting Date]]),"",Mentor_Connect[[#This Row],[Meeting Date]]-WEEKDAY(Mentor_Connect[[#This Row],[Meeting Date]],2)+1)</f>
        <v>45943</v>
      </c>
      <c r="AK52" s="222">
        <f>IF(ISBLANK(Mentor_Connect[[#This Row],[Preferred Mentor Selected On]]),"",Mentor_Connect[[#This Row],[Preferred Mentor Selected On]]-WEEKDAY(Mentor_Connect[[#This Row],[Preferred Mentor Selected On]],2)+1)</f>
        <v>45922</v>
      </c>
    </row>
    <row r="53" spans="1:37" ht="24.6" customHeight="1" x14ac:dyDescent="0.3">
      <c r="A53" s="8" t="s">
        <v>268</v>
      </c>
      <c r="B53" s="8" t="str">
        <f>VLOOKUP(Mentor_Connect[[#This Row],[Venture Name]],[1]!VenturesList[#All],2,FALSE)</f>
        <v>Accelerate Core</v>
      </c>
      <c r="C53" s="223">
        <f>VLOOKUP(Mentor_Connect[[#This Row],[Venture Name]],[1]!VenturesList[#All],3,FALSE)</f>
        <v>45901</v>
      </c>
      <c r="D53" s="8" t="str">
        <f>VLOOKUP(Mentor_Connect[[#This Row],[Venture Name]],[1]!VenturesList[#All],5,FALSE)</f>
        <v xml:space="preserve">Kedar </v>
      </c>
      <c r="E53" s="216" t="s">
        <v>950</v>
      </c>
      <c r="F53" s="216" t="s">
        <v>434</v>
      </c>
      <c r="G53" s="9"/>
      <c r="H53" s="9"/>
      <c r="I53" s="9"/>
      <c r="J53" s="217">
        <v>45901</v>
      </c>
      <c r="K53" s="225"/>
      <c r="L53" s="217" t="s">
        <v>358</v>
      </c>
      <c r="M53" s="217">
        <v>45901</v>
      </c>
      <c r="N53" s="20"/>
      <c r="O53" s="6" t="s">
        <v>1015</v>
      </c>
      <c r="P53" s="9"/>
      <c r="Q53" s="129"/>
      <c r="R53" s="8"/>
      <c r="S53" s="9"/>
      <c r="T53" s="8"/>
      <c r="U53" s="8"/>
      <c r="V53" s="8"/>
      <c r="W53" s="8"/>
      <c r="X53" s="8"/>
      <c r="Y53" s="8"/>
      <c r="Z53" s="9"/>
      <c r="AB53" s="9"/>
      <c r="AC53" s="9"/>
      <c r="AD53" s="9"/>
      <c r="AE53" s="9"/>
      <c r="AF53" s="9"/>
      <c r="AG53" s="9"/>
      <c r="AH53" s="9"/>
      <c r="AI53" s="9"/>
      <c r="AJ53" s="225" t="str">
        <f>IF(ISBLANK(Mentor_Connect[[#This Row],[Meeting Date]]),"",Mentor_Connect[[#This Row],[Meeting Date]]-WEEKDAY(Mentor_Connect[[#This Row],[Meeting Date]],2)+1)</f>
        <v/>
      </c>
      <c r="AK53" s="222">
        <f>IF(ISBLANK(Mentor_Connect[[#This Row],[Preferred Mentor Selected On]]),"",Mentor_Connect[[#This Row],[Preferred Mentor Selected On]]-WEEKDAY(Mentor_Connect[[#This Row],[Preferred Mentor Selected On]],2)+1)</f>
        <v>45901</v>
      </c>
    </row>
    <row r="54" spans="1:37" ht="24.6" customHeight="1" x14ac:dyDescent="0.3">
      <c r="A54" s="8" t="s">
        <v>66</v>
      </c>
      <c r="B54" s="8" t="str">
        <f>VLOOKUP(Mentor_Connect[[#This Row],[Venture Name]],[1]!VenturesList[#All],2,FALSE)</f>
        <v>Accelerate Prime</v>
      </c>
      <c r="C54" s="223">
        <f>VLOOKUP(Mentor_Connect[[#This Row],[Venture Name]],[1]!VenturesList[#All],3,FALSE)</f>
        <v>45839</v>
      </c>
      <c r="D54" s="8" t="str">
        <f>VLOOKUP(Mentor_Connect[[#This Row],[Venture Name]],[1]!VenturesList[#All],5,FALSE)</f>
        <v>Kedar</v>
      </c>
      <c r="E54" s="216"/>
      <c r="F54" s="216" t="s">
        <v>440</v>
      </c>
      <c r="G54" s="217">
        <v>45924</v>
      </c>
      <c r="H54" s="217"/>
      <c r="I54" s="217"/>
      <c r="J54" s="225">
        <v>45924</v>
      </c>
      <c r="K54" s="225"/>
      <c r="L54" s="217" t="s">
        <v>345</v>
      </c>
      <c r="M54" s="217">
        <v>45924</v>
      </c>
      <c r="N54" s="20"/>
      <c r="O54" s="159" t="s">
        <v>1016</v>
      </c>
      <c r="P54" s="9"/>
      <c r="Q54" s="129"/>
      <c r="R54" s="8"/>
      <c r="S54" s="9"/>
      <c r="T54" s="8"/>
      <c r="U54" s="8"/>
      <c r="V54" s="8"/>
      <c r="W54" s="8"/>
      <c r="X54" s="8"/>
      <c r="Y54" s="8"/>
      <c r="Z54" s="9"/>
      <c r="AB54" s="9"/>
      <c r="AC54" s="9"/>
      <c r="AD54" s="9"/>
      <c r="AE54" s="9"/>
      <c r="AF54" s="9"/>
      <c r="AG54" s="9"/>
      <c r="AH54" s="9"/>
      <c r="AI54" s="9"/>
      <c r="AJ54" s="225" t="str">
        <f>IF(ISBLANK(Mentor_Connect[[#This Row],[Meeting Date]]),"",Mentor_Connect[[#This Row],[Meeting Date]]-WEEKDAY(Mentor_Connect[[#This Row],[Meeting Date]],2)+1)</f>
        <v/>
      </c>
      <c r="AK54" s="222">
        <f>IF(ISBLANK(Mentor_Connect[[#This Row],[Preferred Mentor Selected On]]),"",Mentor_Connect[[#This Row],[Preferred Mentor Selected On]]-WEEKDAY(Mentor_Connect[[#This Row],[Preferred Mentor Selected On]],2)+1)</f>
        <v>45922</v>
      </c>
    </row>
    <row r="55" spans="1:37" ht="24.6" customHeight="1" x14ac:dyDescent="0.3">
      <c r="A55" s="8" t="s">
        <v>21</v>
      </c>
      <c r="B55" s="8" t="str">
        <f>VLOOKUP(Mentor_Connect[[#This Row],[Venture Name]],[1]!VenturesList[#All],2,FALSE)</f>
        <v>Accelerate Core</v>
      </c>
      <c r="C55" s="223">
        <f>VLOOKUP(Mentor_Connect[[#This Row],[Venture Name]],[1]!VenturesList[#All],3,FALSE)</f>
        <v>45870</v>
      </c>
      <c r="D55" s="337" t="str">
        <f>VLOOKUP(Mentor_Connect[[#This Row],[Venture Name]],[1]!VenturesList[#All],5,FALSE)</f>
        <v xml:space="preserve">Kedar </v>
      </c>
      <c r="E55" s="216" t="s">
        <v>101</v>
      </c>
      <c r="F55" s="216" t="s">
        <v>18</v>
      </c>
      <c r="G55" s="217">
        <v>45924</v>
      </c>
      <c r="H55" s="217">
        <v>45939</v>
      </c>
      <c r="I55" s="217">
        <v>45939</v>
      </c>
      <c r="J55" s="261">
        <v>45971</v>
      </c>
      <c r="K55" s="225">
        <v>46049</v>
      </c>
      <c r="L55" s="217" t="s">
        <v>345</v>
      </c>
      <c r="M55" s="217">
        <v>45971</v>
      </c>
      <c r="N55" s="20"/>
      <c r="O55" s="71" t="s">
        <v>1017</v>
      </c>
      <c r="P55" s="9"/>
      <c r="Q55" s="129">
        <v>115029762864</v>
      </c>
      <c r="R55" s="231" t="s">
        <v>913</v>
      </c>
      <c r="S55" s="353" t="s">
        <v>327</v>
      </c>
      <c r="T55" s="354" t="s">
        <v>328</v>
      </c>
      <c r="U55" s="132">
        <v>9822020629</v>
      </c>
      <c r="V55" s="369"/>
      <c r="W55" s="369"/>
      <c r="X55" s="370" t="s">
        <v>1018</v>
      </c>
      <c r="Y55" s="370" t="s">
        <v>1019</v>
      </c>
      <c r="Z55" s="9" t="s">
        <v>943</v>
      </c>
      <c r="AB55" s="9"/>
      <c r="AC55" s="9"/>
      <c r="AD55" s="9"/>
      <c r="AE55" s="9"/>
      <c r="AF55" s="9"/>
      <c r="AG55" s="9"/>
      <c r="AH55" s="9"/>
      <c r="AI55" s="9" t="s">
        <v>916</v>
      </c>
      <c r="AJ55" s="225">
        <f>IF(ISBLANK(Mentor_Connect[[#This Row],[Meeting Date]]),"",Mentor_Connect[[#This Row],[Meeting Date]]-WEEKDAY(Mentor_Connect[[#This Row],[Meeting Date]],2)+1)</f>
        <v>46048</v>
      </c>
      <c r="AK55" s="222">
        <f>IF(ISBLANK(Mentor_Connect[[#This Row],[Preferred Mentor Selected On]]),"",Mentor_Connect[[#This Row],[Preferred Mentor Selected On]]-WEEKDAY(Mentor_Connect[[#This Row],[Preferred Mentor Selected On]],2)+1)</f>
        <v>45971</v>
      </c>
    </row>
    <row r="56" spans="1:37" ht="24.6" customHeight="1" x14ac:dyDescent="0.3">
      <c r="A56" s="279" t="s">
        <v>36</v>
      </c>
      <c r="B56" s="279" t="str">
        <f>VLOOKUP(Mentor_Connect[[#This Row],[Venture Name]],[1]!VenturesList[#All],2,FALSE)</f>
        <v>Accelerate Prime</v>
      </c>
      <c r="C56" s="328">
        <f>VLOOKUP(Mentor_Connect[[#This Row],[Venture Name]],[1]!VenturesList[#All],3,FALSE)</f>
        <v>45901</v>
      </c>
      <c r="D56" s="279" t="str">
        <f>VLOOKUP(Mentor_Connect[[#This Row],[Venture Name]],[1]!VenturesList[#All],5,FALSE)</f>
        <v>Ramya</v>
      </c>
      <c r="E56" s="288"/>
      <c r="F56" s="288" t="s">
        <v>449</v>
      </c>
      <c r="G56" s="371">
        <v>46003</v>
      </c>
      <c r="H56" s="218"/>
      <c r="I56" s="218"/>
      <c r="J56" s="218"/>
      <c r="K56" s="219"/>
      <c r="L56" s="218"/>
      <c r="M56" s="218"/>
      <c r="N56" s="329"/>
      <c r="O56" s="372" t="s">
        <v>925</v>
      </c>
      <c r="P56" s="36"/>
      <c r="Q56" s="127">
        <v>115012177987</v>
      </c>
      <c r="R56" s="373"/>
      <c r="S56" s="374"/>
      <c r="T56" s="375"/>
      <c r="U56" s="376"/>
      <c r="V56" s="279"/>
      <c r="W56" s="279"/>
      <c r="X56" s="279"/>
      <c r="Y56" s="279"/>
      <c r="Z56" s="36"/>
      <c r="AA56" s="279"/>
      <c r="AB56" s="36"/>
      <c r="AC56" s="36"/>
      <c r="AD56" s="36"/>
      <c r="AE56" s="36"/>
      <c r="AF56" s="36"/>
      <c r="AG56" s="36"/>
      <c r="AH56" s="36"/>
      <c r="AI56" s="9"/>
      <c r="AJ56" s="225" t="str">
        <f>IF(ISBLANK(Mentor_Connect[[#This Row],[Meeting Date]]),"",Mentor_Connect[[#This Row],[Meeting Date]]-WEEKDAY(Mentor_Connect[[#This Row],[Meeting Date]],2)+1)</f>
        <v/>
      </c>
      <c r="AK56" s="222" t="str">
        <f>IF(ISBLANK(Mentor_Connect[[#This Row],[Preferred Mentor Selected On]]),"",Mentor_Connect[[#This Row],[Preferred Mentor Selected On]]-WEEKDAY(Mentor_Connect[[#This Row],[Preferred Mentor Selected On]],2)+1)</f>
        <v/>
      </c>
    </row>
    <row r="57" spans="1:37" ht="24.6" customHeight="1" x14ac:dyDescent="0.3">
      <c r="A57" s="8" t="s">
        <v>275</v>
      </c>
      <c r="B57" s="8" t="str">
        <f>VLOOKUP(Mentor_Connect[[#This Row],[Venture Name]],[1]!VenturesList[#All],2,FALSE)</f>
        <v>Accelerate Core</v>
      </c>
      <c r="C57" s="223">
        <f>VLOOKUP(Mentor_Connect[[#This Row],[Venture Name]],[1]!VenturesList[#All],3,FALSE)</f>
        <v>45931</v>
      </c>
      <c r="D57" s="8" t="str">
        <f>VLOOKUP(Mentor_Connect[[#This Row],[Venture Name]],[1]!VenturesList[#All],5,FALSE)</f>
        <v>Vignesh</v>
      </c>
      <c r="E57" s="216" t="s">
        <v>950</v>
      </c>
      <c r="F57" s="216" t="s">
        <v>436</v>
      </c>
      <c r="G57" s="9"/>
      <c r="H57" s="9"/>
      <c r="I57" s="9"/>
      <c r="J57" s="223">
        <v>45931</v>
      </c>
      <c r="K57" s="225"/>
      <c r="L57" s="217" t="s">
        <v>358</v>
      </c>
      <c r="M57" s="217">
        <v>45931</v>
      </c>
      <c r="N57" s="226"/>
      <c r="O57" s="20"/>
      <c r="P57" s="9"/>
      <c r="Q57" s="129"/>
      <c r="R57" s="8"/>
      <c r="S57" s="9"/>
      <c r="T57" s="8"/>
      <c r="U57" s="8"/>
      <c r="V57" s="8"/>
      <c r="W57" s="8"/>
      <c r="X57" s="8"/>
      <c r="Y57" s="8"/>
      <c r="Z57" s="9"/>
      <c r="AA57" s="8"/>
      <c r="AB57" s="9"/>
      <c r="AC57" s="9"/>
      <c r="AD57" s="9"/>
      <c r="AE57" s="9"/>
      <c r="AF57" s="9"/>
      <c r="AG57" s="9"/>
      <c r="AH57" s="9"/>
      <c r="AI57" s="9"/>
      <c r="AJ57" s="225" t="str">
        <f>IF(ISBLANK(Mentor_Connect[[#This Row],[Meeting Date]]),"",Mentor_Connect[[#This Row],[Meeting Date]]-WEEKDAY(Mentor_Connect[[#This Row],[Meeting Date]],2)+1)</f>
        <v/>
      </c>
      <c r="AK57" s="222">
        <f>IF(ISBLANK(Mentor_Connect[[#This Row],[Preferred Mentor Selected On]]),"",Mentor_Connect[[#This Row],[Preferred Mentor Selected On]]-WEEKDAY(Mentor_Connect[[#This Row],[Preferred Mentor Selected On]],2)+1)</f>
        <v>45929</v>
      </c>
    </row>
    <row r="58" spans="1:37" ht="24.6" customHeight="1" x14ac:dyDescent="0.3">
      <c r="A58" s="373" t="s">
        <v>255</v>
      </c>
      <c r="B58" s="373" t="str">
        <f>VLOOKUP(Mentor_Connect[[#This Row],[Venture Name]],[1]!VenturesList[#All],2,FALSE)</f>
        <v>Accelerate Prime</v>
      </c>
      <c r="C58" s="377">
        <f>VLOOKUP(Mentor_Connect[[#This Row],[Venture Name]],[1]!VenturesList[#All],3,FALSE)</f>
        <v>45901</v>
      </c>
      <c r="D58" s="279" t="str">
        <f>VLOOKUP(Mentor_Connect[[#This Row],[Venture Name]],[1]!VenturesList[#All],5,FALSE)</f>
        <v>Ankit Makwana</v>
      </c>
      <c r="E58" s="288"/>
      <c r="F58" s="288" t="s">
        <v>434</v>
      </c>
      <c r="G58" s="36"/>
      <c r="H58" s="36"/>
      <c r="I58" s="36"/>
      <c r="J58" s="36"/>
      <c r="K58" s="219"/>
      <c r="L58" s="217"/>
      <c r="M58" s="217"/>
      <c r="N58" s="20"/>
      <c r="O58" s="347"/>
      <c r="P58" s="36"/>
      <c r="Q58" s="149"/>
      <c r="R58" s="279"/>
      <c r="S58" s="36"/>
      <c r="T58" s="279"/>
      <c r="U58" s="279"/>
      <c r="V58" s="279"/>
      <c r="W58" s="279"/>
      <c r="X58" s="279"/>
      <c r="Y58" s="279"/>
      <c r="Z58" s="36"/>
      <c r="AA58" s="279"/>
      <c r="AB58" s="36"/>
      <c r="AC58" s="36"/>
      <c r="AD58" s="36"/>
      <c r="AE58" s="36"/>
      <c r="AF58" s="36"/>
      <c r="AG58" s="36"/>
      <c r="AH58" s="36"/>
      <c r="AI58" s="9"/>
      <c r="AJ58" s="225" t="str">
        <f>IF(ISBLANK(Mentor_Connect[[#This Row],[Meeting Date]]),"",Mentor_Connect[[#This Row],[Meeting Date]]-WEEKDAY(Mentor_Connect[[#This Row],[Meeting Date]],2)+1)</f>
        <v/>
      </c>
      <c r="AK58" s="222" t="str">
        <f>IF(ISBLANK(Mentor_Connect[[#This Row],[Preferred Mentor Selected On]]),"",Mentor_Connect[[#This Row],[Preferred Mentor Selected On]]-WEEKDAY(Mentor_Connect[[#This Row],[Preferred Mentor Selected On]],2)+1)</f>
        <v/>
      </c>
    </row>
    <row r="59" spans="1:37" ht="24.6" customHeight="1" x14ac:dyDescent="0.3">
      <c r="A59" s="8" t="s">
        <v>21</v>
      </c>
      <c r="B59" s="8" t="str">
        <f>VLOOKUP(Mentor_Connect[[#This Row],[Venture Name]],[1]!VenturesList[#All],2,FALSE)</f>
        <v>Accelerate Core</v>
      </c>
      <c r="C59" s="223">
        <f>VLOOKUP(Mentor_Connect[[#This Row],[Venture Name]],[1]!VenturesList[#All],3,FALSE)</f>
        <v>45870</v>
      </c>
      <c r="D59" s="337" t="str">
        <f>VLOOKUP(Mentor_Connect[[#This Row],[Venture Name]],[1]!VenturesList[#All],5,FALSE)</f>
        <v xml:space="preserve">Kedar </v>
      </c>
      <c r="E59" s="216" t="s">
        <v>102</v>
      </c>
      <c r="F59" s="216" t="s">
        <v>18</v>
      </c>
      <c r="G59" s="253">
        <v>45924</v>
      </c>
      <c r="H59" s="217">
        <v>45939</v>
      </c>
      <c r="I59" s="217">
        <v>45939</v>
      </c>
      <c r="J59" s="261">
        <v>45971</v>
      </c>
      <c r="K59" s="225">
        <v>46044</v>
      </c>
      <c r="L59" s="217" t="s">
        <v>345</v>
      </c>
      <c r="M59" s="217">
        <v>45971</v>
      </c>
      <c r="N59" s="20"/>
      <c r="O59" s="378" t="s">
        <v>1020</v>
      </c>
      <c r="P59" s="9"/>
      <c r="Q59" s="129">
        <v>115025861257</v>
      </c>
      <c r="R59" s="231" t="s">
        <v>913</v>
      </c>
      <c r="S59" s="379" t="s">
        <v>327</v>
      </c>
      <c r="T59" s="345" t="s">
        <v>328</v>
      </c>
      <c r="U59" s="277" t="s">
        <v>450</v>
      </c>
      <c r="V59" s="380" t="s">
        <v>1021</v>
      </c>
      <c r="W59" s="380"/>
      <c r="X59" s="370" t="s">
        <v>1022</v>
      </c>
      <c r="Y59" s="370" t="s">
        <v>1023</v>
      </c>
      <c r="Z59" s="9" t="s">
        <v>943</v>
      </c>
      <c r="AA59" s="8"/>
      <c r="AB59" s="9"/>
      <c r="AC59" s="9"/>
      <c r="AD59" s="9"/>
      <c r="AE59" s="9"/>
      <c r="AF59" s="9"/>
      <c r="AG59" s="21"/>
      <c r="AH59" s="21"/>
      <c r="AI59" s="9" t="s">
        <v>916</v>
      </c>
      <c r="AJ59" s="225">
        <f>IF(ISBLANK(Mentor_Connect[[#This Row],[Meeting Date]]),"",Mentor_Connect[[#This Row],[Meeting Date]]-WEEKDAY(Mentor_Connect[[#This Row],[Meeting Date]],2)+1)</f>
        <v>46041</v>
      </c>
      <c r="AK59" s="222">
        <f>IF(ISBLANK(Mentor_Connect[[#This Row],[Preferred Mentor Selected On]]),"",Mentor_Connect[[#This Row],[Preferred Mentor Selected On]]-WEEKDAY(Mentor_Connect[[#This Row],[Preferred Mentor Selected On]],2)+1)</f>
        <v>45971</v>
      </c>
    </row>
    <row r="60" spans="1:37" ht="24.6" customHeight="1" x14ac:dyDescent="0.3">
      <c r="A60" s="8" t="s">
        <v>21</v>
      </c>
      <c r="B60" s="8" t="str">
        <f>VLOOKUP(Mentor_Connect[[#This Row],[Venture Name]],[1]!VenturesList[#All],2,FALSE)</f>
        <v>Accelerate Core</v>
      </c>
      <c r="C60" s="223">
        <f>VLOOKUP(Mentor_Connect[[#This Row],[Venture Name]],[1]!VenturesList[#All],3,FALSE)</f>
        <v>45870</v>
      </c>
      <c r="D60" s="8" t="str">
        <f>VLOOKUP(Mentor_Connect[[#This Row],[Venture Name]],[1]!VenturesList[#All],5,FALSE)</f>
        <v xml:space="preserve">Kedar </v>
      </c>
      <c r="E60" s="8" t="s">
        <v>103</v>
      </c>
      <c r="F60" s="8" t="s">
        <v>18</v>
      </c>
      <c r="G60" s="253">
        <v>45924</v>
      </c>
      <c r="H60" s="217">
        <v>45939</v>
      </c>
      <c r="I60" s="217">
        <v>45939</v>
      </c>
      <c r="J60" s="261">
        <v>45971</v>
      </c>
      <c r="K60" s="225">
        <v>46052</v>
      </c>
      <c r="L60" s="217" t="s">
        <v>345</v>
      </c>
      <c r="M60" s="217">
        <v>45971</v>
      </c>
      <c r="N60" s="20"/>
      <c r="O60" s="71" t="s">
        <v>1024</v>
      </c>
      <c r="P60" s="9"/>
      <c r="Q60" s="129">
        <v>115056979250</v>
      </c>
      <c r="R60" s="231" t="s">
        <v>913</v>
      </c>
      <c r="S60" s="353" t="s">
        <v>327</v>
      </c>
      <c r="T60" s="354" t="s">
        <v>328</v>
      </c>
      <c r="U60" s="132">
        <v>9822020629</v>
      </c>
      <c r="V60" s="71" t="s">
        <v>1025</v>
      </c>
      <c r="W60" s="71"/>
      <c r="X60" s="370" t="s">
        <v>1026</v>
      </c>
      <c r="Y60" s="370" t="s">
        <v>1027</v>
      </c>
      <c r="Z60" s="9" t="s">
        <v>966</v>
      </c>
      <c r="AA60" s="8"/>
      <c r="AB60" s="9"/>
      <c r="AC60" s="9"/>
      <c r="AD60" s="9"/>
      <c r="AE60" s="9"/>
      <c r="AF60" s="9"/>
      <c r="AG60" s="9"/>
      <c r="AH60" s="9"/>
      <c r="AI60" s="9" t="s">
        <v>916</v>
      </c>
      <c r="AJ60" s="225">
        <f>IF(ISBLANK(Mentor_Connect[[#This Row],[Meeting Date]]),"",Mentor_Connect[[#This Row],[Meeting Date]]-WEEKDAY(Mentor_Connect[[#This Row],[Meeting Date]],2)+1)</f>
        <v>46048</v>
      </c>
      <c r="AK60" s="222">
        <f>IF(ISBLANK(Mentor_Connect[[#This Row],[Preferred Mentor Selected On]]),"",Mentor_Connect[[#This Row],[Preferred Mentor Selected On]]-WEEKDAY(Mentor_Connect[[#This Row],[Preferred Mentor Selected On]],2)+1)</f>
        <v>45971</v>
      </c>
    </row>
    <row r="61" spans="1:37" ht="24.6" customHeight="1" x14ac:dyDescent="0.3">
      <c r="A61" s="2" t="s">
        <v>21</v>
      </c>
      <c r="B61" s="2" t="str">
        <f>VLOOKUP(Mentor_Connect[[#This Row],[Venture Name]],[1]!VenturesList[#All],2,FALSE)</f>
        <v>Accelerate Core</v>
      </c>
      <c r="C61" s="1">
        <f>VLOOKUP(Mentor_Connect[[#This Row],[Venture Name]],[1]!VenturesList[#All],3,FALSE)</f>
        <v>45870</v>
      </c>
      <c r="D61" s="275" t="str">
        <f>VLOOKUP(Mentor_Connect[[#This Row],[Venture Name]],[1]!VenturesList[#All],5,FALSE)</f>
        <v xml:space="preserve">Kedar </v>
      </c>
      <c r="E61" s="3" t="s">
        <v>85</v>
      </c>
      <c r="F61" s="216" t="s">
        <v>18</v>
      </c>
      <c r="G61" s="253">
        <v>45924</v>
      </c>
      <c r="H61" s="217">
        <v>45939</v>
      </c>
      <c r="I61" s="217">
        <v>45939</v>
      </c>
      <c r="J61" s="261">
        <v>45971</v>
      </c>
      <c r="K61" s="220">
        <v>45976</v>
      </c>
      <c r="L61" s="217" t="s">
        <v>345</v>
      </c>
      <c r="M61" s="217">
        <v>45971</v>
      </c>
      <c r="N61" s="4"/>
      <c r="O61" s="71"/>
      <c r="P61" s="5" t="s">
        <v>358</v>
      </c>
      <c r="Q61" s="10">
        <v>115006769848</v>
      </c>
      <c r="R61" s="2" t="s">
        <v>913</v>
      </c>
      <c r="S61" s="2" t="s">
        <v>327</v>
      </c>
      <c r="T61" s="246" t="s">
        <v>328</v>
      </c>
      <c r="U61" s="2">
        <v>9822020629</v>
      </c>
      <c r="V61" s="71" t="s">
        <v>1028</v>
      </c>
      <c r="W61" s="71"/>
      <c r="X61" s="3" t="s">
        <v>432</v>
      </c>
      <c r="Y61" s="3" t="s">
        <v>432</v>
      </c>
      <c r="Z61" s="9"/>
      <c r="AA61" s="8"/>
      <c r="AB61" s="9"/>
      <c r="AC61" s="9"/>
      <c r="AD61" s="9"/>
      <c r="AE61" s="9"/>
      <c r="AF61" s="9"/>
      <c r="AG61" s="9"/>
      <c r="AH61" s="9"/>
      <c r="AI61" s="9" t="s">
        <v>916</v>
      </c>
      <c r="AJ61" s="225">
        <f>IF(ISBLANK(Mentor_Connect[[#This Row],[Meeting Date]]),"",Mentor_Connect[[#This Row],[Meeting Date]]-WEEKDAY(Mentor_Connect[[#This Row],[Meeting Date]],2)+1)</f>
        <v>45971</v>
      </c>
      <c r="AK61" s="222">
        <f>IF(ISBLANK(Mentor_Connect[[#This Row],[Preferred Mentor Selected On]]),"",Mentor_Connect[[#This Row],[Preferred Mentor Selected On]]-WEEKDAY(Mentor_Connect[[#This Row],[Preferred Mentor Selected On]],2)+1)</f>
        <v>45971</v>
      </c>
    </row>
    <row r="62" spans="1:37" ht="24.6" customHeight="1" x14ac:dyDescent="0.3">
      <c r="A62" s="38" t="s">
        <v>21</v>
      </c>
      <c r="B62" s="38" t="str">
        <f>VLOOKUP(Mentor_Connect[[#This Row],[Venture Name]],[1]!VenturesList[#All],2,FALSE)</f>
        <v>Accelerate Core</v>
      </c>
      <c r="C62" s="236">
        <f>VLOOKUP(Mentor_Connect[[#This Row],[Venture Name]],[1]!VenturesList[#All],3,FALSE)</f>
        <v>45870</v>
      </c>
      <c r="D62" s="364" t="str">
        <f>VLOOKUP(Mentor_Connect[[#This Row],[Venture Name]],[1]!VenturesList[#All],5,FALSE)</f>
        <v xml:space="preserve">Kedar </v>
      </c>
      <c r="E62" s="39" t="s">
        <v>5</v>
      </c>
      <c r="F62" s="238" t="s">
        <v>18</v>
      </c>
      <c r="G62" s="239">
        <v>45924</v>
      </c>
      <c r="H62" s="239">
        <v>45939</v>
      </c>
      <c r="I62" s="217">
        <v>45939</v>
      </c>
      <c r="J62" s="365">
        <v>45971</v>
      </c>
      <c r="K62" s="230">
        <v>45974</v>
      </c>
      <c r="L62" s="218" t="s">
        <v>345</v>
      </c>
      <c r="M62" s="217">
        <v>45971</v>
      </c>
      <c r="N62" s="4"/>
      <c r="O62" s="70"/>
      <c r="P62" s="25" t="s">
        <v>358</v>
      </c>
      <c r="Q62" s="322">
        <v>115006771773</v>
      </c>
      <c r="R62" s="38" t="s">
        <v>913</v>
      </c>
      <c r="S62" s="38" t="s">
        <v>327</v>
      </c>
      <c r="T62" s="323" t="s">
        <v>328</v>
      </c>
      <c r="U62" s="38">
        <v>9822020629</v>
      </c>
      <c r="V62" s="70" t="s">
        <v>1028</v>
      </c>
      <c r="W62" s="70"/>
      <c r="X62" s="3" t="s">
        <v>432</v>
      </c>
      <c r="Y62" s="3" t="s">
        <v>432</v>
      </c>
      <c r="Z62" s="21"/>
      <c r="AA62" s="237"/>
      <c r="AB62" s="21"/>
      <c r="AC62" s="21"/>
      <c r="AD62" s="21"/>
      <c r="AE62" s="21"/>
      <c r="AF62" s="21"/>
      <c r="AG62" s="21"/>
      <c r="AH62" s="8" t="s">
        <v>433</v>
      </c>
      <c r="AI62" s="9" t="s">
        <v>916</v>
      </c>
      <c r="AJ62" s="225">
        <f>IF(ISBLANK(Mentor_Connect[[#This Row],[Meeting Date]]),"",Mentor_Connect[[#This Row],[Meeting Date]]-WEEKDAY(Mentor_Connect[[#This Row],[Meeting Date]],2)+1)</f>
        <v>45971</v>
      </c>
      <c r="AK62" s="222">
        <f>IF(ISBLANK(Mentor_Connect[[#This Row],[Preferred Mentor Selected On]]),"",Mentor_Connect[[#This Row],[Preferred Mentor Selected On]]-WEEKDAY(Mentor_Connect[[#This Row],[Preferred Mentor Selected On]],2)+1)</f>
        <v>45971</v>
      </c>
    </row>
    <row r="63" spans="1:37" ht="24.6" customHeight="1" x14ac:dyDescent="0.3">
      <c r="A63" s="8" t="s">
        <v>164</v>
      </c>
      <c r="B63" s="8" t="str">
        <f>VLOOKUP(Mentor_Connect[[#This Row],[Venture Name]],[1]!VenturesList[#All],2,FALSE)</f>
        <v>Accelerate Prime</v>
      </c>
      <c r="C63" s="223">
        <f>VLOOKUP(Mentor_Connect[[#This Row],[Venture Name]],[1]!VenturesList[#All],3,FALSE)</f>
        <v>45870</v>
      </c>
      <c r="D63" s="8" t="str">
        <f>VLOOKUP(Mentor_Connect[[#This Row],[Venture Name]],[1]!VenturesList[#All],5,FALSE)</f>
        <v>Shruti Modi</v>
      </c>
      <c r="E63" s="338" t="s">
        <v>140</v>
      </c>
      <c r="F63" s="216" t="s">
        <v>439</v>
      </c>
      <c r="G63" s="217">
        <v>45925</v>
      </c>
      <c r="H63" s="239">
        <v>45953</v>
      </c>
      <c r="I63" s="217">
        <v>45953</v>
      </c>
      <c r="J63" s="225">
        <v>45881</v>
      </c>
      <c r="K63" s="225"/>
      <c r="L63" s="218" t="s">
        <v>345</v>
      </c>
      <c r="M63" s="217">
        <v>45881</v>
      </c>
      <c r="N63" s="226"/>
      <c r="O63" s="6" t="s">
        <v>1029</v>
      </c>
      <c r="P63" s="20"/>
      <c r="Q63" s="381"/>
      <c r="R63" s="237"/>
      <c r="S63" s="9"/>
      <c r="T63" s="8"/>
      <c r="U63" s="8"/>
      <c r="V63" s="8"/>
      <c r="W63" s="8"/>
      <c r="X63" s="8"/>
      <c r="Y63" s="8"/>
      <c r="Z63" s="9" t="s">
        <v>966</v>
      </c>
      <c r="AA63" s="8"/>
      <c r="AB63" s="9"/>
      <c r="AC63" s="9"/>
      <c r="AD63" s="9"/>
      <c r="AE63" s="9"/>
      <c r="AF63" s="9"/>
      <c r="AG63" s="9"/>
      <c r="AH63" s="9"/>
      <c r="AI63" s="9"/>
      <c r="AJ63" s="225" t="str">
        <f>IF(ISBLANK(Mentor_Connect[[#This Row],[Meeting Date]]),"",Mentor_Connect[[#This Row],[Meeting Date]]-WEEKDAY(Mentor_Connect[[#This Row],[Meeting Date]],2)+1)</f>
        <v/>
      </c>
      <c r="AK63" s="222">
        <f>IF(ISBLANK(Mentor_Connect[[#This Row],[Preferred Mentor Selected On]]),"",Mentor_Connect[[#This Row],[Preferred Mentor Selected On]]-WEEKDAY(Mentor_Connect[[#This Row],[Preferred Mentor Selected On]],2)+1)</f>
        <v>45880</v>
      </c>
    </row>
    <row r="64" spans="1:37" ht="24.6" customHeight="1" x14ac:dyDescent="0.3">
      <c r="A64" s="279" t="s">
        <v>164</v>
      </c>
      <c r="B64" s="279" t="str">
        <f>VLOOKUP(Mentor_Connect[[#This Row],[Venture Name]],[1]!VenturesList[#All],2,FALSE)</f>
        <v>Accelerate Prime</v>
      </c>
      <c r="C64" s="328">
        <f>VLOOKUP(Mentor_Connect[[#This Row],[Venture Name]],[1]!VenturesList[#All],3,FALSE)</f>
        <v>45870</v>
      </c>
      <c r="D64" s="279" t="str">
        <f>VLOOKUP(Mentor_Connect[[#This Row],[Venture Name]],[1]!VenturesList[#All],5,FALSE)</f>
        <v>Shruti Modi</v>
      </c>
      <c r="E64" s="288" t="s">
        <v>950</v>
      </c>
      <c r="F64" s="288" t="s">
        <v>440</v>
      </c>
      <c r="G64" s="218">
        <v>45925</v>
      </c>
      <c r="H64" s="239">
        <v>45953</v>
      </c>
      <c r="I64" s="217">
        <v>45953</v>
      </c>
      <c r="J64" s="219">
        <v>45881</v>
      </c>
      <c r="K64" s="219"/>
      <c r="L64" s="218" t="s">
        <v>345</v>
      </c>
      <c r="M64" s="217">
        <v>45881</v>
      </c>
      <c r="N64" s="20"/>
      <c r="O64" s="290" t="s">
        <v>1030</v>
      </c>
      <c r="P64" s="36"/>
      <c r="Q64" s="269"/>
      <c r="R64" s="251"/>
      <c r="S64" s="260"/>
      <c r="T64" s="251"/>
      <c r="U64" s="251"/>
      <c r="V64" s="279"/>
      <c r="W64" s="279"/>
      <c r="X64" s="279"/>
      <c r="Y64" s="279"/>
      <c r="Z64" s="36"/>
      <c r="AA64" s="279"/>
      <c r="AB64" s="36"/>
      <c r="AC64" s="36"/>
      <c r="AD64" s="36"/>
      <c r="AE64" s="36"/>
      <c r="AF64" s="36"/>
      <c r="AG64" s="36"/>
      <c r="AH64" s="36"/>
      <c r="AI64" s="9"/>
      <c r="AJ64" s="225" t="str">
        <f>IF(ISBLANK(Mentor_Connect[[#This Row],[Meeting Date]]),"",Mentor_Connect[[#This Row],[Meeting Date]]-WEEKDAY(Mentor_Connect[[#This Row],[Meeting Date]],2)+1)</f>
        <v/>
      </c>
      <c r="AK64" s="222">
        <f>IF(ISBLANK(Mentor_Connect[[#This Row],[Preferred Mentor Selected On]]),"",Mentor_Connect[[#This Row],[Preferred Mentor Selected On]]-WEEKDAY(Mentor_Connect[[#This Row],[Preferred Mentor Selected On]],2)+1)</f>
        <v>45880</v>
      </c>
    </row>
    <row r="65" spans="1:37" ht="24.6" customHeight="1" x14ac:dyDescent="0.3">
      <c r="A65" s="382" t="s">
        <v>76</v>
      </c>
      <c r="B65" s="382" t="str">
        <f>VLOOKUP(Mentor_Connect[[#This Row],[Venture Name]],[1]!VenturesList[#All],2,FALSE)</f>
        <v>Accelerate Prime</v>
      </c>
      <c r="C65" s="383">
        <f>VLOOKUP(Mentor_Connect[[#This Row],[Venture Name]],[1]!VenturesList[#All],3,FALSE)</f>
        <v>45870</v>
      </c>
      <c r="D65" s="237" t="str">
        <f>VLOOKUP(Mentor_Connect[[#This Row],[Venture Name]],[1]!VenturesList[#All],5,FALSE)</f>
        <v>Ramya</v>
      </c>
      <c r="E65" s="238"/>
      <c r="F65" s="238" t="s">
        <v>449</v>
      </c>
      <c r="G65" s="239">
        <v>45925</v>
      </c>
      <c r="H65" s="21"/>
      <c r="I65" s="9"/>
      <c r="J65" s="240"/>
      <c r="K65" s="240"/>
      <c r="L65" s="218"/>
      <c r="M65" s="217"/>
      <c r="N65" s="20"/>
      <c r="O65" s="384" t="s">
        <v>925</v>
      </c>
      <c r="P65" s="385"/>
      <c r="Q65" s="386"/>
      <c r="R65" s="237"/>
      <c r="S65" s="21"/>
      <c r="T65" s="237"/>
      <c r="U65" s="237"/>
      <c r="V65" s="387"/>
      <c r="W65" s="387"/>
      <c r="X65" s="387"/>
      <c r="Y65" s="387"/>
      <c r="Z65" s="21"/>
      <c r="AA65" s="237"/>
      <c r="AB65" s="21"/>
      <c r="AC65" s="21"/>
      <c r="AD65" s="21"/>
      <c r="AE65" s="21"/>
      <c r="AF65" s="21"/>
      <c r="AG65" s="21"/>
      <c r="AH65" s="21"/>
      <c r="AI65" s="9"/>
      <c r="AJ65" s="225" t="str">
        <f>IF(ISBLANK(Mentor_Connect[[#This Row],[Meeting Date]]),"",Mentor_Connect[[#This Row],[Meeting Date]]-WEEKDAY(Mentor_Connect[[#This Row],[Meeting Date]],2)+1)</f>
        <v/>
      </c>
      <c r="AK65" s="222" t="str">
        <f>IF(ISBLANK(Mentor_Connect[[#This Row],[Preferred Mentor Selected On]]),"",Mentor_Connect[[#This Row],[Preferred Mentor Selected On]]-WEEKDAY(Mentor_Connect[[#This Row],[Preferred Mentor Selected On]],2)+1)</f>
        <v/>
      </c>
    </row>
    <row r="66" spans="1:37" ht="24.6" customHeight="1" x14ac:dyDescent="0.3">
      <c r="A66" s="251" t="s">
        <v>76</v>
      </c>
      <c r="B66" s="251" t="str">
        <f>VLOOKUP(Mentor_Connect[[#This Row],[Venture Name]],[1]!VenturesList[#All],2,FALSE)</f>
        <v>Accelerate Prime</v>
      </c>
      <c r="C66" s="282">
        <f>VLOOKUP(Mentor_Connect[[#This Row],[Venture Name]],[1]!VenturesList[#All],3,FALSE)</f>
        <v>45870</v>
      </c>
      <c r="D66" s="251" t="str">
        <f>VLOOKUP(Mentor_Connect[[#This Row],[Venture Name]],[1]!VenturesList[#All],5,FALSE)</f>
        <v>Ramya</v>
      </c>
      <c r="E66" s="252" t="s">
        <v>104</v>
      </c>
      <c r="F66" s="252" t="s">
        <v>18</v>
      </c>
      <c r="G66" s="253">
        <v>45925</v>
      </c>
      <c r="H66" s="253"/>
      <c r="I66" s="253"/>
      <c r="J66" s="225">
        <v>46021</v>
      </c>
      <c r="K66" s="283">
        <v>46024</v>
      </c>
      <c r="L66" s="217" t="s">
        <v>345</v>
      </c>
      <c r="M66" s="217">
        <v>46021</v>
      </c>
      <c r="N66" s="20"/>
      <c r="O66" s="388" t="s">
        <v>1031</v>
      </c>
      <c r="P66" s="260"/>
      <c r="Q66" s="269">
        <v>115015684851</v>
      </c>
      <c r="R66" s="251" t="s">
        <v>913</v>
      </c>
      <c r="S66" s="260" t="s">
        <v>171</v>
      </c>
      <c r="T66" s="251" t="s">
        <v>172</v>
      </c>
      <c r="U66" s="260" t="s">
        <v>173</v>
      </c>
      <c r="V66" s="43" t="s">
        <v>1032</v>
      </c>
      <c r="W66" s="43"/>
      <c r="X66" s="271" t="s">
        <v>1033</v>
      </c>
      <c r="Y66" s="271" t="s">
        <v>1034</v>
      </c>
      <c r="Z66" s="260"/>
      <c r="AA66" s="251"/>
      <c r="AB66" s="260"/>
      <c r="AC66" s="260"/>
      <c r="AD66" s="260"/>
      <c r="AE66" s="260"/>
      <c r="AF66" s="260"/>
      <c r="AG66" s="260"/>
      <c r="AH66" s="260"/>
      <c r="AI66" s="9" t="s">
        <v>916</v>
      </c>
      <c r="AJ66" s="225">
        <f>IF(ISBLANK(Mentor_Connect[[#This Row],[Meeting Date]]),"",Mentor_Connect[[#This Row],[Meeting Date]]-WEEKDAY(Mentor_Connect[[#This Row],[Meeting Date]],2)+1)</f>
        <v>46020</v>
      </c>
      <c r="AK66" s="222">
        <f>IF(ISBLANK(Mentor_Connect[[#This Row],[Preferred Mentor Selected On]]),"",Mentor_Connect[[#This Row],[Preferred Mentor Selected On]]-WEEKDAY(Mentor_Connect[[#This Row],[Preferred Mentor Selected On]],2)+1)</f>
        <v>46020</v>
      </c>
    </row>
    <row r="67" spans="1:37" ht="24.6" customHeight="1" x14ac:dyDescent="0.3">
      <c r="A67" s="382" t="s">
        <v>278</v>
      </c>
      <c r="B67" s="382" t="str">
        <f>VLOOKUP(Mentor_Connect[[#This Row],[Venture Name]],[1]!VenturesList[#All],2,FALSE)</f>
        <v>Accelerate Core</v>
      </c>
      <c r="C67" s="383">
        <f>VLOOKUP(Mentor_Connect[[#This Row],[Venture Name]],[1]!VenturesList[#All],3,FALSE)</f>
        <v>45992</v>
      </c>
      <c r="D67" s="237" t="str">
        <f>VLOOKUP(Mentor_Connect[[#This Row],[Venture Name]],[1]!VenturesList[#All],5,FALSE)</f>
        <v>Jigar</v>
      </c>
      <c r="E67" s="389"/>
      <c r="F67" s="238" t="s">
        <v>434</v>
      </c>
      <c r="G67" s="390"/>
      <c r="H67" s="21"/>
      <c r="I67" s="21"/>
      <c r="J67" s="339">
        <v>45992</v>
      </c>
      <c r="K67" s="240"/>
      <c r="L67" s="239" t="s">
        <v>358</v>
      </c>
      <c r="M67" s="239">
        <v>45992</v>
      </c>
      <c r="N67" s="340"/>
      <c r="O67" s="241" t="s">
        <v>1035</v>
      </c>
      <c r="P67" s="21"/>
      <c r="Q67" s="242"/>
      <c r="R67" s="237"/>
      <c r="S67" s="21"/>
      <c r="T67" s="237"/>
      <c r="U67" s="237"/>
      <c r="V67" s="237"/>
      <c r="W67" s="237"/>
      <c r="X67" s="237"/>
      <c r="Y67" s="237"/>
      <c r="Z67" s="21"/>
      <c r="AA67" s="237"/>
      <c r="AB67" s="21"/>
      <c r="AC67" s="21"/>
      <c r="AD67" s="21"/>
      <c r="AE67" s="21"/>
      <c r="AF67" s="21"/>
      <c r="AG67" s="21"/>
      <c r="AH67" s="21"/>
      <c r="AI67" s="9"/>
      <c r="AJ67" s="225" t="str">
        <f>IF(ISBLANK(Mentor_Connect[[#This Row],[Meeting Date]]),"",Mentor_Connect[[#This Row],[Meeting Date]]-WEEKDAY(Mentor_Connect[[#This Row],[Meeting Date]],2)+1)</f>
        <v/>
      </c>
      <c r="AK67" s="222">
        <f>IF(ISBLANK(Mentor_Connect[[#This Row],[Preferred Mentor Selected On]]),"",Mentor_Connect[[#This Row],[Preferred Mentor Selected On]]-WEEKDAY(Mentor_Connect[[#This Row],[Preferred Mentor Selected On]],2)+1)</f>
        <v>45992</v>
      </c>
    </row>
    <row r="68" spans="1:37" ht="24.6" customHeight="1" x14ac:dyDescent="0.3">
      <c r="A68" s="8" t="s">
        <v>76</v>
      </c>
      <c r="B68" s="8" t="str">
        <f>VLOOKUP(Mentor_Connect[[#This Row],[Venture Name]],[1]!VenturesList[#All],2,FALSE)</f>
        <v>Accelerate Prime</v>
      </c>
      <c r="C68" s="223">
        <f>VLOOKUP(Mentor_Connect[[#This Row],[Venture Name]],[1]!VenturesList[#All],3,FALSE)</f>
        <v>45870</v>
      </c>
      <c r="D68" s="8" t="str">
        <f>VLOOKUP(Mentor_Connect[[#This Row],[Venture Name]],[1]!VenturesList[#All],5,FALSE)</f>
        <v>Ramya</v>
      </c>
      <c r="E68" s="216"/>
      <c r="F68" s="216" t="s">
        <v>440</v>
      </c>
      <c r="G68" s="217">
        <v>45925</v>
      </c>
      <c r="H68" s="217"/>
      <c r="I68" s="217"/>
      <c r="J68" s="225">
        <v>46021</v>
      </c>
      <c r="K68" s="225"/>
      <c r="L68" s="217" t="s">
        <v>345</v>
      </c>
      <c r="M68" s="217">
        <v>46021</v>
      </c>
      <c r="N68" s="20"/>
      <c r="O68" s="6" t="s">
        <v>1036</v>
      </c>
      <c r="P68" s="9"/>
      <c r="Q68" s="129"/>
      <c r="R68" s="8"/>
      <c r="S68" s="9"/>
      <c r="T68" s="8"/>
      <c r="U68" s="8"/>
      <c r="V68" s="8"/>
      <c r="W68" s="8"/>
      <c r="X68" s="8"/>
      <c r="Y68" s="8"/>
      <c r="Z68" s="9"/>
      <c r="AA68" s="8"/>
      <c r="AB68" s="9"/>
      <c r="AC68" s="9"/>
      <c r="AD68" s="9"/>
      <c r="AE68" s="9"/>
      <c r="AF68" s="9"/>
      <c r="AG68" s="9"/>
      <c r="AH68" s="9"/>
      <c r="AI68" s="9"/>
      <c r="AJ68" s="225" t="str">
        <f>IF(ISBLANK(Mentor_Connect[[#This Row],[Meeting Date]]),"",Mentor_Connect[[#This Row],[Meeting Date]]-WEEKDAY(Mentor_Connect[[#This Row],[Meeting Date]],2)+1)</f>
        <v/>
      </c>
      <c r="AK68" s="222">
        <f>IF(ISBLANK(Mentor_Connect[[#This Row],[Preferred Mentor Selected On]]),"",Mentor_Connect[[#This Row],[Preferred Mentor Selected On]]-WEEKDAY(Mentor_Connect[[#This Row],[Preferred Mentor Selected On]],2)+1)</f>
        <v>46020</v>
      </c>
    </row>
    <row r="69" spans="1:37" ht="24.6" customHeight="1" x14ac:dyDescent="0.3">
      <c r="A69" s="8" t="s">
        <v>177</v>
      </c>
      <c r="B69" s="8" t="str">
        <f>VLOOKUP(Mentor_Connect[[#This Row],[Venture Name]],[1]!VenturesList[#All],2,FALSE)</f>
        <v>Accelerate Prime</v>
      </c>
      <c r="C69" s="223">
        <f>VLOOKUP(Mentor_Connect[[#This Row],[Venture Name]],[1]!VenturesList[#All],3,FALSE)</f>
        <v>45870</v>
      </c>
      <c r="D69" s="8" t="str">
        <f>VLOOKUP(Mentor_Connect[[#This Row],[Venture Name]],[1]!VenturesList[#All],5,FALSE)</f>
        <v>Shruti Modi</v>
      </c>
      <c r="E69" s="216" t="s">
        <v>1037</v>
      </c>
      <c r="F69" s="216" t="s">
        <v>446</v>
      </c>
      <c r="G69" s="217">
        <v>45925</v>
      </c>
      <c r="H69" s="217"/>
      <c r="I69" s="217"/>
      <c r="J69" s="225">
        <v>45972</v>
      </c>
      <c r="K69" s="225">
        <v>46070</v>
      </c>
      <c r="L69" s="217" t="s">
        <v>345</v>
      </c>
      <c r="M69" s="217">
        <v>45972</v>
      </c>
      <c r="N69" s="20"/>
      <c r="O69" s="325" t="s">
        <v>1038</v>
      </c>
      <c r="P69" s="20"/>
      <c r="Q69" s="391"/>
      <c r="R69" s="8"/>
      <c r="S69" s="9"/>
      <c r="T69" s="8"/>
      <c r="U69" s="8"/>
      <c r="V69" s="8"/>
      <c r="W69" s="8"/>
      <c r="X69" s="8"/>
      <c r="Y69" s="8"/>
      <c r="Z69" s="9" t="s">
        <v>966</v>
      </c>
      <c r="AA69" s="8"/>
      <c r="AB69" s="9"/>
      <c r="AC69" s="9"/>
      <c r="AD69" s="9"/>
      <c r="AE69" s="9"/>
      <c r="AF69" s="9"/>
      <c r="AG69" s="9"/>
      <c r="AH69" s="9"/>
      <c r="AI69" s="9"/>
      <c r="AJ69" s="225">
        <f>IF(ISBLANK(Mentor_Connect[[#This Row],[Meeting Date]]),"",Mentor_Connect[[#This Row],[Meeting Date]]-WEEKDAY(Mentor_Connect[[#This Row],[Meeting Date]],2)+1)</f>
        <v>46069</v>
      </c>
      <c r="AK69" s="222">
        <f>IF(ISBLANK(Mentor_Connect[[#This Row],[Preferred Mentor Selected On]]),"",Mentor_Connect[[#This Row],[Preferred Mentor Selected On]]-WEEKDAY(Mentor_Connect[[#This Row],[Preferred Mentor Selected On]],2)+1)</f>
        <v>45971</v>
      </c>
    </row>
    <row r="70" spans="1:37" ht="24.6" customHeight="1" x14ac:dyDescent="0.3">
      <c r="A70" s="392" t="s">
        <v>71</v>
      </c>
      <c r="B70" s="392" t="str">
        <f>VLOOKUP(Mentor_Connect[[#This Row],[Venture Name]],[1]!VenturesList[#All],2,FALSE)</f>
        <v>Accelerate Prime</v>
      </c>
      <c r="C70" s="1">
        <f>VLOOKUP(Mentor_Connect[[#This Row],[Venture Name]],[1]!VenturesList[#All],3,FALSE)</f>
        <v>45870</v>
      </c>
      <c r="D70" s="8" t="str">
        <f>VLOOKUP(Mentor_Connect[[#This Row],[Venture Name]],[1]!VenturesList[#All],5,FALSE)</f>
        <v>Shruti Modi</v>
      </c>
      <c r="E70" s="216" t="s">
        <v>5</v>
      </c>
      <c r="F70" s="216" t="s">
        <v>18</v>
      </c>
      <c r="G70" s="217">
        <v>45925</v>
      </c>
      <c r="H70" s="217"/>
      <c r="I70" s="217"/>
      <c r="J70" s="225">
        <v>46002</v>
      </c>
      <c r="K70" s="220">
        <v>46003</v>
      </c>
      <c r="L70" s="217" t="s">
        <v>345</v>
      </c>
      <c r="M70" s="217">
        <v>46002</v>
      </c>
      <c r="N70" s="4"/>
      <c r="O70" s="44" t="s">
        <v>925</v>
      </c>
      <c r="P70" s="5" t="s">
        <v>358</v>
      </c>
      <c r="Q70" s="10">
        <v>115007335452</v>
      </c>
      <c r="R70" s="2" t="s">
        <v>913</v>
      </c>
      <c r="S70" s="2" t="s">
        <v>186</v>
      </c>
      <c r="T70" s="246" t="s">
        <v>187</v>
      </c>
      <c r="U70" s="2">
        <v>9979963653</v>
      </c>
      <c r="V70" s="393" t="s">
        <v>1039</v>
      </c>
      <c r="W70" s="393"/>
      <c r="X70" s="394" t="s">
        <v>1040</v>
      </c>
      <c r="Y70" s="394" t="s">
        <v>1041</v>
      </c>
      <c r="Z70" s="9"/>
      <c r="AA70" s="8"/>
      <c r="AB70" s="9"/>
      <c r="AC70" s="9"/>
      <c r="AD70" s="9"/>
      <c r="AE70" s="9"/>
      <c r="AF70" s="9"/>
      <c r="AG70" s="9"/>
      <c r="AH70" s="8" t="s">
        <v>433</v>
      </c>
      <c r="AI70" s="9" t="s">
        <v>916</v>
      </c>
      <c r="AJ70" s="225">
        <f>IF(ISBLANK(Mentor_Connect[[#This Row],[Meeting Date]]),"",Mentor_Connect[[#This Row],[Meeting Date]]-WEEKDAY(Mentor_Connect[[#This Row],[Meeting Date]],2)+1)</f>
        <v>45999</v>
      </c>
      <c r="AK70" s="222">
        <f>IF(ISBLANK(Mentor_Connect[[#This Row],[Preferred Mentor Selected On]]),"",Mentor_Connect[[#This Row],[Preferred Mentor Selected On]]-WEEKDAY(Mentor_Connect[[#This Row],[Preferred Mentor Selected On]],2)+1)</f>
        <v>45999</v>
      </c>
    </row>
    <row r="71" spans="1:37" ht="24.6" customHeight="1" x14ac:dyDescent="0.3">
      <c r="A71" s="392" t="s">
        <v>49</v>
      </c>
      <c r="B71" s="392" t="str">
        <f>VLOOKUP(Mentor_Connect[[#This Row],[Venture Name]],[1]!VenturesList[#All],2,FALSE)</f>
        <v>Accelerate Prime</v>
      </c>
      <c r="C71" s="1">
        <f>VLOOKUP(Mentor_Connect[[#This Row],[Venture Name]],[1]!VenturesList[#All],3,FALSE)</f>
        <v>45870</v>
      </c>
      <c r="D71" s="8" t="str">
        <f>VLOOKUP(Mentor_Connect[[#This Row],[Venture Name]],[1]!VenturesList[#All],5,FALSE)</f>
        <v>Kedar</v>
      </c>
      <c r="E71" s="3" t="s">
        <v>89</v>
      </c>
      <c r="F71" s="216" t="s">
        <v>18</v>
      </c>
      <c r="G71" s="217">
        <v>45925</v>
      </c>
      <c r="H71" s="217"/>
      <c r="I71" s="217"/>
      <c r="J71" s="225">
        <v>45944</v>
      </c>
      <c r="K71" s="220">
        <v>45962</v>
      </c>
      <c r="L71" s="217" t="s">
        <v>345</v>
      </c>
      <c r="M71" s="217">
        <v>45944</v>
      </c>
      <c r="N71" s="4"/>
      <c r="O71" s="60" t="s">
        <v>925</v>
      </c>
      <c r="P71" s="5" t="s">
        <v>358</v>
      </c>
      <c r="Q71" s="10">
        <v>115006030516</v>
      </c>
      <c r="R71" s="2" t="s">
        <v>913</v>
      </c>
      <c r="S71" s="2" t="s">
        <v>196</v>
      </c>
      <c r="T71" s="246" t="s">
        <v>197</v>
      </c>
      <c r="U71" s="2">
        <v>9822448602</v>
      </c>
      <c r="V71" s="6" t="s">
        <v>1042</v>
      </c>
      <c r="W71" s="6"/>
      <c r="X71" s="6" t="s">
        <v>432</v>
      </c>
      <c r="Y71" s="6" t="s">
        <v>432</v>
      </c>
      <c r="Z71" s="9"/>
      <c r="AA71" s="8" t="s">
        <v>441</v>
      </c>
      <c r="AB71" s="218">
        <v>46130</v>
      </c>
      <c r="AC71" s="218">
        <v>46132</v>
      </c>
      <c r="AD71" s="218">
        <v>46132</v>
      </c>
      <c r="AE71" s="218">
        <v>46132</v>
      </c>
      <c r="AF71" s="9"/>
      <c r="AG71" s="36" t="s">
        <v>886</v>
      </c>
      <c r="AH71" s="279" t="s">
        <v>941</v>
      </c>
      <c r="AI71" s="9" t="s">
        <v>937</v>
      </c>
      <c r="AJ71" s="225">
        <f>IF(ISBLANK(Mentor_Connect[[#This Row],[Meeting Date]]),"",Mentor_Connect[[#This Row],[Meeting Date]]-WEEKDAY(Mentor_Connect[[#This Row],[Meeting Date]],2)+1)</f>
        <v>45957</v>
      </c>
      <c r="AK71" s="222">
        <f>IF(ISBLANK(Mentor_Connect[[#This Row],[Preferred Mentor Selected On]]),"",Mentor_Connect[[#This Row],[Preferred Mentor Selected On]]-WEEKDAY(Mentor_Connect[[#This Row],[Preferred Mentor Selected On]],2)+1)</f>
        <v>45943</v>
      </c>
    </row>
    <row r="72" spans="1:37" ht="24.6" customHeight="1" x14ac:dyDescent="0.3">
      <c r="A72" s="8" t="s">
        <v>23</v>
      </c>
      <c r="B72" s="8" t="str">
        <f>VLOOKUP(Mentor_Connect[[#This Row],[Venture Name]],[1]!VenturesList[#All],2,FALSE)</f>
        <v>Accelerate Prime</v>
      </c>
      <c r="C72" s="223">
        <f>VLOOKUP(Mentor_Connect[[#This Row],[Venture Name]],[1]!VenturesList[#All],3,FALSE)</f>
        <v>45870</v>
      </c>
      <c r="D72" s="8" t="str">
        <f>VLOOKUP(Mentor_Connect[[#This Row],[Venture Name]],[1]!VenturesList[#All],5,FALSE)</f>
        <v>Kedar</v>
      </c>
      <c r="E72" s="3" t="s">
        <v>93</v>
      </c>
      <c r="F72" s="216" t="s">
        <v>18</v>
      </c>
      <c r="G72" s="217">
        <v>45932</v>
      </c>
      <c r="H72" s="217"/>
      <c r="I72" s="217"/>
      <c r="J72" s="261">
        <v>45959</v>
      </c>
      <c r="K72" s="225">
        <v>45979</v>
      </c>
      <c r="L72" s="217" t="s">
        <v>345</v>
      </c>
      <c r="M72" s="217">
        <v>45959</v>
      </c>
      <c r="N72" s="20"/>
      <c r="O72" s="44" t="s">
        <v>925</v>
      </c>
      <c r="P72" s="9"/>
      <c r="Q72" s="129">
        <v>115029735861</v>
      </c>
      <c r="R72" s="231" t="s">
        <v>913</v>
      </c>
      <c r="S72" s="30" t="s">
        <v>205</v>
      </c>
      <c r="T72" s="233" t="s">
        <v>206</v>
      </c>
      <c r="U72" s="248">
        <v>8149993555</v>
      </c>
      <c r="V72" s="2" t="s">
        <v>1043</v>
      </c>
      <c r="W72" s="2"/>
      <c r="X72" s="2" t="s">
        <v>432</v>
      </c>
      <c r="Y72" s="2" t="s">
        <v>432</v>
      </c>
      <c r="Z72" s="9"/>
      <c r="AA72" s="8" t="s">
        <v>937</v>
      </c>
      <c r="AB72" s="217">
        <v>46062</v>
      </c>
      <c r="AC72" s="217"/>
      <c r="AD72" s="217"/>
      <c r="AE72" s="217"/>
      <c r="AF72" s="217">
        <v>46097</v>
      </c>
      <c r="AG72" s="217" t="s">
        <v>962</v>
      </c>
      <c r="AH72" s="217"/>
      <c r="AI72" s="9" t="s">
        <v>937</v>
      </c>
      <c r="AJ72" s="225">
        <f>IF(ISBLANK(Mentor_Connect[[#This Row],[Meeting Date]]),"",Mentor_Connect[[#This Row],[Meeting Date]]-WEEKDAY(Mentor_Connect[[#This Row],[Meeting Date]],2)+1)</f>
        <v>45978</v>
      </c>
      <c r="AK72" s="222">
        <f>IF(ISBLANK(Mentor_Connect[[#This Row],[Preferred Mentor Selected On]]),"",Mentor_Connect[[#This Row],[Preferred Mentor Selected On]]-WEEKDAY(Mentor_Connect[[#This Row],[Preferred Mentor Selected On]],2)+1)</f>
        <v>45957</v>
      </c>
    </row>
    <row r="73" spans="1:37" ht="24.6" customHeight="1" x14ac:dyDescent="0.3">
      <c r="A73" s="327" t="s">
        <v>38</v>
      </c>
      <c r="B73" s="382" t="str">
        <f>VLOOKUP(Mentor_Connect[[#This Row],[Venture Name]],[1]!VenturesList[#All],2,FALSE)</f>
        <v>Accelerate Core</v>
      </c>
      <c r="C73" s="274">
        <f>VLOOKUP(Mentor_Connect[[#This Row],[Venture Name]],[1]!VenturesList[#All],3,FALSE)</f>
        <v>45992</v>
      </c>
      <c r="D73" s="8" t="str">
        <f>VLOOKUP(Mentor_Connect[[#This Row],[Venture Name]],[1]!VenturesList[#All],5,FALSE)</f>
        <v>Jigar</v>
      </c>
      <c r="E73" s="216" t="s">
        <v>451</v>
      </c>
      <c r="F73" s="216" t="s">
        <v>439</v>
      </c>
      <c r="G73" s="218" t="s">
        <v>1044</v>
      </c>
      <c r="H73" s="217">
        <v>46100</v>
      </c>
      <c r="I73" s="217">
        <v>46101</v>
      </c>
      <c r="J73" s="217">
        <v>46101</v>
      </c>
      <c r="K73" s="240"/>
      <c r="L73" s="217"/>
      <c r="M73" s="217"/>
      <c r="N73" s="20"/>
      <c r="O73" s="395" t="s">
        <v>1045</v>
      </c>
      <c r="P73" s="5"/>
      <c r="Q73" s="10"/>
      <c r="R73" s="8"/>
      <c r="S73" s="396" t="s">
        <v>279</v>
      </c>
      <c r="T73" s="397" t="s">
        <v>280</v>
      </c>
      <c r="U73" s="396" t="s">
        <v>1046</v>
      </c>
      <c r="V73" s="8"/>
      <c r="W73" s="8"/>
      <c r="X73" s="8"/>
      <c r="Y73" s="8"/>
      <c r="Z73" s="9"/>
      <c r="AA73" s="8"/>
      <c r="AB73" s="9"/>
      <c r="AC73" s="21"/>
      <c r="AD73" s="21"/>
      <c r="AE73" s="21"/>
      <c r="AF73" s="21"/>
      <c r="AG73" s="21"/>
      <c r="AH73" s="21"/>
      <c r="AI73" s="9"/>
      <c r="AJ73" s="225" t="str">
        <f>IF(ISBLANK(Mentor_Connect[[#This Row],[Meeting Date]]),"",Mentor_Connect[[#This Row],[Meeting Date]]-WEEKDAY(Mentor_Connect[[#This Row],[Meeting Date]],2)+1)</f>
        <v/>
      </c>
      <c r="AK73" s="222">
        <f>IF(ISBLANK(Mentor_Connect[[#This Row],[Preferred Mentor Selected On]]),"",Mentor_Connect[[#This Row],[Preferred Mentor Selected On]]-WEEKDAY(Mentor_Connect[[#This Row],[Preferred Mentor Selected On]],2)+1)</f>
        <v>46097</v>
      </c>
    </row>
    <row r="74" spans="1:37" ht="24.6" customHeight="1" x14ac:dyDescent="0.3">
      <c r="A74" s="279" t="s">
        <v>188</v>
      </c>
      <c r="B74" s="279" t="str">
        <f>VLOOKUP(Mentor_Connect[[#This Row],[Venture Name]],[1]!VenturesList[#All],2,FALSE)</f>
        <v>Accelerate Prime</v>
      </c>
      <c r="C74" s="328">
        <f>VLOOKUP(Mentor_Connect[[#This Row],[Venture Name]],[1]!VenturesList[#All],3,FALSE)</f>
        <v>45870</v>
      </c>
      <c r="D74" s="279" t="str">
        <f>VLOOKUP(Mentor_Connect[[#This Row],[Venture Name]],[1]!VenturesList[#All],5,FALSE)</f>
        <v>Kedar</v>
      </c>
      <c r="E74" s="288" t="s">
        <v>96</v>
      </c>
      <c r="F74" s="288" t="s">
        <v>444</v>
      </c>
      <c r="G74" s="218">
        <v>45932</v>
      </c>
      <c r="H74" s="398"/>
      <c r="I74" s="218"/>
      <c r="J74" s="219">
        <v>45870</v>
      </c>
      <c r="K74" s="219"/>
      <c r="L74" s="218" t="s">
        <v>358</v>
      </c>
      <c r="M74" s="218">
        <v>45870</v>
      </c>
      <c r="N74" s="347"/>
      <c r="O74" s="399" t="s">
        <v>1047</v>
      </c>
      <c r="P74" s="290"/>
      <c r="Q74" s="400"/>
      <c r="R74" s="279"/>
      <c r="S74" s="260"/>
      <c r="T74" s="251"/>
      <c r="U74" s="251"/>
      <c r="V74" s="279"/>
      <c r="W74" s="279"/>
      <c r="X74" s="279"/>
      <c r="Y74" s="279"/>
      <c r="Z74" s="36"/>
      <c r="AA74" s="279"/>
      <c r="AB74" s="36"/>
      <c r="AC74" s="36"/>
      <c r="AD74" s="36"/>
      <c r="AE74" s="36"/>
      <c r="AF74" s="36"/>
      <c r="AG74" s="36"/>
      <c r="AH74" s="36"/>
      <c r="AI74" s="9"/>
      <c r="AJ74" s="225" t="str">
        <f>IF(ISBLANK(Mentor_Connect[[#This Row],[Meeting Date]]),"",Mentor_Connect[[#This Row],[Meeting Date]]-WEEKDAY(Mentor_Connect[[#This Row],[Meeting Date]],2)+1)</f>
        <v/>
      </c>
      <c r="AK74" s="222">
        <f>IF(ISBLANK(Mentor_Connect[[#This Row],[Preferred Mentor Selected On]]),"",Mentor_Connect[[#This Row],[Preferred Mentor Selected On]]-WEEKDAY(Mentor_Connect[[#This Row],[Preferred Mentor Selected On]],2)+1)</f>
        <v>45866</v>
      </c>
    </row>
    <row r="75" spans="1:37" ht="24.6" customHeight="1" x14ac:dyDescent="0.3">
      <c r="A75" s="237" t="s">
        <v>23</v>
      </c>
      <c r="B75" s="237" t="str">
        <f>VLOOKUP(Mentor_Connect[[#This Row],[Venture Name]],[1]!VenturesList[#All],2,FALSE)</f>
        <v>Accelerate Prime</v>
      </c>
      <c r="C75" s="223">
        <f>VLOOKUP(Mentor_Connect[[#This Row],[Venture Name]],[1]!VenturesList[#All],3,FALSE)</f>
        <v>45870</v>
      </c>
      <c r="D75" s="8" t="str">
        <f>VLOOKUP(Mentor_Connect[[#This Row],[Venture Name]],[1]!VenturesList[#All],5,FALSE)</f>
        <v>Kedar</v>
      </c>
      <c r="E75" s="216" t="s">
        <v>452</v>
      </c>
      <c r="F75" s="216" t="s">
        <v>436</v>
      </c>
      <c r="G75" s="239">
        <v>45932</v>
      </c>
      <c r="H75" s="239"/>
      <c r="I75" s="239"/>
      <c r="J75" s="261">
        <v>45959</v>
      </c>
      <c r="K75" s="240"/>
      <c r="L75" s="217" t="s">
        <v>345</v>
      </c>
      <c r="M75" s="217">
        <v>45959</v>
      </c>
      <c r="N75" s="20" t="s">
        <v>1048</v>
      </c>
      <c r="O75" s="401" t="s">
        <v>1049</v>
      </c>
      <c r="P75" s="6"/>
      <c r="Q75" s="227"/>
      <c r="R75" s="8"/>
      <c r="S75" s="260" t="s">
        <v>205</v>
      </c>
      <c r="T75" s="276" t="s">
        <v>206</v>
      </c>
      <c r="U75" s="251">
        <v>8149993555</v>
      </c>
      <c r="V75" s="8"/>
      <c r="W75" s="8"/>
      <c r="X75" s="8"/>
      <c r="Y75" s="8"/>
      <c r="Z75" s="9"/>
      <c r="AA75" s="8"/>
      <c r="AB75" s="9"/>
      <c r="AC75" s="21"/>
      <c r="AD75" s="21"/>
      <c r="AE75" s="21"/>
      <c r="AF75" s="21"/>
      <c r="AG75" s="21"/>
      <c r="AH75" s="21"/>
      <c r="AI75" s="9"/>
      <c r="AJ75" s="225" t="str">
        <f>IF(ISBLANK(Mentor_Connect[[#This Row],[Meeting Date]]),"",Mentor_Connect[[#This Row],[Meeting Date]]-WEEKDAY(Mentor_Connect[[#This Row],[Meeting Date]],2)+1)</f>
        <v/>
      </c>
      <c r="AK75" s="222">
        <f>IF(ISBLANK(Mentor_Connect[[#This Row],[Preferred Mentor Selected On]]),"",Mentor_Connect[[#This Row],[Preferred Mentor Selected On]]-WEEKDAY(Mentor_Connect[[#This Row],[Preferred Mentor Selected On]],2)+1)</f>
        <v>45957</v>
      </c>
    </row>
    <row r="76" spans="1:37" ht="24.6" customHeight="1" x14ac:dyDescent="0.3">
      <c r="A76" s="8" t="s">
        <v>23</v>
      </c>
      <c r="B76" s="8" t="str">
        <f>VLOOKUP(Mentor_Connect[[#This Row],[Venture Name]],[1]!VenturesList[#All],2,FALSE)</f>
        <v>Accelerate Prime</v>
      </c>
      <c r="C76" s="1">
        <f>VLOOKUP(Mentor_Connect[[#This Row],[Venture Name]],[1]!VenturesList[#All],3,FALSE)</f>
        <v>45870</v>
      </c>
      <c r="D76" s="8" t="str">
        <f>VLOOKUP(Mentor_Connect[[#This Row],[Venture Name]],[1]!VenturesList[#All],5,FALSE)</f>
        <v>Kedar</v>
      </c>
      <c r="E76" s="216" t="s">
        <v>85</v>
      </c>
      <c r="F76" s="216" t="s">
        <v>18</v>
      </c>
      <c r="G76" s="217">
        <v>45932</v>
      </c>
      <c r="H76" s="217"/>
      <c r="I76" s="217"/>
      <c r="J76" s="261">
        <v>45959</v>
      </c>
      <c r="K76" s="225">
        <v>45962</v>
      </c>
      <c r="L76" s="217" t="s">
        <v>345</v>
      </c>
      <c r="M76" s="217">
        <v>45959</v>
      </c>
      <c r="N76" s="20"/>
      <c r="O76" s="60" t="s">
        <v>925</v>
      </c>
      <c r="P76" s="9"/>
      <c r="Q76" s="129">
        <v>115029732350</v>
      </c>
      <c r="R76" s="231" t="s">
        <v>913</v>
      </c>
      <c r="S76" s="30" t="s">
        <v>205</v>
      </c>
      <c r="T76" s="233" t="s">
        <v>206</v>
      </c>
      <c r="U76" s="248">
        <v>8149993555</v>
      </c>
      <c r="V76" s="2" t="s">
        <v>1050</v>
      </c>
      <c r="W76" s="2"/>
      <c r="X76" s="2" t="s">
        <v>432</v>
      </c>
      <c r="Y76" s="2" t="s">
        <v>432</v>
      </c>
      <c r="Z76" s="9"/>
      <c r="AA76" s="8"/>
      <c r="AB76" s="9"/>
      <c r="AC76" s="9"/>
      <c r="AD76" s="9"/>
      <c r="AE76" s="9"/>
      <c r="AF76" s="9"/>
      <c r="AG76" s="9"/>
      <c r="AH76" s="9"/>
      <c r="AI76" s="9" t="s">
        <v>916</v>
      </c>
      <c r="AJ76" s="225">
        <f>IF(ISBLANK(Mentor_Connect[[#This Row],[Meeting Date]]),"",Mentor_Connect[[#This Row],[Meeting Date]]-WEEKDAY(Mentor_Connect[[#This Row],[Meeting Date]],2)+1)</f>
        <v>45957</v>
      </c>
      <c r="AK76" s="222">
        <f>IF(ISBLANK(Mentor_Connect[[#This Row],[Preferred Mentor Selected On]]),"",Mentor_Connect[[#This Row],[Preferred Mentor Selected On]]-WEEKDAY(Mentor_Connect[[#This Row],[Preferred Mentor Selected On]],2)+1)</f>
        <v>45957</v>
      </c>
    </row>
    <row r="77" spans="1:37" ht="24.6" customHeight="1" x14ac:dyDescent="0.3">
      <c r="A77" s="327" t="s">
        <v>281</v>
      </c>
      <c r="B77" s="327" t="str">
        <f>VLOOKUP(Mentor_Connect[[#This Row],[Venture Name]],[1]!VenturesList[#All],2,FALSE)</f>
        <v>Accelerate Core</v>
      </c>
      <c r="C77" s="402">
        <f>VLOOKUP(Mentor_Connect[[#This Row],[Venture Name]],[1]!VenturesList[#All],3,FALSE)</f>
        <v>45992</v>
      </c>
      <c r="D77" s="279" t="str">
        <f>VLOOKUP(Mentor_Connect[[#This Row],[Venture Name]],[1]!VenturesList[#All],5,FALSE)</f>
        <v xml:space="preserve">Kedar </v>
      </c>
      <c r="E77" s="288"/>
      <c r="F77" s="288" t="s">
        <v>434</v>
      </c>
      <c r="G77" s="36"/>
      <c r="H77" s="36"/>
      <c r="I77" s="36"/>
      <c r="J77" s="328">
        <v>45992</v>
      </c>
      <c r="K77" s="219"/>
      <c r="L77" s="218" t="s">
        <v>358</v>
      </c>
      <c r="M77" s="218">
        <v>45992</v>
      </c>
      <c r="N77" s="347"/>
      <c r="O77" s="290" t="s">
        <v>1051</v>
      </c>
      <c r="P77" s="36"/>
      <c r="Q77" s="149"/>
      <c r="R77" s="279"/>
      <c r="S77" s="36"/>
      <c r="T77" s="279"/>
      <c r="U77" s="279"/>
      <c r="V77" s="279"/>
      <c r="W77" s="279"/>
      <c r="X77" s="279"/>
      <c r="Y77" s="279"/>
      <c r="Z77" s="36"/>
      <c r="AA77" s="279"/>
      <c r="AB77" s="36"/>
      <c r="AC77" s="36"/>
      <c r="AD77" s="36"/>
      <c r="AE77" s="36"/>
      <c r="AF77" s="36"/>
      <c r="AG77" s="36"/>
      <c r="AH77" s="36"/>
      <c r="AI77" s="9"/>
      <c r="AJ77" s="225" t="str">
        <f>IF(ISBLANK(Mentor_Connect[[#This Row],[Meeting Date]]),"",Mentor_Connect[[#This Row],[Meeting Date]]-WEEKDAY(Mentor_Connect[[#This Row],[Meeting Date]],2)+1)</f>
        <v/>
      </c>
      <c r="AK77" s="222">
        <f>IF(ISBLANK(Mentor_Connect[[#This Row],[Preferred Mentor Selected On]]),"",Mentor_Connect[[#This Row],[Preferred Mentor Selected On]]-WEEKDAY(Mentor_Connect[[#This Row],[Preferred Mentor Selected On]],2)+1)</f>
        <v>45992</v>
      </c>
    </row>
    <row r="78" spans="1:37" ht="24.6" customHeight="1" x14ac:dyDescent="0.3">
      <c r="A78" s="273" t="s">
        <v>282</v>
      </c>
      <c r="B78" s="273" t="str">
        <f>VLOOKUP(Mentor_Connect[[#This Row],[Venture Name]],[1]!VenturesList[#All],2,FALSE)</f>
        <v>Accelerate Core</v>
      </c>
      <c r="C78" s="274">
        <f>VLOOKUP(Mentor_Connect[[#This Row],[Venture Name]],[1]!VenturesList[#All],3,FALSE)</f>
        <v>45962</v>
      </c>
      <c r="D78" s="8" t="str">
        <f>VLOOKUP(Mentor_Connect[[#This Row],[Venture Name]],[1]!VenturesList[#All],5,FALSE)</f>
        <v>Vignesh</v>
      </c>
      <c r="E78" s="216"/>
      <c r="F78" s="216" t="s">
        <v>434</v>
      </c>
      <c r="G78" s="9"/>
      <c r="H78" s="9"/>
      <c r="I78" s="9"/>
      <c r="J78" s="217">
        <v>45962</v>
      </c>
      <c r="K78" s="225"/>
      <c r="L78" s="217" t="s">
        <v>358</v>
      </c>
      <c r="M78" s="217">
        <v>45962</v>
      </c>
      <c r="N78" s="20"/>
      <c r="O78" s="20" t="s">
        <v>1035</v>
      </c>
      <c r="P78" s="9"/>
      <c r="Q78" s="129"/>
      <c r="R78" s="8"/>
      <c r="S78" s="21"/>
      <c r="T78" s="237"/>
      <c r="U78" s="237"/>
      <c r="V78" s="8"/>
      <c r="W78" s="8"/>
      <c r="X78" s="8"/>
      <c r="Y78" s="8"/>
      <c r="Z78" s="9"/>
      <c r="AA78" s="8"/>
      <c r="AB78" s="9"/>
      <c r="AC78" s="9"/>
      <c r="AD78" s="9"/>
      <c r="AE78" s="9"/>
      <c r="AF78" s="9"/>
      <c r="AG78" s="9"/>
      <c r="AH78" s="9"/>
      <c r="AI78" s="9"/>
      <c r="AJ78" s="225" t="str">
        <f>IF(ISBLANK(Mentor_Connect[[#This Row],[Meeting Date]]),"",Mentor_Connect[[#This Row],[Meeting Date]]-WEEKDAY(Mentor_Connect[[#This Row],[Meeting Date]],2)+1)</f>
        <v/>
      </c>
      <c r="AK78" s="222">
        <f>IF(ISBLANK(Mentor_Connect[[#This Row],[Preferred Mentor Selected On]]),"",Mentor_Connect[[#This Row],[Preferred Mentor Selected On]]-WEEKDAY(Mentor_Connect[[#This Row],[Preferred Mentor Selected On]],2)+1)</f>
        <v>45957</v>
      </c>
    </row>
    <row r="79" spans="1:37" ht="24.6" customHeight="1" x14ac:dyDescent="0.3">
      <c r="A79" s="237" t="s">
        <v>283</v>
      </c>
      <c r="B79" s="237" t="str">
        <f>VLOOKUP(Mentor_Connect[[#This Row],[Venture Name]],[1]!VenturesList[#All],2,FALSE)</f>
        <v>Accelerate Core</v>
      </c>
      <c r="C79" s="339">
        <f>VLOOKUP(Mentor_Connect[[#This Row],[Venture Name]],[1]!VenturesList[#All],3,FALSE)</f>
        <v>45870</v>
      </c>
      <c r="D79" s="237" t="str">
        <f>VLOOKUP(Mentor_Connect[[#This Row],[Venture Name]],[1]!VenturesList[#All],5,FALSE)</f>
        <v xml:space="preserve">Kedar </v>
      </c>
      <c r="E79" s="238" t="s">
        <v>950</v>
      </c>
      <c r="F79" s="238" t="s">
        <v>436</v>
      </c>
      <c r="G79" s="21"/>
      <c r="H79" s="21"/>
      <c r="I79" s="21"/>
      <c r="J79" s="339">
        <v>45870</v>
      </c>
      <c r="K79" s="240"/>
      <c r="L79" s="239" t="s">
        <v>358</v>
      </c>
      <c r="M79" s="239">
        <v>45870</v>
      </c>
      <c r="N79" s="241"/>
      <c r="O79" s="241" t="s">
        <v>233</v>
      </c>
      <c r="P79" s="21"/>
      <c r="Q79" s="242"/>
      <c r="R79" s="237"/>
      <c r="S79" s="21"/>
      <c r="T79" s="237"/>
      <c r="U79" s="237"/>
      <c r="V79" s="387"/>
      <c r="W79" s="387"/>
      <c r="X79" s="387"/>
      <c r="Y79" s="387"/>
      <c r="Z79" s="21"/>
      <c r="AA79" s="237"/>
      <c r="AB79" s="21"/>
      <c r="AC79" s="21"/>
      <c r="AD79" s="21"/>
      <c r="AE79" s="21"/>
      <c r="AF79" s="21"/>
      <c r="AG79" s="21"/>
      <c r="AH79" s="21"/>
      <c r="AI79" s="9"/>
      <c r="AJ79" s="225" t="str">
        <f>IF(ISBLANK(Mentor_Connect[[#This Row],[Meeting Date]]),"",Mentor_Connect[[#This Row],[Meeting Date]]-WEEKDAY(Mentor_Connect[[#This Row],[Meeting Date]],2)+1)</f>
        <v/>
      </c>
      <c r="AK79" s="222">
        <f>IF(ISBLANK(Mentor_Connect[[#This Row],[Preferred Mentor Selected On]]),"",Mentor_Connect[[#This Row],[Preferred Mentor Selected On]]-WEEKDAY(Mentor_Connect[[#This Row],[Preferred Mentor Selected On]],2)+1)</f>
        <v>45866</v>
      </c>
    </row>
    <row r="80" spans="1:37" s="405" customFormat="1" ht="24.6" customHeight="1" x14ac:dyDescent="0.3">
      <c r="A80" s="8" t="s">
        <v>23</v>
      </c>
      <c r="B80" s="8" t="str">
        <f>VLOOKUP(Mentor_Connect[[#This Row],[Venture Name]],[1]!VenturesList[#All],2,FALSE)</f>
        <v>Accelerate Prime</v>
      </c>
      <c r="C80" s="223">
        <f>VLOOKUP(Mentor_Connect[[#This Row],[Venture Name]],[1]!VenturesList[#All],3,FALSE)</f>
        <v>45870</v>
      </c>
      <c r="D80" s="8" t="str">
        <f>VLOOKUP(Mentor_Connect[[#This Row],[Venture Name]],[1]!VenturesList[#All],5,FALSE)</f>
        <v>Kedar</v>
      </c>
      <c r="E80" s="216" t="s">
        <v>950</v>
      </c>
      <c r="F80" s="216" t="s">
        <v>440</v>
      </c>
      <c r="G80" s="217">
        <v>45932</v>
      </c>
      <c r="H80" s="217"/>
      <c r="I80" s="217"/>
      <c r="J80" s="261">
        <v>45959</v>
      </c>
      <c r="K80" s="225"/>
      <c r="L80" s="217" t="s">
        <v>345</v>
      </c>
      <c r="M80" s="217">
        <v>45959</v>
      </c>
      <c r="N80" s="20" t="s">
        <v>1052</v>
      </c>
      <c r="O80" s="159" t="s">
        <v>1053</v>
      </c>
      <c r="P80" s="6"/>
      <c r="Q80" s="227"/>
      <c r="R80" s="8"/>
      <c r="S80" s="9" t="s">
        <v>205</v>
      </c>
      <c r="T80" s="8" t="s">
        <v>206</v>
      </c>
      <c r="U80" s="8">
        <v>8149993555</v>
      </c>
      <c r="V80" s="8"/>
      <c r="W80" s="8"/>
      <c r="X80" s="8"/>
      <c r="Y80" s="8"/>
      <c r="Z80" s="9"/>
      <c r="AA80" s="8"/>
      <c r="AB80" s="9"/>
      <c r="AC80" s="9"/>
      <c r="AD80" s="9"/>
      <c r="AE80" s="9"/>
      <c r="AF80" s="9"/>
      <c r="AG80" s="9"/>
      <c r="AH80" s="9"/>
      <c r="AI80" s="9"/>
      <c r="AJ80" s="403" t="str">
        <f>IF(ISBLANK(Mentor_Connect[[#This Row],[Meeting Date]]),"",Mentor_Connect[[#This Row],[Meeting Date]]-WEEKDAY(Mentor_Connect[[#This Row],[Meeting Date]],2)+1)</f>
        <v/>
      </c>
      <c r="AK80" s="404">
        <f>IF(ISBLANK(Mentor_Connect[[#This Row],[Preferred Mentor Selected On]]),"",Mentor_Connect[[#This Row],[Preferred Mentor Selected On]]-WEEKDAY(Mentor_Connect[[#This Row],[Preferred Mentor Selected On]],2)+1)</f>
        <v>45957</v>
      </c>
    </row>
    <row r="81" spans="1:37" ht="24.6" customHeight="1" x14ac:dyDescent="0.3">
      <c r="A81" s="8" t="s">
        <v>23</v>
      </c>
      <c r="B81" s="8" t="str">
        <f>VLOOKUP(Mentor_Connect[[#This Row],[Venture Name]],[1]!VenturesList[#All],2,FALSE)</f>
        <v>Accelerate Prime</v>
      </c>
      <c r="C81" s="223">
        <f>VLOOKUP(Mentor_Connect[[#This Row],[Venture Name]],[1]!VenturesList[#All],3,FALSE)</f>
        <v>45870</v>
      </c>
      <c r="D81" s="8" t="str">
        <f>VLOOKUP(Mentor_Connect[[#This Row],[Venture Name]],[1]!VenturesList[#All],5,FALSE)</f>
        <v>Kedar</v>
      </c>
      <c r="E81" s="216" t="s">
        <v>101</v>
      </c>
      <c r="F81" s="369" t="s">
        <v>18</v>
      </c>
      <c r="G81" s="217">
        <v>45932</v>
      </c>
      <c r="H81" s="217"/>
      <c r="I81" s="217"/>
      <c r="J81" s="261">
        <v>45959</v>
      </c>
      <c r="K81" s="225">
        <v>46009</v>
      </c>
      <c r="L81" s="217" t="s">
        <v>345</v>
      </c>
      <c r="M81" s="217">
        <v>45959</v>
      </c>
      <c r="N81" s="20" t="s">
        <v>1054</v>
      </c>
      <c r="O81" s="6" t="s">
        <v>1055</v>
      </c>
      <c r="P81" s="6"/>
      <c r="Q81" s="129">
        <v>115010117943</v>
      </c>
      <c r="R81" s="2" t="s">
        <v>913</v>
      </c>
      <c r="S81" s="9" t="s">
        <v>205</v>
      </c>
      <c r="T81" s="8" t="s">
        <v>206</v>
      </c>
      <c r="U81" s="8">
        <v>8149993555</v>
      </c>
      <c r="V81" s="2" t="s">
        <v>1056</v>
      </c>
      <c r="W81" s="2"/>
      <c r="X81" s="53" t="s">
        <v>1057</v>
      </c>
      <c r="Y81" s="53" t="s">
        <v>1058</v>
      </c>
      <c r="Z81" s="9"/>
      <c r="AA81" s="8"/>
      <c r="AB81" s="9"/>
      <c r="AC81" s="9"/>
      <c r="AD81" s="9"/>
      <c r="AE81" s="9"/>
      <c r="AF81" s="9"/>
      <c r="AG81" s="9"/>
      <c r="AH81" s="9"/>
      <c r="AI81" s="9" t="s">
        <v>916</v>
      </c>
      <c r="AJ81" s="225">
        <f>IF(ISBLANK(Mentor_Connect[[#This Row],[Meeting Date]]),"",Mentor_Connect[[#This Row],[Meeting Date]]-WEEKDAY(Mentor_Connect[[#This Row],[Meeting Date]],2)+1)</f>
        <v>46006</v>
      </c>
      <c r="AK81" s="222">
        <f>IF(ISBLANK(Mentor_Connect[[#This Row],[Preferred Mentor Selected On]]),"",Mentor_Connect[[#This Row],[Preferred Mentor Selected On]]-WEEKDAY(Mentor_Connect[[#This Row],[Preferred Mentor Selected On]],2)+1)</f>
        <v>45957</v>
      </c>
    </row>
    <row r="82" spans="1:37" ht="24.6" customHeight="1" x14ac:dyDescent="0.3">
      <c r="A82" s="8" t="s">
        <v>23</v>
      </c>
      <c r="B82" s="8" t="str">
        <f>VLOOKUP(Mentor_Connect[[#This Row],[Venture Name]],[1]!VenturesList[#All],2,FALSE)</f>
        <v>Accelerate Prime</v>
      </c>
      <c r="C82" s="223">
        <f>VLOOKUP(Mentor_Connect[[#This Row],[Venture Name]],[1]!VenturesList[#All],3,FALSE)</f>
        <v>45870</v>
      </c>
      <c r="D82" s="8" t="str">
        <f>VLOOKUP(Mentor_Connect[[#This Row],[Venture Name]],[1]!VenturesList[#All],5,FALSE)</f>
        <v>Kedar</v>
      </c>
      <c r="E82" s="216" t="s">
        <v>102</v>
      </c>
      <c r="F82" s="369" t="s">
        <v>18</v>
      </c>
      <c r="G82" s="217">
        <v>45932</v>
      </c>
      <c r="H82" s="217"/>
      <c r="I82" s="217"/>
      <c r="J82" s="261">
        <v>45959</v>
      </c>
      <c r="K82" s="225">
        <v>46009</v>
      </c>
      <c r="L82" s="217" t="s">
        <v>345</v>
      </c>
      <c r="M82" s="217">
        <v>45959</v>
      </c>
      <c r="N82" s="20" t="s">
        <v>1059</v>
      </c>
      <c r="O82" s="6" t="s">
        <v>1060</v>
      </c>
      <c r="P82" s="20"/>
      <c r="Q82" s="129">
        <v>115010117925</v>
      </c>
      <c r="R82" s="2" t="s">
        <v>913</v>
      </c>
      <c r="S82" s="9" t="s">
        <v>205</v>
      </c>
      <c r="T82" s="8" t="s">
        <v>206</v>
      </c>
      <c r="U82" s="8">
        <v>8149993555</v>
      </c>
      <c r="V82" s="2" t="s">
        <v>1056</v>
      </c>
      <c r="W82" s="2"/>
      <c r="X82" s="53" t="s">
        <v>1061</v>
      </c>
      <c r="Y82" s="53" t="s">
        <v>1062</v>
      </c>
      <c r="Z82" s="9"/>
      <c r="AA82" s="8"/>
      <c r="AB82" s="9"/>
      <c r="AC82" s="9"/>
      <c r="AD82" s="9"/>
      <c r="AE82" s="9"/>
      <c r="AF82" s="9"/>
      <c r="AG82" s="9"/>
      <c r="AH82" s="9"/>
      <c r="AI82" s="9" t="s">
        <v>916</v>
      </c>
      <c r="AJ82" s="225">
        <f>IF(ISBLANK(Mentor_Connect[[#This Row],[Meeting Date]]),"",Mentor_Connect[[#This Row],[Meeting Date]]-WEEKDAY(Mentor_Connect[[#This Row],[Meeting Date]],2)+1)</f>
        <v>46006</v>
      </c>
      <c r="AK82" s="222">
        <f>IF(ISBLANK(Mentor_Connect[[#This Row],[Preferred Mentor Selected On]]),"",Mentor_Connect[[#This Row],[Preferred Mentor Selected On]]-WEEKDAY(Mentor_Connect[[#This Row],[Preferred Mentor Selected On]],2)+1)</f>
        <v>45957</v>
      </c>
    </row>
    <row r="83" spans="1:37" ht="24.6" customHeight="1" x14ac:dyDescent="0.3">
      <c r="A83" s="275" t="s">
        <v>34</v>
      </c>
      <c r="B83" s="275" t="str">
        <f>VLOOKUP(Mentor_Connect[[#This Row],[Venture Name]],[1]!VenturesList[#All],2,FALSE)</f>
        <v>Accelerate Prime</v>
      </c>
      <c r="C83" s="1">
        <f>VLOOKUP(Mentor_Connect[[#This Row],[Venture Name]],[1]!VenturesList[#All],3,FALSE)</f>
        <v>45839</v>
      </c>
      <c r="D83" s="275" t="str">
        <f>VLOOKUP(Mentor_Connect[[#This Row],[Venture Name]],[1]!VenturesList[#All],5,FALSE)</f>
        <v>Kedar</v>
      </c>
      <c r="E83" s="3" t="s">
        <v>105</v>
      </c>
      <c r="F83" s="216" t="s">
        <v>18</v>
      </c>
      <c r="G83" s="217">
        <v>45936</v>
      </c>
      <c r="H83" s="217"/>
      <c r="I83" s="217"/>
      <c r="J83" s="261">
        <v>45971</v>
      </c>
      <c r="K83" s="220">
        <v>45974</v>
      </c>
      <c r="L83" s="217" t="s">
        <v>345</v>
      </c>
      <c r="M83" s="217">
        <v>45971</v>
      </c>
      <c r="N83" s="4" t="s">
        <v>1063</v>
      </c>
      <c r="O83" s="60" t="s">
        <v>925</v>
      </c>
      <c r="P83" s="5" t="s">
        <v>358</v>
      </c>
      <c r="Q83" s="10">
        <v>115006766979</v>
      </c>
      <c r="R83" s="2" t="s">
        <v>913</v>
      </c>
      <c r="S83" s="2" t="s">
        <v>146</v>
      </c>
      <c r="T83" s="8" t="s">
        <v>147</v>
      </c>
      <c r="U83" s="2" t="s">
        <v>148</v>
      </c>
      <c r="V83" s="6" t="s">
        <v>915</v>
      </c>
      <c r="W83" s="6"/>
      <c r="X83" s="6" t="s">
        <v>432</v>
      </c>
      <c r="Y83" s="6" t="s">
        <v>432</v>
      </c>
      <c r="Z83" s="9"/>
      <c r="AA83" s="8"/>
      <c r="AB83" s="9"/>
      <c r="AC83" s="9"/>
      <c r="AD83" s="9"/>
      <c r="AE83" s="9"/>
      <c r="AF83" s="9"/>
      <c r="AG83" s="9"/>
      <c r="AH83" s="9"/>
      <c r="AI83" s="9" t="s">
        <v>916</v>
      </c>
      <c r="AJ83" s="225">
        <f>IF(ISBLANK(Mentor_Connect[[#This Row],[Meeting Date]]),"",Mentor_Connect[[#This Row],[Meeting Date]]-WEEKDAY(Mentor_Connect[[#This Row],[Meeting Date]],2)+1)</f>
        <v>45971</v>
      </c>
      <c r="AK83" s="222">
        <f>IF(ISBLANK(Mentor_Connect[[#This Row],[Preferred Mentor Selected On]]),"",Mentor_Connect[[#This Row],[Preferred Mentor Selected On]]-WEEKDAY(Mentor_Connect[[#This Row],[Preferred Mentor Selected On]],2)+1)</f>
        <v>45971</v>
      </c>
    </row>
    <row r="84" spans="1:37" ht="24.6" customHeight="1" x14ac:dyDescent="0.3">
      <c r="A84" s="275" t="s">
        <v>34</v>
      </c>
      <c r="B84" s="275" t="str">
        <f>VLOOKUP(Mentor_Connect[[#This Row],[Venture Name]],[1]!VenturesList[#All],2,FALSE)</f>
        <v>Accelerate Prime</v>
      </c>
      <c r="C84" s="1">
        <f>VLOOKUP(Mentor_Connect[[#This Row],[Venture Name]],[1]!VenturesList[#All],3,FALSE)</f>
        <v>45839</v>
      </c>
      <c r="D84" s="275" t="str">
        <f>VLOOKUP(Mentor_Connect[[#This Row],[Venture Name]],[1]!VenturesList[#All],5,FALSE)</f>
        <v>Kedar</v>
      </c>
      <c r="E84" s="3" t="s">
        <v>106</v>
      </c>
      <c r="F84" s="216" t="s">
        <v>18</v>
      </c>
      <c r="G84" s="217">
        <v>45936</v>
      </c>
      <c r="H84" s="217"/>
      <c r="I84" s="217"/>
      <c r="J84" s="261">
        <v>45971</v>
      </c>
      <c r="K84" s="220">
        <v>45974</v>
      </c>
      <c r="L84" s="217" t="s">
        <v>345</v>
      </c>
      <c r="M84" s="217">
        <v>45971</v>
      </c>
      <c r="N84" s="4"/>
      <c r="O84" s="60" t="s">
        <v>925</v>
      </c>
      <c r="P84" s="5" t="s">
        <v>358</v>
      </c>
      <c r="Q84" s="10">
        <v>115006767952</v>
      </c>
      <c r="R84" s="2" t="s">
        <v>913</v>
      </c>
      <c r="S84" s="2" t="s">
        <v>146</v>
      </c>
      <c r="T84" s="8" t="s">
        <v>147</v>
      </c>
      <c r="U84" s="2" t="s">
        <v>148</v>
      </c>
      <c r="V84" s="6" t="s">
        <v>915</v>
      </c>
      <c r="W84" s="6"/>
      <c r="X84" s="6" t="s">
        <v>432</v>
      </c>
      <c r="Y84" s="6" t="s">
        <v>432</v>
      </c>
      <c r="Z84" s="9"/>
      <c r="AA84" s="8"/>
      <c r="AB84" s="9"/>
      <c r="AC84" s="9"/>
      <c r="AD84" s="9"/>
      <c r="AE84" s="9"/>
      <c r="AF84" s="9"/>
      <c r="AG84" s="9"/>
      <c r="AH84" s="9"/>
      <c r="AI84" s="9" t="s">
        <v>916</v>
      </c>
      <c r="AJ84" s="225">
        <f>IF(ISBLANK(Mentor_Connect[[#This Row],[Meeting Date]]),"",Mentor_Connect[[#This Row],[Meeting Date]]-WEEKDAY(Mentor_Connect[[#This Row],[Meeting Date]],2)+1)</f>
        <v>45971</v>
      </c>
      <c r="AK84" s="222">
        <f>IF(ISBLANK(Mentor_Connect[[#This Row],[Preferred Mentor Selected On]]),"",Mentor_Connect[[#This Row],[Preferred Mentor Selected On]]-WEEKDAY(Mentor_Connect[[#This Row],[Preferred Mentor Selected On]],2)+1)</f>
        <v>45971</v>
      </c>
    </row>
    <row r="85" spans="1:37" ht="24.6" customHeight="1" x14ac:dyDescent="0.3">
      <c r="A85" s="8" t="s">
        <v>79</v>
      </c>
      <c r="B85" s="8" t="str">
        <f>VLOOKUP(Mentor_Connect[[#This Row],[Venture Name]],[1]!VenturesList[#All],2,FALSE)</f>
        <v>Accelerate Prime</v>
      </c>
      <c r="C85" s="223">
        <f>VLOOKUP(Mentor_Connect[[#This Row],[Venture Name]],[1]!VenturesList[#All],3,FALSE)</f>
        <v>45901</v>
      </c>
      <c r="D85" s="8" t="str">
        <f>VLOOKUP(Mentor_Connect[[#This Row],[Venture Name]],[1]!VenturesList[#All],5,FALSE)</f>
        <v>Shruti Modi</v>
      </c>
      <c r="E85" s="216" t="s">
        <v>107</v>
      </c>
      <c r="F85" s="216" t="s">
        <v>18</v>
      </c>
      <c r="G85" s="217">
        <v>45939</v>
      </c>
      <c r="H85" s="217"/>
      <c r="I85" s="217"/>
      <c r="J85" s="225">
        <v>46002</v>
      </c>
      <c r="K85" s="225">
        <v>46008</v>
      </c>
      <c r="L85" s="217" t="s">
        <v>345</v>
      </c>
      <c r="M85" s="217">
        <v>46002</v>
      </c>
      <c r="N85" s="6" t="s">
        <v>1064</v>
      </c>
      <c r="O85" s="6" t="s">
        <v>1065</v>
      </c>
      <c r="P85" s="9"/>
      <c r="Q85" s="129">
        <v>115010120828</v>
      </c>
      <c r="R85" s="8" t="s">
        <v>913</v>
      </c>
      <c r="S85" s="9" t="s">
        <v>194</v>
      </c>
      <c r="T85" s="8" t="s">
        <v>195</v>
      </c>
      <c r="U85" s="8">
        <v>9974393935</v>
      </c>
      <c r="V85" s="2" t="s">
        <v>1066</v>
      </c>
      <c r="W85" s="2"/>
      <c r="X85" s="53" t="s">
        <v>1067</v>
      </c>
      <c r="Y85" s="53" t="s">
        <v>1068</v>
      </c>
      <c r="Z85" s="9"/>
      <c r="AA85" s="8"/>
      <c r="AB85" s="9"/>
      <c r="AC85" s="9"/>
      <c r="AD85" s="9"/>
      <c r="AE85" s="9"/>
      <c r="AF85" s="9"/>
      <c r="AG85" s="9"/>
      <c r="AH85" s="9"/>
      <c r="AI85" s="9" t="s">
        <v>916</v>
      </c>
      <c r="AJ85" s="225">
        <f>IF(ISBLANK(Mentor_Connect[[#This Row],[Meeting Date]]),"",Mentor_Connect[[#This Row],[Meeting Date]]-WEEKDAY(Mentor_Connect[[#This Row],[Meeting Date]],2)+1)</f>
        <v>46006</v>
      </c>
      <c r="AK85" s="222">
        <f>IF(ISBLANK(Mentor_Connect[[#This Row],[Preferred Mentor Selected On]]),"",Mentor_Connect[[#This Row],[Preferred Mentor Selected On]]-WEEKDAY(Mentor_Connect[[#This Row],[Preferred Mentor Selected On]],2)+1)</f>
        <v>45999</v>
      </c>
    </row>
    <row r="86" spans="1:37" ht="24.6" customHeight="1" x14ac:dyDescent="0.3">
      <c r="A86" s="279" t="s">
        <v>79</v>
      </c>
      <c r="B86" s="279" t="str">
        <f>VLOOKUP(Mentor_Connect[[#This Row],[Venture Name]],[1]!VenturesList[#All],2,FALSE)</f>
        <v>Accelerate Prime</v>
      </c>
      <c r="C86" s="328">
        <f>VLOOKUP(Mentor_Connect[[#This Row],[Venture Name]],[1]!VenturesList[#All],3,FALSE)</f>
        <v>45901</v>
      </c>
      <c r="D86" s="279" t="str">
        <f>VLOOKUP(Mentor_Connect[[#This Row],[Venture Name]],[1]!VenturesList[#All],5,FALSE)</f>
        <v>Shruti Modi</v>
      </c>
      <c r="E86" s="288" t="s">
        <v>1069</v>
      </c>
      <c r="F86" s="288" t="s">
        <v>444</v>
      </c>
      <c r="G86" s="218">
        <v>45939</v>
      </c>
      <c r="H86" s="218"/>
      <c r="I86" s="218"/>
      <c r="J86" s="219">
        <v>46002</v>
      </c>
      <c r="K86" s="219"/>
      <c r="L86" s="218" t="s">
        <v>345</v>
      </c>
      <c r="M86" s="218">
        <v>46002</v>
      </c>
      <c r="N86" s="406" t="s">
        <v>1070</v>
      </c>
      <c r="O86" s="399" t="s">
        <v>1071</v>
      </c>
      <c r="P86" s="36"/>
      <c r="Q86" s="149"/>
      <c r="R86" s="279"/>
      <c r="S86" s="36"/>
      <c r="T86" s="279"/>
      <c r="U86" s="279"/>
      <c r="V86" s="279"/>
      <c r="W86" s="279"/>
      <c r="X86" s="279"/>
      <c r="Y86" s="279"/>
      <c r="Z86" s="36"/>
      <c r="AA86" s="279"/>
      <c r="AB86" s="36"/>
      <c r="AC86" s="36"/>
      <c r="AD86" s="36"/>
      <c r="AE86" s="36"/>
      <c r="AF86" s="36"/>
      <c r="AG86" s="36"/>
      <c r="AH86" s="36"/>
      <c r="AI86" s="9"/>
      <c r="AJ86" s="225" t="str">
        <f>IF(ISBLANK(Mentor_Connect[[#This Row],[Meeting Date]]),"",Mentor_Connect[[#This Row],[Meeting Date]]-WEEKDAY(Mentor_Connect[[#This Row],[Meeting Date]],2)+1)</f>
        <v/>
      </c>
      <c r="AK86" s="222">
        <f>IF(ISBLANK(Mentor_Connect[[#This Row],[Preferred Mentor Selected On]]),"",Mentor_Connect[[#This Row],[Preferred Mentor Selected On]]-WEEKDAY(Mentor_Connect[[#This Row],[Preferred Mentor Selected On]],2)+1)</f>
        <v>45999</v>
      </c>
    </row>
    <row r="87" spans="1:37" ht="24.6" customHeight="1" x14ac:dyDescent="0.3">
      <c r="A87" s="8" t="s">
        <v>204</v>
      </c>
      <c r="B87" s="8" t="str">
        <f>VLOOKUP(Mentor_Connect[[#This Row],[Venture Name]],[1]!VenturesList[#All],2,FALSE)</f>
        <v>Accelerate Prime</v>
      </c>
      <c r="C87" s="223">
        <f>VLOOKUP(Mentor_Connect[[#This Row],[Venture Name]],[1]!VenturesList[#All],3,FALSE)</f>
        <v>45901</v>
      </c>
      <c r="D87" s="8" t="str">
        <f>VLOOKUP(Mentor_Connect[[#This Row],[Venture Name]],[1]!VenturesList[#All],5,FALSE)</f>
        <v>Kedar</v>
      </c>
      <c r="E87" s="216" t="s">
        <v>950</v>
      </c>
      <c r="F87" s="216" t="s">
        <v>440</v>
      </c>
      <c r="G87" s="217">
        <v>45939</v>
      </c>
      <c r="H87" s="407">
        <v>46029</v>
      </c>
      <c r="I87" s="407">
        <v>46030</v>
      </c>
      <c r="J87" s="225">
        <v>45901</v>
      </c>
      <c r="K87" s="225"/>
      <c r="L87" s="218" t="s">
        <v>358</v>
      </c>
      <c r="M87" s="217">
        <v>45901</v>
      </c>
      <c r="N87" s="226"/>
      <c r="O87" s="6" t="s">
        <v>1072</v>
      </c>
      <c r="P87" s="9"/>
      <c r="Q87" s="129"/>
      <c r="R87" s="8"/>
      <c r="S87" s="9"/>
      <c r="T87" s="8"/>
      <c r="U87" s="8"/>
      <c r="V87" s="8"/>
      <c r="W87" s="8"/>
      <c r="X87" s="8"/>
      <c r="Y87" s="8"/>
      <c r="Z87" s="9"/>
      <c r="AA87" s="8"/>
      <c r="AB87" s="9"/>
      <c r="AC87" s="9"/>
      <c r="AD87" s="9"/>
      <c r="AE87" s="9"/>
      <c r="AF87" s="9"/>
      <c r="AG87" s="9"/>
      <c r="AH87" s="9"/>
      <c r="AI87" s="9"/>
      <c r="AJ87" s="225" t="str">
        <f>IF(ISBLANK(Mentor_Connect[[#This Row],[Meeting Date]]),"",Mentor_Connect[[#This Row],[Meeting Date]]-WEEKDAY(Mentor_Connect[[#This Row],[Meeting Date]],2)+1)</f>
        <v/>
      </c>
      <c r="AK87" s="222">
        <f>IF(ISBLANK(Mentor_Connect[[#This Row],[Preferred Mentor Selected On]]),"",Mentor_Connect[[#This Row],[Preferred Mentor Selected On]]-WEEKDAY(Mentor_Connect[[#This Row],[Preferred Mentor Selected On]],2)+1)</f>
        <v>45901</v>
      </c>
    </row>
    <row r="88" spans="1:37" ht="24.6" customHeight="1" x14ac:dyDescent="0.3">
      <c r="A88" s="279" t="s">
        <v>16</v>
      </c>
      <c r="B88" s="279" t="str">
        <f>VLOOKUP(Mentor_Connect[[#This Row],[Venture Name]],[1]!VenturesList[#All],2,FALSE)</f>
        <v>Accelerate Core</v>
      </c>
      <c r="C88" s="328">
        <f>VLOOKUP(Mentor_Connect[[#This Row],[Venture Name]],[1]!VenturesList[#All],3,FALSE)</f>
        <v>45839</v>
      </c>
      <c r="D88" s="279" t="str">
        <f>VLOOKUP(Mentor_Connect[[#This Row],[Venture Name]],[1]!VenturesList[#All],5,FALSE)</f>
        <v>Jigar</v>
      </c>
      <c r="E88" s="288" t="s">
        <v>14</v>
      </c>
      <c r="F88" s="252" t="s">
        <v>18</v>
      </c>
      <c r="G88" s="218">
        <v>45943</v>
      </c>
      <c r="H88" s="239">
        <v>45925</v>
      </c>
      <c r="I88" s="218">
        <v>45925</v>
      </c>
      <c r="J88" s="225">
        <v>45943</v>
      </c>
      <c r="K88" s="219">
        <v>46014</v>
      </c>
      <c r="L88" s="217" t="s">
        <v>345</v>
      </c>
      <c r="M88" s="217">
        <v>45943</v>
      </c>
      <c r="N88" s="20"/>
      <c r="O88" s="290" t="s">
        <v>1073</v>
      </c>
      <c r="P88" s="347"/>
      <c r="Q88" s="408">
        <v>115011737997</v>
      </c>
      <c r="R88" s="409" t="s">
        <v>913</v>
      </c>
      <c r="S88" s="410" t="s">
        <v>453</v>
      </c>
      <c r="T88" s="411" t="s">
        <v>1074</v>
      </c>
      <c r="U88" s="412">
        <v>8141747037</v>
      </c>
      <c r="V88" s="413"/>
      <c r="W88" s="413"/>
      <c r="X88" s="414" t="s">
        <v>1075</v>
      </c>
      <c r="Y88" s="414" t="s">
        <v>1076</v>
      </c>
      <c r="Z88" s="36"/>
      <c r="AA88" s="279"/>
      <c r="AB88" s="36"/>
      <c r="AC88" s="36"/>
      <c r="AD88" s="36"/>
      <c r="AE88" s="36"/>
      <c r="AF88" s="36"/>
      <c r="AG88" s="36"/>
      <c r="AH88" s="279" t="s">
        <v>433</v>
      </c>
      <c r="AI88" s="9" t="s">
        <v>916</v>
      </c>
      <c r="AJ88" s="225">
        <f>IF(ISBLANK(Mentor_Connect[[#This Row],[Meeting Date]]),"",Mentor_Connect[[#This Row],[Meeting Date]]-WEEKDAY(Mentor_Connect[[#This Row],[Meeting Date]],2)+1)</f>
        <v>46013</v>
      </c>
      <c r="AK88" s="222">
        <f>IF(ISBLANK(Mentor_Connect[[#This Row],[Preferred Mentor Selected On]]),"",Mentor_Connect[[#This Row],[Preferred Mentor Selected On]]-WEEKDAY(Mentor_Connect[[#This Row],[Preferred Mentor Selected On]],2)+1)</f>
        <v>45943</v>
      </c>
    </row>
    <row r="89" spans="1:37" ht="24.6" customHeight="1" x14ac:dyDescent="0.3">
      <c r="A89" s="237" t="s">
        <v>22</v>
      </c>
      <c r="B89" s="237" t="str">
        <f>VLOOKUP(Mentor_Connect[[#This Row],[Venture Name]],[1]!VenturesList[#All],2,FALSE)</f>
        <v>Accelerate Prime</v>
      </c>
      <c r="C89" s="339">
        <f>VLOOKUP(Mentor_Connect[[#This Row],[Venture Name]],[1]!VenturesList[#All],3,FALSE)</f>
        <v>45901</v>
      </c>
      <c r="D89" s="364" t="str">
        <f>VLOOKUP(Mentor_Connect[[#This Row],[Venture Name]],[1]!VenturesList[#All],5,FALSE)</f>
        <v>Kedar</v>
      </c>
      <c r="E89" s="238" t="s">
        <v>5</v>
      </c>
      <c r="F89" s="238" t="s">
        <v>18</v>
      </c>
      <c r="G89" s="239">
        <v>45944</v>
      </c>
      <c r="H89" s="217"/>
      <c r="I89" s="217"/>
      <c r="J89" s="261">
        <v>45972</v>
      </c>
      <c r="K89" s="240">
        <v>46044</v>
      </c>
      <c r="L89" s="217" t="s">
        <v>345</v>
      </c>
      <c r="M89" s="217">
        <v>45972</v>
      </c>
      <c r="N89" s="20"/>
      <c r="O89" s="321" t="s">
        <v>925</v>
      </c>
      <c r="P89" s="21"/>
      <c r="Q89" s="242">
        <v>115029724214</v>
      </c>
      <c r="R89" s="243" t="s">
        <v>913</v>
      </c>
      <c r="S89" s="396" t="s">
        <v>150</v>
      </c>
      <c r="T89" s="396" t="s">
        <v>151</v>
      </c>
      <c r="U89" s="396" t="s">
        <v>1077</v>
      </c>
      <c r="V89" s="38" t="s">
        <v>1078</v>
      </c>
      <c r="W89" s="38"/>
      <c r="X89" s="415" t="s">
        <v>1079</v>
      </c>
      <c r="Y89" s="415" t="s">
        <v>1080</v>
      </c>
      <c r="Z89" s="21"/>
      <c r="AA89" s="237"/>
      <c r="AB89" s="21"/>
      <c r="AC89" s="21"/>
      <c r="AD89" s="21"/>
      <c r="AE89" s="21"/>
      <c r="AF89" s="21"/>
      <c r="AG89" s="21"/>
      <c r="AH89" s="8" t="s">
        <v>433</v>
      </c>
      <c r="AI89" s="9" t="s">
        <v>937</v>
      </c>
      <c r="AJ89" s="225">
        <f>IF(ISBLANK(Mentor_Connect[[#This Row],[Meeting Date]]),"",Mentor_Connect[[#This Row],[Meeting Date]]-WEEKDAY(Mentor_Connect[[#This Row],[Meeting Date]],2)+1)</f>
        <v>46041</v>
      </c>
      <c r="AK89" s="222">
        <f>IF(ISBLANK(Mentor_Connect[[#This Row],[Preferred Mentor Selected On]]),"",Mentor_Connect[[#This Row],[Preferred Mentor Selected On]]-WEEKDAY(Mentor_Connect[[#This Row],[Preferred Mentor Selected On]],2)+1)</f>
        <v>45971</v>
      </c>
    </row>
    <row r="90" spans="1:37" ht="24.6" customHeight="1" x14ac:dyDescent="0.3">
      <c r="A90" s="231" t="s">
        <v>219</v>
      </c>
      <c r="B90" s="231" t="str">
        <f>VLOOKUP(Mentor_Connect[[#This Row],[Venture Name]],[1]!VenturesList[#All],2,FALSE)</f>
        <v>Accelerate Core</v>
      </c>
      <c r="C90" s="249">
        <f>VLOOKUP(Mentor_Connect[[#This Row],[Venture Name]],[1]!VenturesList[#All],3,FALSE)</f>
        <v>45870</v>
      </c>
      <c r="D90" s="8" t="str">
        <f>VLOOKUP(Mentor_Connect[[#This Row],[Venture Name]],[1]!VenturesList[#All],5,FALSE)</f>
        <v>Hardeepsinh Jhala</v>
      </c>
      <c r="E90" s="216"/>
      <c r="F90" s="216" t="s">
        <v>436</v>
      </c>
      <c r="G90" s="9"/>
      <c r="H90" s="9"/>
      <c r="I90" s="9"/>
      <c r="J90" s="9"/>
      <c r="K90" s="225"/>
      <c r="L90" s="217"/>
      <c r="M90" s="217"/>
      <c r="N90" s="226"/>
      <c r="O90" s="20"/>
      <c r="P90" s="9"/>
      <c r="Q90" s="129"/>
      <c r="R90" s="8"/>
      <c r="S90" s="9"/>
      <c r="T90" s="8"/>
      <c r="U90" s="8"/>
      <c r="V90" s="8"/>
      <c r="W90" s="8"/>
      <c r="X90" s="8"/>
      <c r="Y90" s="8"/>
      <c r="Z90" s="9"/>
      <c r="AA90" s="8"/>
      <c r="AB90" s="9"/>
      <c r="AC90" s="9"/>
      <c r="AD90" s="9"/>
      <c r="AE90" s="9"/>
      <c r="AF90" s="9"/>
      <c r="AG90" s="9"/>
      <c r="AH90" s="9"/>
      <c r="AI90" s="9"/>
      <c r="AJ90" s="225" t="str">
        <f>IF(ISBLANK(Mentor_Connect[[#This Row],[Meeting Date]]),"",Mentor_Connect[[#This Row],[Meeting Date]]-WEEKDAY(Mentor_Connect[[#This Row],[Meeting Date]],2)+1)</f>
        <v/>
      </c>
      <c r="AK90" s="222" t="str">
        <f>IF(ISBLANK(Mentor_Connect[[#This Row],[Preferred Mentor Selected On]]),"",Mentor_Connect[[#This Row],[Preferred Mentor Selected On]]-WEEKDAY(Mentor_Connect[[#This Row],[Preferred Mentor Selected On]],2)+1)</f>
        <v/>
      </c>
    </row>
    <row r="91" spans="1:37" ht="24.6" customHeight="1" x14ac:dyDescent="0.3">
      <c r="A91" s="237" t="s">
        <v>22</v>
      </c>
      <c r="B91" s="237" t="str">
        <f>VLOOKUP(Mentor_Connect[[#This Row],[Venture Name]],[1]!VenturesList[#All],2,FALSE)</f>
        <v>Accelerate Prime</v>
      </c>
      <c r="C91" s="339">
        <f>VLOOKUP(Mentor_Connect[[#This Row],[Venture Name]],[1]!VenturesList[#All],3,FALSE)</f>
        <v>45901</v>
      </c>
      <c r="D91" s="364" t="str">
        <f>VLOOKUP(Mentor_Connect[[#This Row],[Venture Name]],[1]!VenturesList[#All],5,FALSE)</f>
        <v>Kedar</v>
      </c>
      <c r="E91" s="238" t="s">
        <v>5</v>
      </c>
      <c r="F91" s="216" t="s">
        <v>18</v>
      </c>
      <c r="G91" s="253">
        <v>45944</v>
      </c>
      <c r="H91" s="239"/>
      <c r="I91" s="217"/>
      <c r="J91" s="365">
        <v>45972</v>
      </c>
      <c r="K91" s="240">
        <v>46057</v>
      </c>
      <c r="L91" s="239" t="s">
        <v>345</v>
      </c>
      <c r="M91" s="239">
        <v>45972</v>
      </c>
      <c r="N91" s="340"/>
      <c r="O91" s="60" t="s">
        <v>925</v>
      </c>
      <c r="P91" s="21"/>
      <c r="Q91" s="242">
        <v>115042335711</v>
      </c>
      <c r="R91" s="243" t="s">
        <v>913</v>
      </c>
      <c r="S91" s="416" t="s">
        <v>150</v>
      </c>
      <c r="T91" s="417" t="s">
        <v>151</v>
      </c>
      <c r="U91" s="416" t="s">
        <v>1077</v>
      </c>
      <c r="V91" s="38" t="s">
        <v>1081</v>
      </c>
      <c r="W91" s="38"/>
      <c r="X91" s="415" t="s">
        <v>1082</v>
      </c>
      <c r="Y91" s="415" t="s">
        <v>1083</v>
      </c>
      <c r="Z91" s="21"/>
      <c r="AA91" s="237"/>
      <c r="AB91" s="21"/>
      <c r="AC91" s="21"/>
      <c r="AD91" s="21"/>
      <c r="AE91" s="21"/>
      <c r="AF91" s="21"/>
      <c r="AG91" s="21"/>
      <c r="AH91" s="8" t="s">
        <v>433</v>
      </c>
      <c r="AI91" s="9" t="s">
        <v>937</v>
      </c>
      <c r="AJ91" s="225">
        <f>IF(ISBLANK(Mentor_Connect[[#This Row],[Meeting Date]]),"",Mentor_Connect[[#This Row],[Meeting Date]]-WEEKDAY(Mentor_Connect[[#This Row],[Meeting Date]],2)+1)</f>
        <v>46055</v>
      </c>
      <c r="AK91" s="222">
        <f>IF(ISBLANK(Mentor_Connect[[#This Row],[Preferred Mentor Selected On]]),"",Mentor_Connect[[#This Row],[Preferred Mentor Selected On]]-WEEKDAY(Mentor_Connect[[#This Row],[Preferred Mentor Selected On]],2)+1)</f>
        <v>45971</v>
      </c>
    </row>
    <row r="92" spans="1:37" ht="24.6" customHeight="1" x14ac:dyDescent="0.3">
      <c r="A92" s="392" t="s">
        <v>22</v>
      </c>
      <c r="B92" s="392" t="str">
        <f>VLOOKUP(Mentor_Connect[[#This Row],[Venture Name]],[1]!VenturesList[#All],2,FALSE)</f>
        <v>Accelerate Prime</v>
      </c>
      <c r="C92" s="1">
        <f>VLOOKUP(Mentor_Connect[[#This Row],[Venture Name]],[1]!VenturesList[#All],3,FALSE)</f>
        <v>45901</v>
      </c>
      <c r="D92" s="275" t="str">
        <f>VLOOKUP(Mentor_Connect[[#This Row],[Venture Name]],[1]!VenturesList[#All],5,FALSE)</f>
        <v>Kedar</v>
      </c>
      <c r="E92" s="3" t="s">
        <v>93</v>
      </c>
      <c r="F92" s="216" t="s">
        <v>18</v>
      </c>
      <c r="G92" s="217">
        <v>45944</v>
      </c>
      <c r="H92" s="217"/>
      <c r="I92" s="217"/>
      <c r="J92" s="261">
        <v>45972</v>
      </c>
      <c r="K92" s="220">
        <v>45975</v>
      </c>
      <c r="L92" s="217" t="s">
        <v>345</v>
      </c>
      <c r="M92" s="217">
        <v>45972</v>
      </c>
      <c r="N92" s="4"/>
      <c r="O92" s="60" t="s">
        <v>925</v>
      </c>
      <c r="P92" s="5" t="s">
        <v>358</v>
      </c>
      <c r="Q92" s="10">
        <v>115006665803</v>
      </c>
      <c r="R92" s="2" t="s">
        <v>913</v>
      </c>
      <c r="S92" s="353" t="s">
        <v>150</v>
      </c>
      <c r="T92" s="246" t="s">
        <v>151</v>
      </c>
      <c r="U92" s="2">
        <v>9881472945</v>
      </c>
      <c r="V92" s="393" t="s">
        <v>1084</v>
      </c>
      <c r="W92" s="393"/>
      <c r="X92" s="393" t="s">
        <v>432</v>
      </c>
      <c r="Y92" s="393" t="s">
        <v>432</v>
      </c>
      <c r="Z92" s="9"/>
      <c r="AA92" s="8" t="s">
        <v>937</v>
      </c>
      <c r="AB92" s="217">
        <v>46062</v>
      </c>
      <c r="AC92" s="217"/>
      <c r="AD92" s="217"/>
      <c r="AE92" s="217"/>
      <c r="AF92" s="217">
        <v>46097</v>
      </c>
      <c r="AG92" s="217" t="s">
        <v>962</v>
      </c>
      <c r="AH92" s="217"/>
      <c r="AI92" s="9" t="s">
        <v>937</v>
      </c>
      <c r="AJ92" s="225">
        <f>IF(ISBLANK(Mentor_Connect[[#This Row],[Meeting Date]]),"",Mentor_Connect[[#This Row],[Meeting Date]]-WEEKDAY(Mentor_Connect[[#This Row],[Meeting Date]],2)+1)</f>
        <v>45971</v>
      </c>
      <c r="AK92" s="222">
        <f>IF(ISBLANK(Mentor_Connect[[#This Row],[Preferred Mentor Selected On]]),"",Mentor_Connect[[#This Row],[Preferred Mentor Selected On]]-WEEKDAY(Mentor_Connect[[#This Row],[Preferred Mentor Selected On]],2)+1)</f>
        <v>45971</v>
      </c>
    </row>
    <row r="93" spans="1:37" ht="24.6" customHeight="1" x14ac:dyDescent="0.3">
      <c r="A93" s="251" t="s">
        <v>22</v>
      </c>
      <c r="B93" s="251" t="str">
        <f>VLOOKUP(Mentor_Connect[[#This Row],[Venture Name]],[1]!VenturesList[#All],2,FALSE)</f>
        <v>Accelerate Prime</v>
      </c>
      <c r="C93" s="282">
        <f>VLOOKUP(Mentor_Connect[[#This Row],[Venture Name]],[1]!VenturesList[#All],3,FALSE)</f>
        <v>45901</v>
      </c>
      <c r="D93" s="286" t="str">
        <f>VLOOKUP(Mentor_Connect[[#This Row],[Venture Name]],[1]!VenturesList[#All],5,FALSE)</f>
        <v>Kedar</v>
      </c>
      <c r="E93" s="50" t="s">
        <v>93</v>
      </c>
      <c r="F93" s="252" t="s">
        <v>18</v>
      </c>
      <c r="G93" s="253">
        <v>45944</v>
      </c>
      <c r="H93" s="253"/>
      <c r="I93" s="253"/>
      <c r="J93" s="254">
        <v>45972</v>
      </c>
      <c r="K93" s="283">
        <v>45989</v>
      </c>
      <c r="L93" s="253" t="s">
        <v>345</v>
      </c>
      <c r="M93" s="253">
        <v>45972</v>
      </c>
      <c r="N93" s="284"/>
      <c r="O93" s="256" t="s">
        <v>925</v>
      </c>
      <c r="P93" s="260"/>
      <c r="Q93" s="269">
        <v>115006665803</v>
      </c>
      <c r="R93" s="366" t="s">
        <v>913</v>
      </c>
      <c r="S93" s="396" t="s">
        <v>150</v>
      </c>
      <c r="T93" s="396" t="s">
        <v>151</v>
      </c>
      <c r="U93" s="418" t="s">
        <v>1077</v>
      </c>
      <c r="V93" s="43" t="s">
        <v>1085</v>
      </c>
      <c r="W93" s="43"/>
      <c r="X93" s="393" t="s">
        <v>432</v>
      </c>
      <c r="Y93" s="393" t="s">
        <v>432</v>
      </c>
      <c r="Z93" s="260"/>
      <c r="AA93" s="251" t="s">
        <v>937</v>
      </c>
      <c r="AB93" s="253">
        <v>46062</v>
      </c>
      <c r="AC93" s="253"/>
      <c r="AD93" s="253"/>
      <c r="AE93" s="253"/>
      <c r="AF93" s="253">
        <v>46097</v>
      </c>
      <c r="AG93" s="253" t="s">
        <v>962</v>
      </c>
      <c r="AH93" s="253"/>
      <c r="AI93" s="9" t="s">
        <v>937</v>
      </c>
      <c r="AJ93" s="225">
        <f>IF(ISBLANK(Mentor_Connect[[#This Row],[Meeting Date]]),"",Mentor_Connect[[#This Row],[Meeting Date]]-WEEKDAY(Mentor_Connect[[#This Row],[Meeting Date]],2)+1)</f>
        <v>45985</v>
      </c>
      <c r="AK93" s="222">
        <f>IF(ISBLANK(Mentor_Connect[[#This Row],[Preferred Mentor Selected On]]),"",Mentor_Connect[[#This Row],[Preferred Mentor Selected On]]-WEEKDAY(Mentor_Connect[[#This Row],[Preferred Mentor Selected On]],2)+1)</f>
        <v>45971</v>
      </c>
    </row>
    <row r="94" spans="1:37" ht="24.6" customHeight="1" x14ac:dyDescent="0.3">
      <c r="A94" s="8" t="s">
        <v>274</v>
      </c>
      <c r="B94" s="8" t="str">
        <f>VLOOKUP(Mentor_Connect[[#This Row],[Venture Name]],[1]!VenturesList[#All],2,FALSE)</f>
        <v>Accelerate Core</v>
      </c>
      <c r="C94" s="223">
        <f>VLOOKUP(Mentor_Connect[[#This Row],[Venture Name]],[1]!VenturesList[#All],3,FALSE)</f>
        <v>45901</v>
      </c>
      <c r="D94" s="8" t="str">
        <f>VLOOKUP(Mentor_Connect[[#This Row],[Venture Name]],[1]!VenturesList[#All],5,FALSE)</f>
        <v xml:space="preserve">Kedar </v>
      </c>
      <c r="E94" s="216" t="s">
        <v>950</v>
      </c>
      <c r="F94" s="216" t="s">
        <v>440</v>
      </c>
      <c r="G94" s="217">
        <v>45944</v>
      </c>
      <c r="H94" s="217">
        <v>45980</v>
      </c>
      <c r="I94" s="217">
        <v>45980</v>
      </c>
      <c r="J94" s="225">
        <v>45901</v>
      </c>
      <c r="K94" s="225"/>
      <c r="L94" s="217" t="s">
        <v>358</v>
      </c>
      <c r="M94" s="217">
        <v>45901</v>
      </c>
      <c r="N94" s="20"/>
      <c r="O94" s="159" t="s">
        <v>1086</v>
      </c>
      <c r="P94" s="20"/>
      <c r="Q94" s="391"/>
      <c r="R94" s="8"/>
      <c r="S94" s="9"/>
      <c r="T94" s="8"/>
      <c r="U94" s="8"/>
      <c r="V94" s="8"/>
      <c r="W94" s="8"/>
      <c r="X94" s="8"/>
      <c r="Y94" s="8"/>
      <c r="Z94" s="9"/>
      <c r="AA94" s="8"/>
      <c r="AB94" s="9"/>
      <c r="AC94" s="9"/>
      <c r="AD94" s="9"/>
      <c r="AE94" s="9"/>
      <c r="AF94" s="9"/>
      <c r="AG94" s="9"/>
      <c r="AH94" s="9"/>
      <c r="AI94" s="9"/>
      <c r="AJ94" s="225" t="str">
        <f>IF(ISBLANK(Mentor_Connect[[#This Row],[Meeting Date]]),"",Mentor_Connect[[#This Row],[Meeting Date]]-WEEKDAY(Mentor_Connect[[#This Row],[Meeting Date]],2)+1)</f>
        <v/>
      </c>
      <c r="AK94" s="222">
        <f>IF(ISBLANK(Mentor_Connect[[#This Row],[Preferred Mentor Selected On]]),"",Mentor_Connect[[#This Row],[Preferred Mentor Selected On]]-WEEKDAY(Mentor_Connect[[#This Row],[Preferred Mentor Selected On]],2)+1)</f>
        <v>45901</v>
      </c>
    </row>
    <row r="95" spans="1:37" ht="24.6" customHeight="1" x14ac:dyDescent="0.3">
      <c r="A95" s="8" t="s">
        <v>72</v>
      </c>
      <c r="B95" s="8" t="str">
        <f>VLOOKUP(Mentor_Connect[[#This Row],[Venture Name]],[1]!VenturesList[#All],2,FALSE)</f>
        <v>Accelerate Prime</v>
      </c>
      <c r="C95" s="223">
        <f>VLOOKUP(Mentor_Connect[[#This Row],[Venture Name]],[1]!VenturesList[#All],3,FALSE)</f>
        <v>45870</v>
      </c>
      <c r="D95" s="8" t="str">
        <f>VLOOKUP(Mentor_Connect[[#This Row],[Venture Name]],[1]!VenturesList[#All],5,FALSE)</f>
        <v>Kedar</v>
      </c>
      <c r="E95" s="216" t="s">
        <v>89</v>
      </c>
      <c r="F95" s="216" t="s">
        <v>446</v>
      </c>
      <c r="G95" s="217">
        <v>45944</v>
      </c>
      <c r="H95" s="217">
        <v>45946</v>
      </c>
      <c r="I95" s="217">
        <v>45946</v>
      </c>
      <c r="J95" s="225"/>
      <c r="K95" s="225"/>
      <c r="L95" s="217" t="s">
        <v>345</v>
      </c>
      <c r="M95" s="217">
        <v>45870</v>
      </c>
      <c r="N95" s="20"/>
      <c r="O95" s="6" t="s">
        <v>1087</v>
      </c>
      <c r="P95" s="9"/>
      <c r="Q95" s="129"/>
      <c r="R95" s="8"/>
      <c r="S95" s="9"/>
      <c r="T95" s="8"/>
      <c r="U95" s="8"/>
      <c r="V95" s="8"/>
      <c r="W95" s="8"/>
      <c r="X95" s="8"/>
      <c r="Y95" s="8"/>
      <c r="Z95" s="9" t="s">
        <v>943</v>
      </c>
      <c r="AA95" s="8"/>
      <c r="AB95" s="9"/>
      <c r="AC95" s="9"/>
      <c r="AD95" s="9"/>
      <c r="AE95" s="9"/>
      <c r="AF95" s="9"/>
      <c r="AG95" s="9"/>
      <c r="AH95" s="9"/>
      <c r="AI95" s="9"/>
      <c r="AJ95" s="225" t="str">
        <f>IF(ISBLANK(Mentor_Connect[[#This Row],[Meeting Date]]),"",Mentor_Connect[[#This Row],[Meeting Date]]-WEEKDAY(Mentor_Connect[[#This Row],[Meeting Date]],2)+1)</f>
        <v/>
      </c>
      <c r="AK95" s="222" t="str">
        <f>IF(ISBLANK(Mentor_Connect[[#This Row],[Preferred Mentor Selected On]]),"",Mentor_Connect[[#This Row],[Preferred Mentor Selected On]]-WEEKDAY(Mentor_Connect[[#This Row],[Preferred Mentor Selected On]],2)+1)</f>
        <v/>
      </c>
    </row>
    <row r="96" spans="1:37" ht="24.6" customHeight="1" x14ac:dyDescent="0.3">
      <c r="A96" s="8" t="s">
        <v>69</v>
      </c>
      <c r="B96" s="8" t="str">
        <f>VLOOKUP(Mentor_Connect[[#This Row],[Venture Name]],[1]!VenturesList[#All],2,FALSE)</f>
        <v>Accelerate Prime</v>
      </c>
      <c r="C96" s="223">
        <f>VLOOKUP(Mentor_Connect[[#This Row],[Venture Name]],[1]!VenturesList[#All],3,FALSE)</f>
        <v>45901</v>
      </c>
      <c r="D96" s="8" t="str">
        <f>VLOOKUP(Mentor_Connect[[#This Row],[Venture Name]],[1]!VenturesList[#All],5,FALSE)</f>
        <v>Kedar</v>
      </c>
      <c r="E96" s="216" t="s">
        <v>5</v>
      </c>
      <c r="F96" s="216" t="s">
        <v>18</v>
      </c>
      <c r="G96" s="217">
        <v>45944</v>
      </c>
      <c r="H96" s="217"/>
      <c r="I96" s="217"/>
      <c r="J96" s="261">
        <v>45972</v>
      </c>
      <c r="K96" s="225">
        <v>45975</v>
      </c>
      <c r="L96" s="217" t="s">
        <v>345</v>
      </c>
      <c r="M96" s="419">
        <v>45972</v>
      </c>
      <c r="N96" s="20"/>
      <c r="O96" s="60" t="s">
        <v>925</v>
      </c>
      <c r="P96" s="9"/>
      <c r="Q96" s="129">
        <v>115034142437</v>
      </c>
      <c r="R96" s="231" t="s">
        <v>913</v>
      </c>
      <c r="S96" s="420" t="s">
        <v>1088</v>
      </c>
      <c r="T96" s="18" t="s">
        <v>1089</v>
      </c>
      <c r="U96" s="19">
        <v>9881303204</v>
      </c>
      <c r="V96" s="2" t="s">
        <v>1090</v>
      </c>
      <c r="W96" s="2"/>
      <c r="X96" s="2" t="s">
        <v>432</v>
      </c>
      <c r="Y96" s="2" t="s">
        <v>432</v>
      </c>
      <c r="Z96" s="9"/>
      <c r="AA96" s="8"/>
      <c r="AB96" s="9"/>
      <c r="AC96" s="9"/>
      <c r="AD96" s="9"/>
      <c r="AE96" s="9"/>
      <c r="AF96" s="9"/>
      <c r="AG96" s="9"/>
      <c r="AH96" s="8" t="s">
        <v>433</v>
      </c>
      <c r="AI96" s="9" t="s">
        <v>937</v>
      </c>
      <c r="AJ96" s="225">
        <f>IF(ISBLANK(Mentor_Connect[[#This Row],[Meeting Date]]),"",Mentor_Connect[[#This Row],[Meeting Date]]-WEEKDAY(Mentor_Connect[[#This Row],[Meeting Date]],2)+1)</f>
        <v>45971</v>
      </c>
      <c r="AK96" s="222">
        <f>IF(ISBLANK(Mentor_Connect[[#This Row],[Preferred Mentor Selected On]]),"",Mentor_Connect[[#This Row],[Preferred Mentor Selected On]]-WEEKDAY(Mentor_Connect[[#This Row],[Preferred Mentor Selected On]],2)+1)</f>
        <v>45971</v>
      </c>
    </row>
    <row r="97" spans="1:37" ht="24.6" customHeight="1" x14ac:dyDescent="0.3">
      <c r="A97" s="392" t="s">
        <v>37</v>
      </c>
      <c r="B97" s="392" t="str">
        <f>VLOOKUP(Mentor_Connect[[#This Row],[Venture Name]],[1]!VenturesList[#All],2,FALSE)</f>
        <v>Accelerate Core</v>
      </c>
      <c r="C97" s="1">
        <f>VLOOKUP(Mentor_Connect[[#This Row],[Venture Name]],[1]!VenturesList[#All],3,FALSE)</f>
        <v>45901</v>
      </c>
      <c r="D97" s="275" t="str">
        <f>VLOOKUP(Mentor_Connect[[#This Row],[Venture Name]],[1]!VenturesList[#All],5,FALSE)</f>
        <v xml:space="preserve">Kedar </v>
      </c>
      <c r="E97" s="3" t="s">
        <v>93</v>
      </c>
      <c r="F97" s="216" t="s">
        <v>18</v>
      </c>
      <c r="G97" s="217">
        <v>45944</v>
      </c>
      <c r="H97" s="217">
        <v>45980</v>
      </c>
      <c r="I97" s="217">
        <v>45980</v>
      </c>
      <c r="J97" s="261">
        <v>45973</v>
      </c>
      <c r="K97" s="220">
        <v>45976</v>
      </c>
      <c r="L97" s="217" t="s">
        <v>345</v>
      </c>
      <c r="M97" s="217">
        <v>45973</v>
      </c>
      <c r="N97" s="4"/>
      <c r="O97" s="421"/>
      <c r="P97" s="5" t="s">
        <v>358</v>
      </c>
      <c r="Q97" s="10">
        <v>115006165834</v>
      </c>
      <c r="R97" s="2" t="s">
        <v>913</v>
      </c>
      <c r="S97" s="2" t="s">
        <v>289</v>
      </c>
      <c r="T97" s="246" t="s">
        <v>290</v>
      </c>
      <c r="U97" s="2">
        <v>9028123366</v>
      </c>
      <c r="V97" s="6" t="s">
        <v>1091</v>
      </c>
      <c r="W97" s="6"/>
      <c r="X97" s="6" t="s">
        <v>432</v>
      </c>
      <c r="Y97" s="6" t="s">
        <v>432</v>
      </c>
      <c r="Z97" s="9"/>
      <c r="AA97" s="8" t="s">
        <v>937</v>
      </c>
      <c r="AB97" s="217">
        <v>46062</v>
      </c>
      <c r="AC97" s="217"/>
      <c r="AD97" s="217"/>
      <c r="AE97" s="217"/>
      <c r="AF97" s="217">
        <v>46097</v>
      </c>
      <c r="AG97" s="217" t="s">
        <v>962</v>
      </c>
      <c r="AH97" s="217"/>
      <c r="AI97" s="9" t="s">
        <v>937</v>
      </c>
      <c r="AJ97" s="225">
        <f>IF(ISBLANK(Mentor_Connect[[#This Row],[Meeting Date]]),"",Mentor_Connect[[#This Row],[Meeting Date]]-WEEKDAY(Mentor_Connect[[#This Row],[Meeting Date]],2)+1)</f>
        <v>45971</v>
      </c>
      <c r="AK97" s="222">
        <f>IF(ISBLANK(Mentor_Connect[[#This Row],[Preferred Mentor Selected On]]),"",Mentor_Connect[[#This Row],[Preferred Mentor Selected On]]-WEEKDAY(Mentor_Connect[[#This Row],[Preferred Mentor Selected On]],2)+1)</f>
        <v>45971</v>
      </c>
    </row>
    <row r="98" spans="1:37" ht="24.6" customHeight="1" x14ac:dyDescent="0.3">
      <c r="A98" s="8" t="s">
        <v>69</v>
      </c>
      <c r="B98" s="8" t="str">
        <f>VLOOKUP(Mentor_Connect[[#This Row],[Venture Name]],[1]!VenturesList[#All],2,FALSE)</f>
        <v>Accelerate Prime</v>
      </c>
      <c r="C98" s="223">
        <f>VLOOKUP(Mentor_Connect[[#This Row],[Venture Name]],[1]!VenturesList[#All],3,FALSE)</f>
        <v>45901</v>
      </c>
      <c r="D98" s="8" t="str">
        <f>VLOOKUP(Mentor_Connect[[#This Row],[Venture Name]],[1]!VenturesList[#All],5,FALSE)</f>
        <v>Kedar</v>
      </c>
      <c r="E98" s="216" t="s">
        <v>950</v>
      </c>
      <c r="F98" s="216" t="s">
        <v>440</v>
      </c>
      <c r="G98" s="217">
        <v>45944</v>
      </c>
      <c r="H98" s="217">
        <v>45980</v>
      </c>
      <c r="I98" s="217">
        <v>45980</v>
      </c>
      <c r="J98" s="261">
        <v>45972</v>
      </c>
      <c r="K98" s="225"/>
      <c r="L98" s="217" t="s">
        <v>345</v>
      </c>
      <c r="M98" s="217">
        <v>45972</v>
      </c>
      <c r="N98" s="20"/>
      <c r="O98" s="6" t="s">
        <v>1092</v>
      </c>
      <c r="P98" s="20"/>
      <c r="Q98" s="391"/>
      <c r="R98" s="8"/>
      <c r="S98" s="9"/>
      <c r="T98" s="8"/>
      <c r="U98" s="8"/>
      <c r="V98" s="8"/>
      <c r="W98" s="8"/>
      <c r="X98" s="8"/>
      <c r="Y98" s="8"/>
      <c r="Z98" s="9"/>
      <c r="AA98" s="8"/>
      <c r="AB98" s="9"/>
      <c r="AC98" s="9"/>
      <c r="AD98" s="9"/>
      <c r="AE98" s="9"/>
      <c r="AF98" s="9"/>
      <c r="AG98" s="9"/>
      <c r="AH98" s="9"/>
      <c r="AI98" s="9"/>
      <c r="AJ98" s="225" t="str">
        <f>IF(ISBLANK(Mentor_Connect[[#This Row],[Meeting Date]]),"",Mentor_Connect[[#This Row],[Meeting Date]]-WEEKDAY(Mentor_Connect[[#This Row],[Meeting Date]],2)+1)</f>
        <v/>
      </c>
      <c r="AK98" s="222">
        <f>IF(ISBLANK(Mentor_Connect[[#This Row],[Preferred Mentor Selected On]]),"",Mentor_Connect[[#This Row],[Preferred Mentor Selected On]]-WEEKDAY(Mentor_Connect[[#This Row],[Preferred Mentor Selected On]],2)+1)</f>
        <v>45971</v>
      </c>
    </row>
    <row r="99" spans="1:37" ht="24.6" customHeight="1" x14ac:dyDescent="0.3">
      <c r="A99" s="8" t="s">
        <v>43</v>
      </c>
      <c r="B99" s="8" t="str">
        <f>VLOOKUP(Mentor_Connect[[#This Row],[Venture Name]],[1]!VenturesList[#All],2,FALSE)</f>
        <v>Accelerate Prime</v>
      </c>
      <c r="C99" s="223">
        <f>VLOOKUP(Mentor_Connect[[#This Row],[Venture Name]],[1]!VenturesList[#All],3,FALSE)</f>
        <v>45870</v>
      </c>
      <c r="D99" s="8" t="str">
        <f>VLOOKUP(Mentor_Connect[[#This Row],[Venture Name]],[1]!VenturesList[#All],5,FALSE)</f>
        <v>Kedar</v>
      </c>
      <c r="E99" s="216" t="s">
        <v>108</v>
      </c>
      <c r="F99" s="216" t="s">
        <v>18</v>
      </c>
      <c r="G99" s="217">
        <v>45944</v>
      </c>
      <c r="H99" s="217"/>
      <c r="I99" s="217"/>
      <c r="J99" s="261">
        <v>46000</v>
      </c>
      <c r="K99" s="225">
        <v>46066</v>
      </c>
      <c r="L99" s="217" t="s">
        <v>345</v>
      </c>
      <c r="M99" s="217">
        <v>46000</v>
      </c>
      <c r="N99" s="20"/>
      <c r="O99" s="159" t="s">
        <v>1093</v>
      </c>
      <c r="P99" s="9"/>
      <c r="Q99" s="129">
        <v>115042305484</v>
      </c>
      <c r="R99" s="8" t="s">
        <v>913</v>
      </c>
      <c r="S99" s="344" t="s">
        <v>454</v>
      </c>
      <c r="T99" s="345" t="s">
        <v>455</v>
      </c>
      <c r="U99" s="344">
        <v>9923777020</v>
      </c>
      <c r="V99" s="8"/>
      <c r="W99" s="8"/>
      <c r="X99" s="53" t="s">
        <v>1094</v>
      </c>
      <c r="Y99" s="53" t="s">
        <v>1095</v>
      </c>
      <c r="Z99" s="9" t="s">
        <v>943</v>
      </c>
      <c r="AA99" s="8"/>
      <c r="AB99" s="9"/>
      <c r="AC99" s="9"/>
      <c r="AD99" s="9"/>
      <c r="AE99" s="9"/>
      <c r="AF99" s="9"/>
      <c r="AG99" s="9"/>
      <c r="AH99" s="9"/>
      <c r="AI99" s="9" t="s">
        <v>916</v>
      </c>
      <c r="AJ99" s="225">
        <f>IF(ISBLANK(Mentor_Connect[[#This Row],[Meeting Date]]),"",Mentor_Connect[[#This Row],[Meeting Date]]-WEEKDAY(Mentor_Connect[[#This Row],[Meeting Date]],2)+1)</f>
        <v>46062</v>
      </c>
      <c r="AK99" s="222">
        <f>IF(ISBLANK(Mentor_Connect[[#This Row],[Preferred Mentor Selected On]]),"",Mentor_Connect[[#This Row],[Preferred Mentor Selected On]]-WEEKDAY(Mentor_Connect[[#This Row],[Preferred Mentor Selected On]],2)+1)</f>
        <v>45999</v>
      </c>
    </row>
    <row r="100" spans="1:37" ht="24.6" customHeight="1" x14ac:dyDescent="0.3">
      <c r="A100" s="8" t="s">
        <v>43</v>
      </c>
      <c r="B100" s="8" t="str">
        <f>VLOOKUP(Mentor_Connect[[#This Row],[Venture Name]],[1]!VenturesList[#All],2,FALSE)</f>
        <v>Accelerate Prime</v>
      </c>
      <c r="C100" s="223">
        <f>VLOOKUP(Mentor_Connect[[#This Row],[Venture Name]],[1]!VenturesList[#All],3,FALSE)</f>
        <v>45870</v>
      </c>
      <c r="D100" s="8" t="str">
        <f>VLOOKUP(Mentor_Connect[[#This Row],[Venture Name]],[1]!VenturesList[#All],5,FALSE)</f>
        <v>Kedar</v>
      </c>
      <c r="E100" s="216" t="s">
        <v>5</v>
      </c>
      <c r="F100" s="216" t="s">
        <v>18</v>
      </c>
      <c r="G100" s="217">
        <v>45944</v>
      </c>
      <c r="H100" s="217"/>
      <c r="I100" s="217"/>
      <c r="J100" s="261">
        <v>46000</v>
      </c>
      <c r="K100" s="225">
        <v>46003</v>
      </c>
      <c r="L100" s="217" t="s">
        <v>345</v>
      </c>
      <c r="M100" s="217">
        <v>46000</v>
      </c>
      <c r="N100" s="20"/>
      <c r="O100" s="60" t="s">
        <v>925</v>
      </c>
      <c r="P100" s="9"/>
      <c r="Q100" s="129">
        <v>115029703375</v>
      </c>
      <c r="R100" s="231" t="s">
        <v>913</v>
      </c>
      <c r="S100" s="30" t="s">
        <v>454</v>
      </c>
      <c r="T100" s="233" t="s">
        <v>455</v>
      </c>
      <c r="U100" s="248">
        <v>9923777020</v>
      </c>
      <c r="V100" s="2" t="s">
        <v>1096</v>
      </c>
      <c r="W100" s="2"/>
      <c r="X100" s="2" t="s">
        <v>432</v>
      </c>
      <c r="Y100" s="2" t="s">
        <v>432</v>
      </c>
      <c r="Z100" s="9"/>
      <c r="AA100" s="8"/>
      <c r="AB100" s="9"/>
      <c r="AC100" s="9"/>
      <c r="AD100" s="9"/>
      <c r="AE100" s="9"/>
      <c r="AF100" s="9"/>
      <c r="AG100" s="9"/>
      <c r="AH100" s="8" t="s">
        <v>433</v>
      </c>
      <c r="AI100" s="9" t="s">
        <v>916</v>
      </c>
      <c r="AJ100" s="225">
        <f>IF(ISBLANK(Mentor_Connect[[#This Row],[Meeting Date]]),"",Mentor_Connect[[#This Row],[Meeting Date]]-WEEKDAY(Mentor_Connect[[#This Row],[Meeting Date]],2)+1)</f>
        <v>45999</v>
      </c>
      <c r="AK100" s="222">
        <f>IF(ISBLANK(Mentor_Connect[[#This Row],[Preferred Mentor Selected On]]),"",Mentor_Connect[[#This Row],[Preferred Mentor Selected On]]-WEEKDAY(Mentor_Connect[[#This Row],[Preferred Mentor Selected On]],2)+1)</f>
        <v>45999</v>
      </c>
    </row>
    <row r="101" spans="1:37" ht="24.6" customHeight="1" x14ac:dyDescent="0.3">
      <c r="A101" s="8" t="s">
        <v>37</v>
      </c>
      <c r="B101" s="8" t="str">
        <f>VLOOKUP(Mentor_Connect[[#This Row],[Venture Name]],[1]!VenturesList[#All],2,FALSE)</f>
        <v>Accelerate Core</v>
      </c>
      <c r="C101" s="223">
        <f>VLOOKUP(Mentor_Connect[[#This Row],[Venture Name]],[1]!VenturesList[#All],3,FALSE)</f>
        <v>45901</v>
      </c>
      <c r="D101" s="8" t="str">
        <f>VLOOKUP(Mentor_Connect[[#This Row],[Venture Name]],[1]!VenturesList[#All],5,FALSE)</f>
        <v xml:space="preserve">Kedar </v>
      </c>
      <c r="E101" s="3" t="s">
        <v>93</v>
      </c>
      <c r="F101" s="216" t="s">
        <v>18</v>
      </c>
      <c r="G101" s="217">
        <v>45944</v>
      </c>
      <c r="H101" s="217">
        <v>45980</v>
      </c>
      <c r="I101" s="217">
        <v>45980</v>
      </c>
      <c r="J101" s="261">
        <v>45973</v>
      </c>
      <c r="K101" s="225">
        <v>45990</v>
      </c>
      <c r="L101" s="217" t="s">
        <v>345</v>
      </c>
      <c r="M101" s="217">
        <v>45973</v>
      </c>
      <c r="N101" s="20"/>
      <c r="O101" s="20"/>
      <c r="P101" s="9"/>
      <c r="Q101" s="129"/>
      <c r="R101" s="2" t="s">
        <v>989</v>
      </c>
      <c r="S101" s="30" t="s">
        <v>289</v>
      </c>
      <c r="T101" s="422" t="s">
        <v>290</v>
      </c>
      <c r="U101" s="248">
        <v>9028123366</v>
      </c>
      <c r="V101" s="2" t="s">
        <v>1097</v>
      </c>
      <c r="W101" s="2"/>
      <c r="X101" s="6" t="s">
        <v>432</v>
      </c>
      <c r="Y101" s="6" t="s">
        <v>432</v>
      </c>
      <c r="Z101" s="9"/>
      <c r="AA101" s="8" t="s">
        <v>937</v>
      </c>
      <c r="AB101" s="217">
        <v>46062</v>
      </c>
      <c r="AC101" s="217"/>
      <c r="AD101" s="217"/>
      <c r="AE101" s="217"/>
      <c r="AF101" s="217">
        <v>46097</v>
      </c>
      <c r="AG101" s="217" t="s">
        <v>962</v>
      </c>
      <c r="AH101" s="217"/>
      <c r="AI101" s="9" t="s">
        <v>937</v>
      </c>
      <c r="AJ101" s="225">
        <f>IF(ISBLANK(Mentor_Connect[[#This Row],[Meeting Date]]),"",Mentor_Connect[[#This Row],[Meeting Date]]-WEEKDAY(Mentor_Connect[[#This Row],[Meeting Date]],2)+1)</f>
        <v>45985</v>
      </c>
      <c r="AK101" s="222">
        <f>IF(ISBLANK(Mentor_Connect[[#This Row],[Preferred Mentor Selected On]]),"",Mentor_Connect[[#This Row],[Preferred Mentor Selected On]]-WEEKDAY(Mentor_Connect[[#This Row],[Preferred Mentor Selected On]],2)+1)</f>
        <v>45971</v>
      </c>
    </row>
    <row r="102" spans="1:37" ht="24.6" customHeight="1" x14ac:dyDescent="0.3">
      <c r="A102" s="8" t="s">
        <v>72</v>
      </c>
      <c r="B102" s="8" t="str">
        <f>VLOOKUP(Mentor_Connect[[#This Row],[Venture Name]],[1]!VenturesList[#All],2,FALSE)</f>
        <v>Accelerate Prime</v>
      </c>
      <c r="C102" s="223">
        <f>VLOOKUP(Mentor_Connect[[#This Row],[Venture Name]],[1]!VenturesList[#All],3,FALSE)</f>
        <v>45870</v>
      </c>
      <c r="D102" s="8" t="str">
        <f>VLOOKUP(Mentor_Connect[[#This Row],[Venture Name]],[1]!VenturesList[#All],5,FALSE)</f>
        <v>Kedar</v>
      </c>
      <c r="E102" s="216" t="s">
        <v>109</v>
      </c>
      <c r="F102" s="216" t="s">
        <v>18</v>
      </c>
      <c r="G102" s="217">
        <v>45944</v>
      </c>
      <c r="H102" s="217">
        <v>45946</v>
      </c>
      <c r="I102" s="217">
        <v>45946</v>
      </c>
      <c r="J102" s="225">
        <v>46054</v>
      </c>
      <c r="K102" s="225">
        <v>46057</v>
      </c>
      <c r="L102" s="217" t="s">
        <v>345</v>
      </c>
      <c r="M102" s="217">
        <v>45870</v>
      </c>
      <c r="N102" s="20"/>
      <c r="O102" s="6" t="s">
        <v>1098</v>
      </c>
      <c r="P102" s="9"/>
      <c r="Q102" s="129">
        <v>115042304010</v>
      </c>
      <c r="R102" s="8" t="s">
        <v>913</v>
      </c>
      <c r="S102" s="353" t="s">
        <v>456</v>
      </c>
      <c r="T102" s="354" t="s">
        <v>457</v>
      </c>
      <c r="U102" s="353">
        <v>7045604451</v>
      </c>
      <c r="V102" s="16" t="s">
        <v>1005</v>
      </c>
      <c r="W102" s="16"/>
      <c r="X102" s="23" t="s">
        <v>1099</v>
      </c>
      <c r="Y102" s="23" t="s">
        <v>1100</v>
      </c>
      <c r="Z102" s="51" t="s">
        <v>943</v>
      </c>
      <c r="AA102" s="8" t="s">
        <v>441</v>
      </c>
      <c r="AB102" s="217">
        <v>46084</v>
      </c>
      <c r="AC102" s="217">
        <v>46129</v>
      </c>
      <c r="AD102" s="217">
        <v>46129</v>
      </c>
      <c r="AE102" s="217">
        <v>46129</v>
      </c>
      <c r="AF102" s="217"/>
      <c r="AG102" s="217" t="s">
        <v>458</v>
      </c>
      <c r="AH102" s="423" t="s">
        <v>459</v>
      </c>
      <c r="AI102" s="9" t="s">
        <v>937</v>
      </c>
      <c r="AJ102" s="225">
        <f>IF(ISBLANK(Mentor_Connect[[#This Row],[Meeting Date]]),"",Mentor_Connect[[#This Row],[Meeting Date]]-WEEKDAY(Mentor_Connect[[#This Row],[Meeting Date]],2)+1)</f>
        <v>46055</v>
      </c>
      <c r="AK102" s="222">
        <f>IF(ISBLANK(Mentor_Connect[[#This Row],[Preferred Mentor Selected On]]),"",Mentor_Connect[[#This Row],[Preferred Mentor Selected On]]-WEEKDAY(Mentor_Connect[[#This Row],[Preferred Mentor Selected On]],2)+1)</f>
        <v>46048</v>
      </c>
    </row>
    <row r="103" spans="1:37" ht="24.6" customHeight="1" x14ac:dyDescent="0.3">
      <c r="A103" s="8" t="s">
        <v>62</v>
      </c>
      <c r="B103" s="8" t="str">
        <f>VLOOKUP(Mentor_Connect[[#This Row],[Venture Name]],[1]!VenturesList[#All],2,FALSE)</f>
        <v>Accelerate Prime</v>
      </c>
      <c r="C103" s="223">
        <f>VLOOKUP(Mentor_Connect[[#This Row],[Venture Name]],[1]!VenturesList[#All],3,FALSE)</f>
        <v>45901</v>
      </c>
      <c r="D103" s="8" t="str">
        <f>VLOOKUP(Mentor_Connect[[#This Row],[Venture Name]],[1]!VenturesList[#All],5,FALSE)</f>
        <v>Ramya</v>
      </c>
      <c r="E103" s="338" t="s">
        <v>460</v>
      </c>
      <c r="F103" s="216" t="s">
        <v>439</v>
      </c>
      <c r="G103" s="217">
        <v>45945</v>
      </c>
      <c r="H103" s="217">
        <v>45980</v>
      </c>
      <c r="I103" s="217">
        <v>45980</v>
      </c>
      <c r="J103" s="225">
        <v>45995</v>
      </c>
      <c r="K103" s="220"/>
      <c r="L103" s="217" t="s">
        <v>345</v>
      </c>
      <c r="M103" s="217">
        <v>45995</v>
      </c>
      <c r="N103" s="20"/>
      <c r="O103" s="6" t="s">
        <v>1101</v>
      </c>
      <c r="P103" s="9"/>
      <c r="Q103" s="129"/>
      <c r="R103" s="8"/>
      <c r="S103" s="9"/>
      <c r="T103" s="8"/>
      <c r="U103" s="8"/>
      <c r="V103" s="8"/>
      <c r="W103" s="8"/>
      <c r="X103" s="8"/>
      <c r="Y103" s="8"/>
      <c r="Z103" s="9" t="s">
        <v>966</v>
      </c>
      <c r="AA103" s="8"/>
      <c r="AB103" s="9"/>
      <c r="AC103" s="9"/>
      <c r="AD103" s="9"/>
      <c r="AE103" s="9"/>
      <c r="AF103" s="9"/>
      <c r="AG103" s="9"/>
      <c r="AH103" s="9"/>
      <c r="AI103" s="9"/>
      <c r="AJ103" s="225" t="str">
        <f>IF(ISBLANK(Mentor_Connect[[#This Row],[Meeting Date]]),"",Mentor_Connect[[#This Row],[Meeting Date]]-WEEKDAY(Mentor_Connect[[#This Row],[Meeting Date]],2)+1)</f>
        <v/>
      </c>
      <c r="AK103" s="222">
        <f>IF(ISBLANK(Mentor_Connect[[#This Row],[Preferred Mentor Selected On]]),"",Mentor_Connect[[#This Row],[Preferred Mentor Selected On]]-WEEKDAY(Mentor_Connect[[#This Row],[Preferred Mentor Selected On]],2)+1)</f>
        <v>45992</v>
      </c>
    </row>
    <row r="104" spans="1:37" ht="24.6" customHeight="1" x14ac:dyDescent="0.3">
      <c r="A104" s="8" t="s">
        <v>175</v>
      </c>
      <c r="B104" s="8" t="str">
        <f>VLOOKUP(Mentor_Connect[[#This Row],[Venture Name]],[1]!VenturesList[#All],2,FALSE)</f>
        <v>Accelerate Prime</v>
      </c>
      <c r="C104" s="223">
        <f>VLOOKUP(Mentor_Connect[[#This Row],[Venture Name]],[1]!VenturesList[#All],3,FALSE)</f>
        <v>45870</v>
      </c>
      <c r="D104" s="8" t="str">
        <f>VLOOKUP(Mentor_Connect[[#This Row],[Venture Name]],[1]!VenturesList[#All],5,FALSE)</f>
        <v>Shruti Modi</v>
      </c>
      <c r="E104" s="216" t="s">
        <v>950</v>
      </c>
      <c r="F104" s="216" t="s">
        <v>440</v>
      </c>
      <c r="G104" s="9"/>
      <c r="H104" s="9"/>
      <c r="I104" s="9"/>
      <c r="J104" s="223">
        <v>45870</v>
      </c>
      <c r="K104" s="225"/>
      <c r="L104" s="217" t="s">
        <v>358</v>
      </c>
      <c r="M104" s="217">
        <v>45870</v>
      </c>
      <c r="N104" s="20"/>
      <c r="O104" s="20" t="s">
        <v>925</v>
      </c>
      <c r="P104" s="9"/>
      <c r="Q104" s="129"/>
      <c r="R104" s="8"/>
      <c r="S104" s="9"/>
      <c r="T104" s="8"/>
      <c r="U104" s="8"/>
      <c r="V104" s="8"/>
      <c r="W104" s="8"/>
      <c r="X104" s="8"/>
      <c r="Y104" s="8"/>
      <c r="Z104" s="9"/>
      <c r="AA104" s="8"/>
      <c r="AB104" s="9"/>
      <c r="AC104" s="9"/>
      <c r="AD104" s="9"/>
      <c r="AE104" s="9"/>
      <c r="AF104" s="9"/>
      <c r="AG104" s="9"/>
      <c r="AH104" s="9"/>
      <c r="AI104" s="9"/>
      <c r="AJ104" s="225" t="str">
        <f>IF(ISBLANK(Mentor_Connect[[#This Row],[Meeting Date]]),"",Mentor_Connect[[#This Row],[Meeting Date]]-WEEKDAY(Mentor_Connect[[#This Row],[Meeting Date]],2)+1)</f>
        <v/>
      </c>
      <c r="AK104" s="222">
        <f>IF(ISBLANK(Mentor_Connect[[#This Row],[Preferred Mentor Selected On]]),"",Mentor_Connect[[#This Row],[Preferred Mentor Selected On]]-WEEKDAY(Mentor_Connect[[#This Row],[Preferred Mentor Selected On]],2)+1)</f>
        <v>45866</v>
      </c>
    </row>
    <row r="105" spans="1:37" ht="24.6" customHeight="1" x14ac:dyDescent="0.3">
      <c r="A105" s="8" t="s">
        <v>62</v>
      </c>
      <c r="B105" s="8" t="str">
        <f>VLOOKUP(Mentor_Connect[[#This Row],[Venture Name]],[1]!VenturesList[#All],2,FALSE)</f>
        <v>Accelerate Prime</v>
      </c>
      <c r="C105" s="223">
        <f>VLOOKUP(Mentor_Connect[[#This Row],[Venture Name]],[1]!VenturesList[#All],3,FALSE)</f>
        <v>45901</v>
      </c>
      <c r="D105" s="8" t="str">
        <f>VLOOKUP(Mentor_Connect[[#This Row],[Venture Name]],[1]!VenturesList[#All],5,FALSE)</f>
        <v>Ramya</v>
      </c>
      <c r="E105" s="216"/>
      <c r="F105" s="216" t="s">
        <v>444</v>
      </c>
      <c r="G105" s="217">
        <v>45945</v>
      </c>
      <c r="H105" s="217">
        <v>45980</v>
      </c>
      <c r="I105" s="217">
        <v>45980</v>
      </c>
      <c r="J105" s="225">
        <v>45995</v>
      </c>
      <c r="K105" s="225"/>
      <c r="L105" s="217" t="s">
        <v>345</v>
      </c>
      <c r="M105" s="217">
        <v>45995</v>
      </c>
      <c r="N105" s="20"/>
      <c r="O105" s="6" t="s">
        <v>1102</v>
      </c>
      <c r="P105" s="9"/>
      <c r="Q105" s="129"/>
      <c r="R105" s="8"/>
      <c r="S105" s="9"/>
      <c r="T105" s="8"/>
      <c r="U105" s="8"/>
      <c r="V105" s="8"/>
      <c r="W105" s="8"/>
      <c r="X105" s="8"/>
      <c r="Y105" s="8"/>
      <c r="Z105" s="9"/>
      <c r="AA105" s="8"/>
      <c r="AB105" s="9"/>
      <c r="AC105" s="9"/>
      <c r="AD105" s="9"/>
      <c r="AE105" s="9"/>
      <c r="AF105" s="9"/>
      <c r="AG105" s="9"/>
      <c r="AH105" s="9"/>
      <c r="AI105" s="9"/>
      <c r="AJ105" s="225" t="str">
        <f>IF(ISBLANK(Mentor_Connect[[#This Row],[Meeting Date]]),"",Mentor_Connect[[#This Row],[Meeting Date]]-WEEKDAY(Mentor_Connect[[#This Row],[Meeting Date]],2)+1)</f>
        <v/>
      </c>
      <c r="AK105" s="222">
        <f>IF(ISBLANK(Mentor_Connect[[#This Row],[Preferred Mentor Selected On]]),"",Mentor_Connect[[#This Row],[Preferred Mentor Selected On]]-WEEKDAY(Mentor_Connect[[#This Row],[Preferred Mentor Selected On]],2)+1)</f>
        <v>45992</v>
      </c>
    </row>
    <row r="106" spans="1:37" ht="24.6" customHeight="1" x14ac:dyDescent="0.3">
      <c r="A106" s="352" t="s">
        <v>62</v>
      </c>
      <c r="B106" s="8" t="str">
        <f>VLOOKUP(Mentor_Connect[[#This Row],[Venture Name]],[1]!VenturesList[#All],2,FALSE)</f>
        <v>Accelerate Prime</v>
      </c>
      <c r="C106" s="223">
        <f>VLOOKUP(Mentor_Connect[[#This Row],[Venture Name]],[1]!VenturesList[#All],3,FALSE)</f>
        <v>45901</v>
      </c>
      <c r="D106" s="8" t="str">
        <f>VLOOKUP(Mentor_Connect[[#This Row],[Venture Name]],[1]!VenturesList[#All],5,FALSE)</f>
        <v>Ramya</v>
      </c>
      <c r="E106" s="216" t="s">
        <v>5</v>
      </c>
      <c r="F106" s="216" t="s">
        <v>18</v>
      </c>
      <c r="G106" s="217">
        <v>45945</v>
      </c>
      <c r="H106" s="217"/>
      <c r="I106" s="217"/>
      <c r="J106" s="225">
        <v>45995</v>
      </c>
      <c r="K106" s="225">
        <v>46058</v>
      </c>
      <c r="L106" s="217" t="s">
        <v>345</v>
      </c>
      <c r="M106" s="217">
        <v>45995</v>
      </c>
      <c r="N106" s="20"/>
      <c r="O106" s="424" t="s">
        <v>1103</v>
      </c>
      <c r="P106" s="9"/>
      <c r="Q106" s="129">
        <v>115042909248</v>
      </c>
      <c r="R106" s="231" t="s">
        <v>913</v>
      </c>
      <c r="S106" s="52" t="s">
        <v>461</v>
      </c>
      <c r="T106" s="425" t="s">
        <v>462</v>
      </c>
      <c r="U106" s="52">
        <v>9884497788</v>
      </c>
      <c r="V106" s="2" t="s">
        <v>1104</v>
      </c>
      <c r="W106" s="2"/>
      <c r="X106" s="53" t="s">
        <v>1105</v>
      </c>
      <c r="Y106" s="53" t="s">
        <v>1106</v>
      </c>
      <c r="Z106" s="9" t="s">
        <v>943</v>
      </c>
      <c r="AA106" s="8"/>
      <c r="AB106" s="9"/>
      <c r="AC106" s="9"/>
      <c r="AD106" s="9"/>
      <c r="AE106" s="9"/>
      <c r="AF106" s="9"/>
      <c r="AG106" s="9"/>
      <c r="AH106" s="8" t="s">
        <v>433</v>
      </c>
      <c r="AI106" s="9" t="s">
        <v>937</v>
      </c>
      <c r="AJ106" s="225">
        <f>IF(ISBLANK(Mentor_Connect[[#This Row],[Meeting Date]]),"",Mentor_Connect[[#This Row],[Meeting Date]]-WEEKDAY(Mentor_Connect[[#This Row],[Meeting Date]],2)+1)</f>
        <v>46055</v>
      </c>
      <c r="AK106" s="222">
        <f>IF(ISBLANK(Mentor_Connect[[#This Row],[Preferred Mentor Selected On]]),"",Mentor_Connect[[#This Row],[Preferred Mentor Selected On]]-WEEKDAY(Mentor_Connect[[#This Row],[Preferred Mentor Selected On]],2)+1)</f>
        <v>45992</v>
      </c>
    </row>
    <row r="107" spans="1:37" ht="24.6" customHeight="1" x14ac:dyDescent="0.3">
      <c r="A107" s="366" t="s">
        <v>221</v>
      </c>
      <c r="B107" s="366" t="str">
        <f>VLOOKUP(Mentor_Connect[[#This Row],[Venture Name]],[1]!VenturesList[#All],2,FALSE)</f>
        <v>Accelerate Core</v>
      </c>
      <c r="C107" s="367">
        <f>VLOOKUP(Mentor_Connect[[#This Row],[Venture Name]],[1]!VenturesList[#All],3,FALSE)</f>
        <v>45839</v>
      </c>
      <c r="D107" s="251" t="str">
        <f>VLOOKUP(Mentor_Connect[[#This Row],[Venture Name]],[1]!VenturesList[#All],5,FALSE)</f>
        <v>Hardeepsinh Jhala</v>
      </c>
      <c r="E107" s="252"/>
      <c r="F107" s="216" t="s">
        <v>440</v>
      </c>
      <c r="G107" s="9"/>
      <c r="H107" s="260"/>
      <c r="I107" s="217">
        <v>46104</v>
      </c>
      <c r="J107" s="260"/>
      <c r="K107" s="283"/>
      <c r="L107" s="218"/>
      <c r="M107" s="218"/>
      <c r="N107" s="347"/>
      <c r="O107" s="44" t="s">
        <v>1107</v>
      </c>
      <c r="P107" s="260"/>
      <c r="Q107" s="269"/>
      <c r="R107" s="251"/>
      <c r="S107" s="260"/>
      <c r="T107" s="251"/>
      <c r="U107" s="251"/>
      <c r="V107" s="251"/>
      <c r="W107" s="251"/>
      <c r="X107" s="251"/>
      <c r="Y107" s="251"/>
      <c r="Z107" s="260"/>
      <c r="AA107" s="251"/>
      <c r="AB107" s="260"/>
      <c r="AC107" s="260"/>
      <c r="AD107" s="260"/>
      <c r="AE107" s="260"/>
      <c r="AF107" s="260"/>
      <c r="AG107" s="260"/>
      <c r="AH107" s="260"/>
      <c r="AI107" s="9"/>
      <c r="AJ107" s="225" t="str">
        <f>IF(ISBLANK(Mentor_Connect[[#This Row],[Meeting Date]]),"",Mentor_Connect[[#This Row],[Meeting Date]]-WEEKDAY(Mentor_Connect[[#This Row],[Meeting Date]],2)+1)</f>
        <v/>
      </c>
      <c r="AK107" s="222" t="str">
        <f>IF(ISBLANK(Mentor_Connect[[#This Row],[Preferred Mentor Selected On]]),"",Mentor_Connect[[#This Row],[Preferred Mentor Selected On]]-WEEKDAY(Mentor_Connect[[#This Row],[Preferred Mentor Selected On]],2)+1)</f>
        <v/>
      </c>
    </row>
    <row r="108" spans="1:37" ht="24.6" customHeight="1" x14ac:dyDescent="0.3">
      <c r="A108" s="8" t="s">
        <v>62</v>
      </c>
      <c r="B108" s="8" t="str">
        <f>VLOOKUP(Mentor_Connect[[#This Row],[Venture Name]],[1]!VenturesList[#All],2,FALSE)</f>
        <v>Accelerate Prime</v>
      </c>
      <c r="C108" s="223">
        <f>VLOOKUP(Mentor_Connect[[#This Row],[Venture Name]],[1]!VenturesList[#All],3,FALSE)</f>
        <v>45901</v>
      </c>
      <c r="D108" s="8" t="str">
        <f>VLOOKUP(Mentor_Connect[[#This Row],[Venture Name]],[1]!VenturesList[#All],5,FALSE)</f>
        <v>Ramya</v>
      </c>
      <c r="E108" s="216"/>
      <c r="F108" s="216" t="s">
        <v>436</v>
      </c>
      <c r="G108" s="217">
        <v>45945</v>
      </c>
      <c r="H108" s="217">
        <v>45980</v>
      </c>
      <c r="I108" s="217">
        <v>45980</v>
      </c>
      <c r="J108" s="225">
        <v>45995</v>
      </c>
      <c r="K108" s="225"/>
      <c r="L108" s="218" t="s">
        <v>345</v>
      </c>
      <c r="M108" s="217">
        <v>45995</v>
      </c>
      <c r="N108" s="226"/>
      <c r="O108" s="6" t="s">
        <v>1108</v>
      </c>
      <c r="P108" s="9"/>
      <c r="Q108" s="129"/>
      <c r="R108" s="8"/>
      <c r="S108" s="9"/>
      <c r="T108" s="8"/>
      <c r="U108" s="8"/>
      <c r="V108" s="8"/>
      <c r="W108" s="8"/>
      <c r="X108" s="8"/>
      <c r="Y108" s="8"/>
      <c r="Z108" s="9"/>
      <c r="AA108" s="8"/>
      <c r="AB108" s="9"/>
      <c r="AC108" s="9"/>
      <c r="AD108" s="9"/>
      <c r="AE108" s="9"/>
      <c r="AF108" s="9"/>
      <c r="AG108" s="9"/>
      <c r="AH108" s="9"/>
      <c r="AI108" s="9"/>
      <c r="AJ108" s="225" t="str">
        <f>IF(ISBLANK(Mentor_Connect[[#This Row],[Meeting Date]]),"",Mentor_Connect[[#This Row],[Meeting Date]]-WEEKDAY(Mentor_Connect[[#This Row],[Meeting Date]],2)+1)</f>
        <v/>
      </c>
      <c r="AK108" s="222">
        <f>IF(ISBLANK(Mentor_Connect[[#This Row],[Preferred Mentor Selected On]]),"",Mentor_Connect[[#This Row],[Preferred Mentor Selected On]]-WEEKDAY(Mentor_Connect[[#This Row],[Preferred Mentor Selected On]],2)+1)</f>
        <v>45992</v>
      </c>
    </row>
    <row r="109" spans="1:37" ht="24.6" customHeight="1" x14ac:dyDescent="0.3">
      <c r="A109" s="363" t="s">
        <v>44</v>
      </c>
      <c r="B109" s="363" t="str">
        <f>VLOOKUP(Mentor_Connect[[#This Row],[Venture Name]],[1]!VenturesList[#All],2,FALSE)</f>
        <v>Accelerate Prime</v>
      </c>
      <c r="C109" s="236">
        <f>VLOOKUP(Mentor_Connect[[#This Row],[Venture Name]],[1]!VenturesList[#All],3,FALSE)</f>
        <v>45870</v>
      </c>
      <c r="D109" s="237" t="str">
        <f>VLOOKUP(Mentor_Connect[[#This Row],[Venture Name]],[1]!VenturesList[#All],5,FALSE)</f>
        <v>Ramya</v>
      </c>
      <c r="E109" s="39" t="s">
        <v>85</v>
      </c>
      <c r="F109" s="238" t="s">
        <v>18</v>
      </c>
      <c r="G109" s="239">
        <v>45947</v>
      </c>
      <c r="H109" s="217"/>
      <c r="I109" s="217"/>
      <c r="J109" s="240">
        <v>45996</v>
      </c>
      <c r="K109" s="230">
        <v>46003</v>
      </c>
      <c r="L109" s="253" t="s">
        <v>345</v>
      </c>
      <c r="M109" s="239">
        <v>45996</v>
      </c>
      <c r="N109" s="426"/>
      <c r="O109" s="22" t="s">
        <v>1109</v>
      </c>
      <c r="P109" s="40" t="s">
        <v>358</v>
      </c>
      <c r="Q109" s="427">
        <v>115008276429</v>
      </c>
      <c r="R109" s="38" t="s">
        <v>913</v>
      </c>
      <c r="S109" s="38" t="s">
        <v>182</v>
      </c>
      <c r="T109" s="237" t="s">
        <v>183</v>
      </c>
      <c r="U109" s="38">
        <v>9845467896</v>
      </c>
      <c r="V109" s="428" t="s">
        <v>1110</v>
      </c>
      <c r="W109" s="428"/>
      <c r="X109" s="429" t="s">
        <v>1111</v>
      </c>
      <c r="Y109" s="429" t="s">
        <v>1112</v>
      </c>
      <c r="Z109" s="21"/>
      <c r="AA109" s="237"/>
      <c r="AB109" s="21"/>
      <c r="AC109" s="21"/>
      <c r="AD109" s="21"/>
      <c r="AE109" s="21"/>
      <c r="AF109" s="21"/>
      <c r="AG109" s="21"/>
      <c r="AH109" s="21"/>
      <c r="AI109" s="9" t="s">
        <v>916</v>
      </c>
      <c r="AJ109" s="225">
        <f>IF(ISBLANK(Mentor_Connect[[#This Row],[Meeting Date]]),"",Mentor_Connect[[#This Row],[Meeting Date]]-WEEKDAY(Mentor_Connect[[#This Row],[Meeting Date]],2)+1)</f>
        <v>45999</v>
      </c>
      <c r="AK109" s="222">
        <f>IF(ISBLANK(Mentor_Connect[[#This Row],[Preferred Mentor Selected On]]),"",Mentor_Connect[[#This Row],[Preferred Mentor Selected On]]-WEEKDAY(Mentor_Connect[[#This Row],[Preferred Mentor Selected On]],2)+1)</f>
        <v>45992</v>
      </c>
    </row>
    <row r="110" spans="1:37" ht="24.6" customHeight="1" x14ac:dyDescent="0.3">
      <c r="A110" s="8" t="s">
        <v>44</v>
      </c>
      <c r="B110" s="8" t="str">
        <f>VLOOKUP(Mentor_Connect[[#This Row],[Venture Name]],[1]!VenturesList[#All],2,FALSE)</f>
        <v>Accelerate Prime</v>
      </c>
      <c r="C110" s="223">
        <f>VLOOKUP(Mentor_Connect[[#This Row],[Venture Name]],[1]!VenturesList[#All],3,FALSE)</f>
        <v>45870</v>
      </c>
      <c r="D110" s="8" t="str">
        <f>VLOOKUP(Mentor_Connect[[#This Row],[Venture Name]],[1]!VenturesList[#All],5,FALSE)</f>
        <v>Ramya</v>
      </c>
      <c r="E110" s="216" t="s">
        <v>85</v>
      </c>
      <c r="F110" s="216" t="s">
        <v>18</v>
      </c>
      <c r="G110" s="217">
        <v>45947</v>
      </c>
      <c r="H110" s="217"/>
      <c r="I110" s="217"/>
      <c r="J110" s="225">
        <v>45996</v>
      </c>
      <c r="K110" s="225">
        <v>46041</v>
      </c>
      <c r="L110" s="217" t="s">
        <v>345</v>
      </c>
      <c r="M110" s="217">
        <v>45996</v>
      </c>
      <c r="N110" s="20"/>
      <c r="O110" s="6" t="s">
        <v>1113</v>
      </c>
      <c r="P110" s="9"/>
      <c r="Q110" s="129"/>
      <c r="R110" s="277" t="s">
        <v>1114</v>
      </c>
      <c r="S110" s="30" t="s">
        <v>182</v>
      </c>
      <c r="T110" s="233" t="s">
        <v>183</v>
      </c>
      <c r="U110" s="232">
        <v>9845467896</v>
      </c>
      <c r="V110" s="2" t="s">
        <v>1115</v>
      </c>
      <c r="W110" s="2"/>
      <c r="X110" s="53" t="s">
        <v>1116</v>
      </c>
      <c r="Y110" s="53" t="s">
        <v>1117</v>
      </c>
      <c r="Z110" s="9" t="s">
        <v>943</v>
      </c>
      <c r="AA110" s="8"/>
      <c r="AB110" s="9"/>
      <c r="AC110" s="9"/>
      <c r="AD110" s="9"/>
      <c r="AE110" s="9"/>
      <c r="AF110" s="9"/>
      <c r="AG110" s="9"/>
      <c r="AH110" s="9"/>
      <c r="AI110" s="9" t="s">
        <v>937</v>
      </c>
      <c r="AJ110" s="225">
        <f>IF(ISBLANK(Mentor_Connect[[#This Row],[Meeting Date]]),"",Mentor_Connect[[#This Row],[Meeting Date]]-WEEKDAY(Mentor_Connect[[#This Row],[Meeting Date]],2)+1)</f>
        <v>46041</v>
      </c>
      <c r="AK110" s="222">
        <f>IF(ISBLANK(Mentor_Connect[[#This Row],[Preferred Mentor Selected On]]),"",Mentor_Connect[[#This Row],[Preferred Mentor Selected On]]-WEEKDAY(Mentor_Connect[[#This Row],[Preferred Mentor Selected On]],2)+1)</f>
        <v>45992</v>
      </c>
    </row>
    <row r="111" spans="1:37" ht="24.6" customHeight="1" x14ac:dyDescent="0.3">
      <c r="A111" s="251" t="s">
        <v>44</v>
      </c>
      <c r="B111" s="251" t="str">
        <f>VLOOKUP(Mentor_Connect[[#This Row],[Venture Name]],[1]!VenturesList[#All],2,FALSE)</f>
        <v>Accelerate Prime</v>
      </c>
      <c r="C111" s="282">
        <f>VLOOKUP(Mentor_Connect[[#This Row],[Venture Name]],[1]!VenturesList[#All],3,FALSE)</f>
        <v>45870</v>
      </c>
      <c r="D111" s="251" t="str">
        <f>VLOOKUP(Mentor_Connect[[#This Row],[Venture Name]],[1]!VenturesList[#All],5,FALSE)</f>
        <v>Ramya</v>
      </c>
      <c r="E111" s="252" t="s">
        <v>85</v>
      </c>
      <c r="F111" s="252" t="s">
        <v>444</v>
      </c>
      <c r="G111" s="253">
        <v>45947</v>
      </c>
      <c r="H111" s="253"/>
      <c r="I111" s="253"/>
      <c r="J111" s="219">
        <v>45996</v>
      </c>
      <c r="K111" s="283"/>
      <c r="L111" s="218" t="s">
        <v>345</v>
      </c>
      <c r="M111" s="218">
        <v>45996</v>
      </c>
      <c r="N111" s="347"/>
      <c r="O111" s="258" t="s">
        <v>1118</v>
      </c>
      <c r="P111" s="260"/>
      <c r="Q111" s="269"/>
      <c r="R111" s="251"/>
      <c r="S111" s="260"/>
      <c r="T111" s="251"/>
      <c r="U111" s="251"/>
      <c r="V111" s="251"/>
      <c r="W111" s="251"/>
      <c r="X111" s="251"/>
      <c r="Y111" s="251"/>
      <c r="Z111" s="260" t="s">
        <v>943</v>
      </c>
      <c r="AA111" s="251"/>
      <c r="AB111" s="260"/>
      <c r="AC111" s="260"/>
      <c r="AD111" s="260"/>
      <c r="AE111" s="260"/>
      <c r="AF111" s="260"/>
      <c r="AG111" s="260"/>
      <c r="AH111" s="260"/>
      <c r="AI111" s="9"/>
      <c r="AJ111" s="225" t="str">
        <f>IF(ISBLANK(Mentor_Connect[[#This Row],[Meeting Date]]),"",Mentor_Connect[[#This Row],[Meeting Date]]-WEEKDAY(Mentor_Connect[[#This Row],[Meeting Date]],2)+1)</f>
        <v/>
      </c>
      <c r="AK111" s="222">
        <f>IF(ISBLANK(Mentor_Connect[[#This Row],[Preferred Mentor Selected On]]),"",Mentor_Connect[[#This Row],[Preferred Mentor Selected On]]-WEEKDAY(Mentor_Connect[[#This Row],[Preferred Mentor Selected On]],2)+1)</f>
        <v>45992</v>
      </c>
    </row>
    <row r="112" spans="1:37" ht="24.6" customHeight="1" x14ac:dyDescent="0.3">
      <c r="A112" s="237" t="s">
        <v>53</v>
      </c>
      <c r="B112" s="237" t="str">
        <f>VLOOKUP(Mentor_Connect[[#This Row],[Venture Name]],[1]!VenturesList[#All],2,FALSE)</f>
        <v>Accelerate Prime</v>
      </c>
      <c r="C112" s="339">
        <f>VLOOKUP(Mentor_Connect[[#This Row],[Venture Name]],[1]!VenturesList[#All],3,FALSE)</f>
        <v>45901</v>
      </c>
      <c r="D112" s="237" t="str">
        <f>VLOOKUP(Mentor_Connect[[#This Row],[Venture Name]],[1]!VenturesList[#All],5,FALSE)</f>
        <v>Ramya</v>
      </c>
      <c r="E112" s="238" t="s">
        <v>85</v>
      </c>
      <c r="F112" s="238" t="s">
        <v>18</v>
      </c>
      <c r="G112" s="239">
        <v>45947</v>
      </c>
      <c r="H112" s="239"/>
      <c r="I112" s="239"/>
      <c r="J112" s="240">
        <v>45995</v>
      </c>
      <c r="K112" s="240">
        <v>46064</v>
      </c>
      <c r="L112" s="239" t="s">
        <v>345</v>
      </c>
      <c r="M112" s="239">
        <v>45995</v>
      </c>
      <c r="N112" s="340"/>
      <c r="O112" s="241" t="s">
        <v>925</v>
      </c>
      <c r="P112" s="21"/>
      <c r="Q112" s="242">
        <v>115042915820</v>
      </c>
      <c r="R112" s="243" t="s">
        <v>913</v>
      </c>
      <c r="S112" s="430"/>
      <c r="T112" s="431" t="s">
        <v>463</v>
      </c>
      <c r="U112" s="47">
        <v>9715129387</v>
      </c>
      <c r="V112" s="38" t="s">
        <v>1119</v>
      </c>
      <c r="W112" s="38"/>
      <c r="X112" s="415" t="s">
        <v>1120</v>
      </c>
      <c r="Y112" s="415" t="s">
        <v>1121</v>
      </c>
      <c r="Z112" s="21"/>
      <c r="AA112" s="237"/>
      <c r="AB112" s="21"/>
      <c r="AC112" s="21"/>
      <c r="AD112" s="21"/>
      <c r="AE112" s="21"/>
      <c r="AF112" s="21"/>
      <c r="AG112" s="21"/>
      <c r="AH112" s="21"/>
      <c r="AI112" s="9" t="s">
        <v>916</v>
      </c>
      <c r="AJ112" s="225">
        <f>IF(ISBLANK(Mentor_Connect[[#This Row],[Meeting Date]]),"",Mentor_Connect[[#This Row],[Meeting Date]]-WEEKDAY(Mentor_Connect[[#This Row],[Meeting Date]],2)+1)</f>
        <v>46062</v>
      </c>
      <c r="AK112" s="222">
        <f>IF(ISBLANK(Mentor_Connect[[#This Row],[Preferred Mentor Selected On]]),"",Mentor_Connect[[#This Row],[Preferred Mentor Selected On]]-WEEKDAY(Mentor_Connect[[#This Row],[Preferred Mentor Selected On]],2)+1)</f>
        <v>45992</v>
      </c>
    </row>
    <row r="113" spans="1:37" ht="24.6" customHeight="1" x14ac:dyDescent="0.3">
      <c r="A113" s="8" t="s">
        <v>53</v>
      </c>
      <c r="B113" s="8" t="str">
        <f>VLOOKUP(Mentor_Connect[[#This Row],[Venture Name]],[1]!VenturesList[#All],2,FALSE)</f>
        <v>Accelerate Prime</v>
      </c>
      <c r="C113" s="223">
        <f>VLOOKUP(Mentor_Connect[[#This Row],[Venture Name]],[1]!VenturesList[#All],3,FALSE)</f>
        <v>45901</v>
      </c>
      <c r="D113" s="8" t="str">
        <f>VLOOKUP(Mentor_Connect[[#This Row],[Venture Name]],[1]!VenturesList[#All],5,FALSE)</f>
        <v>Ramya</v>
      </c>
      <c r="E113" s="216"/>
      <c r="F113" s="216" t="s">
        <v>440</v>
      </c>
      <c r="G113" s="217">
        <v>45947</v>
      </c>
      <c r="H113" s="217">
        <v>45980</v>
      </c>
      <c r="I113" s="217">
        <v>45980</v>
      </c>
      <c r="J113" s="225">
        <v>45995</v>
      </c>
      <c r="K113" s="225"/>
      <c r="L113" s="217"/>
      <c r="M113" s="217"/>
      <c r="N113" s="20"/>
      <c r="O113" s="60" t="s">
        <v>925</v>
      </c>
      <c r="P113" s="9"/>
      <c r="Q113" s="129"/>
      <c r="R113" s="231"/>
      <c r="S113" s="52"/>
      <c r="T113" s="432"/>
      <c r="U113" s="278"/>
      <c r="V113" s="8"/>
      <c r="W113" s="8"/>
      <c r="X113" s="8"/>
      <c r="Y113" s="8"/>
      <c r="Z113" s="9"/>
      <c r="AA113" s="8"/>
      <c r="AB113" s="9"/>
      <c r="AC113" s="9"/>
      <c r="AD113" s="9"/>
      <c r="AE113" s="9"/>
      <c r="AF113" s="9"/>
      <c r="AG113" s="9"/>
      <c r="AH113" s="9"/>
      <c r="AI113" s="9"/>
      <c r="AJ113" s="225" t="str">
        <f>IF(ISBLANK(Mentor_Connect[[#This Row],[Meeting Date]]),"",Mentor_Connect[[#This Row],[Meeting Date]]-WEEKDAY(Mentor_Connect[[#This Row],[Meeting Date]],2)+1)</f>
        <v/>
      </c>
      <c r="AK113" s="222">
        <f>IF(ISBLANK(Mentor_Connect[[#This Row],[Preferred Mentor Selected On]]),"",Mentor_Connect[[#This Row],[Preferred Mentor Selected On]]-WEEKDAY(Mentor_Connect[[#This Row],[Preferred Mentor Selected On]],2)+1)</f>
        <v>45992</v>
      </c>
    </row>
    <row r="114" spans="1:37" ht="24.6" customHeight="1" x14ac:dyDescent="0.3">
      <c r="A114" s="433" t="s">
        <v>15</v>
      </c>
      <c r="B114" s="433" t="str">
        <f>VLOOKUP(Mentor_Connect[[#This Row],[Venture Name]],[1]!VenturesList[#All],2,FALSE)</f>
        <v>Accelerate Core</v>
      </c>
      <c r="C114" s="434">
        <f>VLOOKUP(Mentor_Connect[[#This Row],[Venture Name]],[1]!VenturesList[#All],3,FALSE)</f>
        <v>45839</v>
      </c>
      <c r="D114" s="433" t="str">
        <f>VLOOKUP(Mentor_Connect[[#This Row],[Venture Name]],[1]!VenturesList[#All],5,FALSE)</f>
        <v>Jigar</v>
      </c>
      <c r="E114" s="435" t="s">
        <v>464</v>
      </c>
      <c r="F114" s="435" t="s">
        <v>436</v>
      </c>
      <c r="G114" s="36"/>
      <c r="H114" s="218">
        <v>45925</v>
      </c>
      <c r="I114" s="218">
        <v>45925</v>
      </c>
      <c r="J114" s="328">
        <v>45839</v>
      </c>
      <c r="K114" s="436"/>
      <c r="L114" s="218" t="s">
        <v>358</v>
      </c>
      <c r="M114" s="218">
        <v>45839</v>
      </c>
      <c r="N114" s="329"/>
      <c r="O114" s="437" t="s">
        <v>1122</v>
      </c>
      <c r="P114" s="36"/>
      <c r="Q114" s="149"/>
      <c r="R114" s="279"/>
      <c r="S114" s="36"/>
      <c r="T114" s="279"/>
      <c r="U114" s="279"/>
      <c r="V114" s="279"/>
      <c r="W114" s="279"/>
      <c r="X114" s="279"/>
      <c r="Y114" s="279"/>
      <c r="Z114" s="36" t="s">
        <v>943</v>
      </c>
      <c r="AA114" s="279"/>
      <c r="AB114" s="36"/>
      <c r="AC114" s="36"/>
      <c r="AD114" s="36"/>
      <c r="AE114" s="36"/>
      <c r="AF114" s="36"/>
      <c r="AG114" s="36"/>
      <c r="AH114" s="36"/>
      <c r="AI114" s="9"/>
      <c r="AJ114" s="225" t="str">
        <f>IF(ISBLANK(Mentor_Connect[[#This Row],[Meeting Date]]),"",Mentor_Connect[[#This Row],[Meeting Date]]-WEEKDAY(Mentor_Connect[[#This Row],[Meeting Date]],2)+1)</f>
        <v/>
      </c>
      <c r="AK114" s="222">
        <f>IF(ISBLANK(Mentor_Connect[[#This Row],[Preferred Mentor Selected On]]),"",Mentor_Connect[[#This Row],[Preferred Mentor Selected On]]-WEEKDAY(Mentor_Connect[[#This Row],[Preferred Mentor Selected On]],2)+1)</f>
        <v>45838</v>
      </c>
    </row>
    <row r="115" spans="1:37" ht="24.6" customHeight="1" x14ac:dyDescent="0.3">
      <c r="A115" s="279" t="s">
        <v>53</v>
      </c>
      <c r="B115" s="279" t="str">
        <f>VLOOKUP(Mentor_Connect[[#This Row],[Venture Name]],[1]!VenturesList[#All],2,FALSE)</f>
        <v>Accelerate Prime</v>
      </c>
      <c r="C115" s="328">
        <f>VLOOKUP(Mentor_Connect[[#This Row],[Venture Name]],[1]!VenturesList[#All],3,FALSE)</f>
        <v>45901</v>
      </c>
      <c r="D115" s="279" t="str">
        <f>VLOOKUP(Mentor_Connect[[#This Row],[Venture Name]],[1]!VenturesList[#All],5,FALSE)</f>
        <v>Ramya</v>
      </c>
      <c r="E115" s="438" t="s">
        <v>465</v>
      </c>
      <c r="F115" s="288" t="s">
        <v>444</v>
      </c>
      <c r="G115" s="218">
        <v>45947</v>
      </c>
      <c r="H115" s="218">
        <v>45980</v>
      </c>
      <c r="I115" s="218">
        <v>45980</v>
      </c>
      <c r="J115" s="225">
        <v>45995</v>
      </c>
      <c r="K115" s="439"/>
      <c r="L115" s="218" t="s">
        <v>345</v>
      </c>
      <c r="M115" s="217">
        <v>45995</v>
      </c>
      <c r="N115" s="20"/>
      <c r="O115" s="440" t="s">
        <v>1123</v>
      </c>
      <c r="P115" s="36"/>
      <c r="Q115" s="149"/>
      <c r="R115" s="279"/>
      <c r="S115" s="260"/>
      <c r="T115" s="251"/>
      <c r="U115" s="251"/>
      <c r="V115" s="251"/>
      <c r="W115" s="251"/>
      <c r="X115" s="251"/>
      <c r="Y115" s="251"/>
      <c r="Z115" s="36" t="s">
        <v>943</v>
      </c>
      <c r="AA115" s="279"/>
      <c r="AB115" s="36"/>
      <c r="AC115" s="36"/>
      <c r="AD115" s="36"/>
      <c r="AE115" s="36"/>
      <c r="AF115" s="36"/>
      <c r="AG115" s="36"/>
      <c r="AH115" s="36"/>
      <c r="AI115" s="9"/>
      <c r="AJ115" s="225" t="str">
        <f>IF(ISBLANK(Mentor_Connect[[#This Row],[Meeting Date]]),"",Mentor_Connect[[#This Row],[Meeting Date]]-WEEKDAY(Mentor_Connect[[#This Row],[Meeting Date]],2)+1)</f>
        <v/>
      </c>
      <c r="AK115" s="222">
        <f>IF(ISBLANK(Mentor_Connect[[#This Row],[Preferred Mentor Selected On]]),"",Mentor_Connect[[#This Row],[Preferred Mentor Selected On]]-WEEKDAY(Mentor_Connect[[#This Row],[Preferred Mentor Selected On]],2)+1)</f>
        <v>45992</v>
      </c>
    </row>
    <row r="116" spans="1:37" ht="24.6" customHeight="1" x14ac:dyDescent="0.3">
      <c r="A116" s="363" t="s">
        <v>31</v>
      </c>
      <c r="B116" s="363" t="str">
        <f>VLOOKUP(Mentor_Connect[[#This Row],[Venture Name]],[1]!VenturesList[#All],2,FALSE)</f>
        <v>Accelerate Core</v>
      </c>
      <c r="C116" s="236">
        <f>VLOOKUP(Mentor_Connect[[#This Row],[Venture Name]],[1]!VenturesList[#All],3,FALSE)</f>
        <v>45901</v>
      </c>
      <c r="D116" s="364" t="str">
        <f>VLOOKUP(Mentor_Connect[[#This Row],[Venture Name]],[1]!VenturesList[#All],5,FALSE)</f>
        <v>Jigar</v>
      </c>
      <c r="E116" s="39" t="s">
        <v>110</v>
      </c>
      <c r="F116" s="238" t="s">
        <v>18</v>
      </c>
      <c r="G116" s="239">
        <v>45972</v>
      </c>
      <c r="H116" s="441">
        <v>45980</v>
      </c>
      <c r="I116" s="442">
        <v>45980</v>
      </c>
      <c r="J116" s="365">
        <v>45999</v>
      </c>
      <c r="K116" s="230">
        <v>46001</v>
      </c>
      <c r="L116" s="253" t="s">
        <v>345</v>
      </c>
      <c r="M116" s="239">
        <v>45999</v>
      </c>
      <c r="N116" s="40"/>
      <c r="O116" s="22" t="s">
        <v>1124</v>
      </c>
      <c r="P116" s="25" t="s">
        <v>358</v>
      </c>
      <c r="Q116" s="443">
        <v>115029714002</v>
      </c>
      <c r="R116" s="444" t="s">
        <v>913</v>
      </c>
      <c r="S116" s="38" t="s">
        <v>309</v>
      </c>
      <c r="T116" s="445" t="s">
        <v>310</v>
      </c>
      <c r="U116" s="38">
        <v>8511100751</v>
      </c>
      <c r="V116" s="446" t="s">
        <v>1125</v>
      </c>
      <c r="W116" s="446"/>
      <c r="X116" s="429" t="s">
        <v>1126</v>
      </c>
      <c r="Y116" s="429" t="s">
        <v>1127</v>
      </c>
      <c r="Z116" s="21"/>
      <c r="AA116" s="237"/>
      <c r="AB116" s="21"/>
      <c r="AC116" s="21"/>
      <c r="AD116" s="21"/>
      <c r="AE116" s="21"/>
      <c r="AF116" s="21"/>
      <c r="AG116" s="21"/>
      <c r="AH116" s="21"/>
      <c r="AI116" s="9" t="s">
        <v>937</v>
      </c>
      <c r="AJ116" s="225">
        <f>IF(ISBLANK(Mentor_Connect[[#This Row],[Meeting Date]]),"",Mentor_Connect[[#This Row],[Meeting Date]]-WEEKDAY(Mentor_Connect[[#This Row],[Meeting Date]],2)+1)</f>
        <v>45999</v>
      </c>
      <c r="AK116" s="222">
        <f>IF(ISBLANK(Mentor_Connect[[#This Row],[Preferred Mentor Selected On]]),"",Mentor_Connect[[#This Row],[Preferred Mentor Selected On]]-WEEKDAY(Mentor_Connect[[#This Row],[Preferred Mentor Selected On]],2)+1)</f>
        <v>45999</v>
      </c>
    </row>
    <row r="117" spans="1:37" ht="24.6" customHeight="1" x14ac:dyDescent="0.3">
      <c r="A117" s="392" t="s">
        <v>31</v>
      </c>
      <c r="B117" s="392" t="str">
        <f>VLOOKUP(Mentor_Connect[[#This Row],[Venture Name]],[1]!VenturesList[#All],2,FALSE)</f>
        <v>Accelerate Core</v>
      </c>
      <c r="C117" s="1">
        <f>VLOOKUP(Mentor_Connect[[#This Row],[Venture Name]],[1]!VenturesList[#All],3,FALSE)</f>
        <v>45901</v>
      </c>
      <c r="D117" s="275" t="str">
        <f>VLOOKUP(Mentor_Connect[[#This Row],[Venture Name]],[1]!VenturesList[#All],5,FALSE)</f>
        <v>Jigar</v>
      </c>
      <c r="E117" s="3" t="s">
        <v>97</v>
      </c>
      <c r="F117" s="216" t="s">
        <v>18</v>
      </c>
      <c r="G117" s="217">
        <v>45972</v>
      </c>
      <c r="H117" s="447">
        <v>45980</v>
      </c>
      <c r="I117" s="448">
        <v>45980</v>
      </c>
      <c r="J117" s="261">
        <v>45999</v>
      </c>
      <c r="K117" s="220">
        <v>46001</v>
      </c>
      <c r="L117" s="217" t="s">
        <v>345</v>
      </c>
      <c r="M117" s="217">
        <v>45999</v>
      </c>
      <c r="N117" s="4"/>
      <c r="O117" s="4"/>
      <c r="P117" s="5" t="s">
        <v>358</v>
      </c>
      <c r="Q117" s="10">
        <v>115006697342</v>
      </c>
      <c r="R117" s="2" t="s">
        <v>913</v>
      </c>
      <c r="S117" s="2" t="s">
        <v>309</v>
      </c>
      <c r="T117" s="449" t="s">
        <v>310</v>
      </c>
      <c r="U117" s="2">
        <v>8511100751</v>
      </c>
      <c r="V117" s="393" t="s">
        <v>1125</v>
      </c>
      <c r="W117" s="393"/>
      <c r="X117" s="393" t="s">
        <v>432</v>
      </c>
      <c r="Y117" s="393" t="s">
        <v>432</v>
      </c>
      <c r="Z117" s="9"/>
      <c r="AA117" s="251" t="s">
        <v>885</v>
      </c>
      <c r="AB117" s="9"/>
      <c r="AC117" s="9"/>
      <c r="AD117" s="9"/>
      <c r="AE117" s="9"/>
      <c r="AF117" s="9"/>
      <c r="AG117" s="9"/>
      <c r="AH117" s="251" t="s">
        <v>1128</v>
      </c>
      <c r="AI117" s="9" t="s">
        <v>916</v>
      </c>
      <c r="AJ117" s="225">
        <f>IF(ISBLANK(Mentor_Connect[[#This Row],[Meeting Date]]),"",Mentor_Connect[[#This Row],[Meeting Date]]-WEEKDAY(Mentor_Connect[[#This Row],[Meeting Date]],2)+1)</f>
        <v>45999</v>
      </c>
      <c r="AK117" s="222">
        <f>IF(ISBLANK(Mentor_Connect[[#This Row],[Preferred Mentor Selected On]]),"",Mentor_Connect[[#This Row],[Preferred Mentor Selected On]]-WEEKDAY(Mentor_Connect[[#This Row],[Preferred Mentor Selected On]],2)+1)</f>
        <v>45999</v>
      </c>
    </row>
    <row r="118" spans="1:37" ht="24.6" customHeight="1" x14ac:dyDescent="0.3">
      <c r="A118" s="8" t="s">
        <v>31</v>
      </c>
      <c r="B118" s="8" t="str">
        <f>VLOOKUP(Mentor_Connect[[#This Row],[Venture Name]],[1]!VenturesList[#All],2,FALSE)</f>
        <v>Accelerate Core</v>
      </c>
      <c r="C118" s="1">
        <f>VLOOKUP(Mentor_Connect[[#This Row],[Venture Name]],[1]!VenturesList[#All],3,FALSE)</f>
        <v>45901</v>
      </c>
      <c r="D118" s="8" t="str">
        <f>VLOOKUP(Mentor_Connect[[#This Row],[Venture Name]],[1]!VenturesList[#All],5,FALSE)</f>
        <v>Jigar</v>
      </c>
      <c r="E118" s="3" t="s">
        <v>110</v>
      </c>
      <c r="F118" s="216" t="s">
        <v>18</v>
      </c>
      <c r="G118" s="217">
        <v>45972</v>
      </c>
      <c r="H118" s="447">
        <v>45980</v>
      </c>
      <c r="I118" s="448">
        <v>45980</v>
      </c>
      <c r="J118" s="261">
        <v>45999</v>
      </c>
      <c r="K118" s="225">
        <v>45942</v>
      </c>
      <c r="L118" s="217" t="s">
        <v>345</v>
      </c>
      <c r="M118" s="217">
        <v>45999</v>
      </c>
      <c r="N118" s="20"/>
      <c r="O118" s="7"/>
      <c r="P118" s="9"/>
      <c r="Q118" s="129">
        <v>115006696828</v>
      </c>
      <c r="R118" s="231" t="s">
        <v>913</v>
      </c>
      <c r="S118" s="30" t="s">
        <v>309</v>
      </c>
      <c r="T118" s="233" t="s">
        <v>310</v>
      </c>
      <c r="U118" s="248">
        <v>8511100751</v>
      </c>
      <c r="V118" s="2" t="s">
        <v>1129</v>
      </c>
      <c r="W118" s="2"/>
      <c r="X118" s="2" t="s">
        <v>432</v>
      </c>
      <c r="Y118" s="2" t="s">
        <v>432</v>
      </c>
      <c r="Z118" s="9"/>
      <c r="AA118" s="8"/>
      <c r="AB118" s="9"/>
      <c r="AC118" s="9"/>
      <c r="AD118" s="9"/>
      <c r="AE118" s="9"/>
      <c r="AF118" s="9"/>
      <c r="AG118" s="9"/>
      <c r="AH118" s="9"/>
      <c r="AI118" s="9" t="s">
        <v>916</v>
      </c>
      <c r="AJ118" s="225">
        <f>IF(ISBLANK(Mentor_Connect[[#This Row],[Meeting Date]]),"",Mentor_Connect[[#This Row],[Meeting Date]]-WEEKDAY(Mentor_Connect[[#This Row],[Meeting Date]],2)+1)</f>
        <v>45936</v>
      </c>
      <c r="AK118" s="222">
        <f>IF(ISBLANK(Mentor_Connect[[#This Row],[Preferred Mentor Selected On]]),"",Mentor_Connect[[#This Row],[Preferred Mentor Selected On]]-WEEKDAY(Mentor_Connect[[#This Row],[Preferred Mentor Selected On]],2)+1)</f>
        <v>45999</v>
      </c>
    </row>
    <row r="119" spans="1:37" ht="24.6" customHeight="1" x14ac:dyDescent="0.3">
      <c r="A119" s="352" t="s">
        <v>31</v>
      </c>
      <c r="B119" s="8" t="str">
        <f>VLOOKUP(Mentor_Connect[[#This Row],[Venture Name]],[1]!VenturesList[#All],2,FALSE)</f>
        <v>Accelerate Core</v>
      </c>
      <c r="C119" s="223">
        <f>VLOOKUP(Mentor_Connect[[#This Row],[Venture Name]],[1]!VenturesList[#All],3,FALSE)</f>
        <v>45901</v>
      </c>
      <c r="D119" s="8" t="str">
        <f>VLOOKUP(Mentor_Connect[[#This Row],[Venture Name]],[1]!VenturesList[#All],5,FALSE)</f>
        <v>Jigar</v>
      </c>
      <c r="E119" s="338" t="s">
        <v>136</v>
      </c>
      <c r="F119" s="3" t="s">
        <v>444</v>
      </c>
      <c r="G119" s="217">
        <v>45972</v>
      </c>
      <c r="H119" s="447">
        <v>45980</v>
      </c>
      <c r="I119" s="448">
        <v>45980</v>
      </c>
      <c r="J119" s="261">
        <v>45999</v>
      </c>
      <c r="K119" s="220"/>
      <c r="L119" s="217" t="s">
        <v>345</v>
      </c>
      <c r="M119" s="217">
        <v>45999</v>
      </c>
      <c r="N119" s="20"/>
      <c r="O119" s="159" t="s">
        <v>1130</v>
      </c>
      <c r="P119" s="9"/>
      <c r="Q119" s="129"/>
      <c r="R119" s="8"/>
      <c r="S119" s="9"/>
      <c r="T119" s="8"/>
      <c r="U119" s="8"/>
      <c r="V119" s="8"/>
      <c r="W119" s="8"/>
      <c r="X119" s="8"/>
      <c r="Y119" s="8"/>
      <c r="Z119" s="9"/>
      <c r="AA119" s="8"/>
      <c r="AB119" s="9"/>
      <c r="AC119" s="9"/>
      <c r="AD119" s="9"/>
      <c r="AE119" s="9"/>
      <c r="AF119" s="9"/>
      <c r="AG119" s="9"/>
      <c r="AH119" s="9"/>
      <c r="AI119" s="9"/>
      <c r="AJ119" s="225" t="str">
        <f>IF(ISBLANK(Mentor_Connect[[#This Row],[Meeting Date]]),"",Mentor_Connect[[#This Row],[Meeting Date]]-WEEKDAY(Mentor_Connect[[#This Row],[Meeting Date]],2)+1)</f>
        <v/>
      </c>
      <c r="AK119" s="222">
        <f>IF(ISBLANK(Mentor_Connect[[#This Row],[Preferred Mentor Selected On]]),"",Mentor_Connect[[#This Row],[Preferred Mentor Selected On]]-WEEKDAY(Mentor_Connect[[#This Row],[Preferred Mentor Selected On]],2)+1)</f>
        <v>45999</v>
      </c>
    </row>
    <row r="120" spans="1:37" ht="24.6" customHeight="1" x14ac:dyDescent="0.3">
      <c r="A120" s="279" t="s">
        <v>28</v>
      </c>
      <c r="B120" s="279" t="str">
        <f>VLOOKUP(Mentor_Connect[[#This Row],[Venture Name]],[1]!VenturesList[#All],2,FALSE)</f>
        <v>Accelerate Prime</v>
      </c>
      <c r="C120" s="328">
        <f>VLOOKUP(Mentor_Connect[[#This Row],[Venture Name]],[1]!VenturesList[#All],3,FALSE)</f>
        <v>45901</v>
      </c>
      <c r="D120" s="279" t="str">
        <f>VLOOKUP(Mentor_Connect[[#This Row],[Venture Name]],[1]!VenturesList[#All],5,FALSE)</f>
        <v>Shruti Modi</v>
      </c>
      <c r="E120" s="288" t="s">
        <v>111</v>
      </c>
      <c r="F120" s="288" t="s">
        <v>18</v>
      </c>
      <c r="G120" s="217">
        <v>45972</v>
      </c>
      <c r="H120" s="218"/>
      <c r="I120" s="218"/>
      <c r="J120" s="219">
        <v>45996</v>
      </c>
      <c r="K120" s="219">
        <v>46007</v>
      </c>
      <c r="L120" s="218" t="s">
        <v>345</v>
      </c>
      <c r="M120" s="218">
        <v>45996</v>
      </c>
      <c r="N120" s="347"/>
      <c r="O120" s="290" t="s">
        <v>1131</v>
      </c>
      <c r="P120" s="347"/>
      <c r="Q120" s="149">
        <v>115006004834</v>
      </c>
      <c r="R120" s="279" t="s">
        <v>913</v>
      </c>
      <c r="S120" s="279" t="s">
        <v>191</v>
      </c>
      <c r="T120" s="279" t="s">
        <v>192</v>
      </c>
      <c r="U120" s="279" t="s">
        <v>193</v>
      </c>
      <c r="V120" s="279"/>
      <c r="W120" s="279"/>
      <c r="X120" s="332" t="s">
        <v>1132</v>
      </c>
      <c r="Y120" s="332" t="s">
        <v>1133</v>
      </c>
      <c r="Z120" s="36"/>
      <c r="AA120" s="279"/>
      <c r="AB120" s="36"/>
      <c r="AC120" s="36"/>
      <c r="AD120" s="36"/>
      <c r="AE120" s="36"/>
      <c r="AF120" s="36"/>
      <c r="AG120" s="36"/>
      <c r="AH120" s="36"/>
      <c r="AI120" s="9" t="s">
        <v>916</v>
      </c>
      <c r="AJ120" s="225">
        <f>IF(ISBLANK(Mentor_Connect[[#This Row],[Meeting Date]]),"",Mentor_Connect[[#This Row],[Meeting Date]]-WEEKDAY(Mentor_Connect[[#This Row],[Meeting Date]],2)+1)</f>
        <v>46006</v>
      </c>
      <c r="AK120" s="222">
        <f>IF(ISBLANK(Mentor_Connect[[#This Row],[Preferred Mentor Selected On]]),"",Mentor_Connect[[#This Row],[Preferred Mentor Selected On]]-WEEKDAY(Mentor_Connect[[#This Row],[Preferred Mentor Selected On]],2)+1)</f>
        <v>45992</v>
      </c>
    </row>
    <row r="121" spans="1:37" ht="24.6" customHeight="1" x14ac:dyDescent="0.3">
      <c r="A121" s="8" t="s">
        <v>28</v>
      </c>
      <c r="B121" s="8" t="str">
        <f>VLOOKUP(Mentor_Connect[[#This Row],[Venture Name]],[1]!VenturesList[#All],2,FALSE)</f>
        <v>Accelerate Prime</v>
      </c>
      <c r="C121" s="223">
        <f>VLOOKUP(Mentor_Connect[[#This Row],[Venture Name]],[1]!VenturesList[#All],3,FALSE)</f>
        <v>45901</v>
      </c>
      <c r="D121" s="8" t="str">
        <f>VLOOKUP(Mentor_Connect[[#This Row],[Venture Name]],[1]!VenturesList[#All],5,FALSE)</f>
        <v>Shruti Modi</v>
      </c>
      <c r="E121" s="216" t="s">
        <v>112</v>
      </c>
      <c r="F121" s="216" t="s">
        <v>18</v>
      </c>
      <c r="G121" s="217">
        <v>45972</v>
      </c>
      <c r="H121" s="218"/>
      <c r="I121" s="218"/>
      <c r="J121" s="219">
        <v>45996</v>
      </c>
      <c r="K121" s="225">
        <v>46020</v>
      </c>
      <c r="L121" s="218" t="s">
        <v>345</v>
      </c>
      <c r="M121" s="217">
        <v>45996</v>
      </c>
      <c r="N121" s="20"/>
      <c r="O121" s="60" t="s">
        <v>925</v>
      </c>
      <c r="P121" s="9"/>
      <c r="Q121" s="129">
        <v>115012288408</v>
      </c>
      <c r="R121" s="8" t="s">
        <v>913</v>
      </c>
      <c r="S121" s="353" t="s">
        <v>191</v>
      </c>
      <c r="T121" s="354" t="s">
        <v>192</v>
      </c>
      <c r="U121" s="450" t="s">
        <v>193</v>
      </c>
      <c r="V121" s="8"/>
      <c r="W121" s="8"/>
      <c r="X121" s="53" t="s">
        <v>1134</v>
      </c>
      <c r="Y121" s="53" t="s">
        <v>1135</v>
      </c>
      <c r="Z121" s="9"/>
      <c r="AA121" s="8"/>
      <c r="AB121" s="9"/>
      <c r="AC121" s="9"/>
      <c r="AD121" s="9"/>
      <c r="AE121" s="9"/>
      <c r="AF121" s="9"/>
      <c r="AG121" s="9"/>
      <c r="AH121" s="9"/>
      <c r="AI121" s="9" t="s">
        <v>916</v>
      </c>
      <c r="AJ121" s="225">
        <f>IF(ISBLANK(Mentor_Connect[[#This Row],[Meeting Date]]),"",Mentor_Connect[[#This Row],[Meeting Date]]-WEEKDAY(Mentor_Connect[[#This Row],[Meeting Date]],2)+1)</f>
        <v>46020</v>
      </c>
      <c r="AK121" s="222">
        <f>IF(ISBLANK(Mentor_Connect[[#This Row],[Preferred Mentor Selected On]]),"",Mentor_Connect[[#This Row],[Preferred Mentor Selected On]]-WEEKDAY(Mentor_Connect[[#This Row],[Preferred Mentor Selected On]],2)+1)</f>
        <v>45992</v>
      </c>
    </row>
    <row r="122" spans="1:37" ht="24.6" customHeight="1" x14ac:dyDescent="0.3">
      <c r="A122" s="8" t="s">
        <v>296</v>
      </c>
      <c r="B122" s="8" t="str">
        <f>VLOOKUP(Mentor_Connect[[#This Row],[Venture Name]],[1]!VenturesList[#All],2,FALSE)</f>
        <v>Accelerate Core</v>
      </c>
      <c r="C122" s="223">
        <f>VLOOKUP(Mentor_Connect[[#This Row],[Venture Name]],[1]!VenturesList[#All],3,FALSE)</f>
        <v>45931</v>
      </c>
      <c r="D122" s="8" t="str">
        <f>VLOOKUP(Mentor_Connect[[#This Row],[Venture Name]],[1]!VenturesList[#All],5,FALSE)</f>
        <v xml:space="preserve">Kedar </v>
      </c>
      <c r="E122" s="216" t="s">
        <v>950</v>
      </c>
      <c r="F122" s="216" t="s">
        <v>434</v>
      </c>
      <c r="G122" s="9"/>
      <c r="H122" s="9"/>
      <c r="I122" s="9"/>
      <c r="J122" s="223">
        <v>45931</v>
      </c>
      <c r="K122" s="225"/>
      <c r="L122" s="217" t="s">
        <v>358</v>
      </c>
      <c r="M122" s="217">
        <v>45931</v>
      </c>
      <c r="N122" s="20"/>
      <c r="O122" s="6" t="s">
        <v>1136</v>
      </c>
      <c r="P122" s="9"/>
      <c r="Q122" s="129"/>
      <c r="R122" s="8"/>
      <c r="S122" s="9"/>
      <c r="T122" s="8"/>
      <c r="U122" s="8"/>
      <c r="V122" s="8"/>
      <c r="W122" s="8"/>
      <c r="X122" s="8"/>
      <c r="Y122" s="8"/>
      <c r="Z122" s="9"/>
      <c r="AA122" s="8"/>
      <c r="AB122" s="9"/>
      <c r="AC122" s="9"/>
      <c r="AD122" s="9"/>
      <c r="AE122" s="9"/>
      <c r="AF122" s="9"/>
      <c r="AG122" s="9"/>
      <c r="AH122" s="9"/>
      <c r="AI122" s="9"/>
      <c r="AJ122" s="225" t="str">
        <f>IF(ISBLANK(Mentor_Connect[[#This Row],[Meeting Date]]),"",Mentor_Connect[[#This Row],[Meeting Date]]-WEEKDAY(Mentor_Connect[[#This Row],[Meeting Date]],2)+1)</f>
        <v/>
      </c>
      <c r="AK122" s="222">
        <f>IF(ISBLANK(Mentor_Connect[[#This Row],[Preferred Mentor Selected On]]),"",Mentor_Connect[[#This Row],[Preferred Mentor Selected On]]-WEEKDAY(Mentor_Connect[[#This Row],[Preferred Mentor Selected On]],2)+1)</f>
        <v>45929</v>
      </c>
    </row>
    <row r="123" spans="1:37" ht="24.6" customHeight="1" x14ac:dyDescent="0.3">
      <c r="A123" s="8" t="s">
        <v>28</v>
      </c>
      <c r="B123" s="8" t="str">
        <f>VLOOKUP(Mentor_Connect[[#This Row],[Venture Name]],[1]!VenturesList[#All],2,FALSE)</f>
        <v>Accelerate Prime</v>
      </c>
      <c r="C123" s="274">
        <f>VLOOKUP(Mentor_Connect[[#This Row],[Venture Name]],[1]!VenturesList[#All],3,FALSE)</f>
        <v>45901</v>
      </c>
      <c r="D123" s="8" t="str">
        <f>VLOOKUP(Mentor_Connect[[#This Row],[Venture Name]],[1]!VenturesList[#All],5,FALSE)</f>
        <v>Shruti Modi</v>
      </c>
      <c r="E123" s="216" t="s">
        <v>113</v>
      </c>
      <c r="F123" s="216" t="s">
        <v>18</v>
      </c>
      <c r="G123" s="217">
        <v>45972</v>
      </c>
      <c r="H123" s="217"/>
      <c r="I123" s="217"/>
      <c r="J123" s="225">
        <v>45996</v>
      </c>
      <c r="K123" s="225">
        <v>46035</v>
      </c>
      <c r="L123" s="218" t="s">
        <v>345</v>
      </c>
      <c r="M123" s="217">
        <v>45996</v>
      </c>
      <c r="N123" s="20"/>
      <c r="O123" s="6" t="s">
        <v>1137</v>
      </c>
      <c r="P123" s="9"/>
      <c r="Q123" s="269">
        <v>115023428054</v>
      </c>
      <c r="R123" s="43" t="s">
        <v>913</v>
      </c>
      <c r="S123" s="353" t="s">
        <v>191</v>
      </c>
      <c r="T123" s="354" t="s">
        <v>192</v>
      </c>
      <c r="U123" s="353" t="s">
        <v>193</v>
      </c>
      <c r="V123" s="8"/>
      <c r="W123" s="8"/>
      <c r="X123" s="53" t="s">
        <v>1138</v>
      </c>
      <c r="Y123" s="53" t="s">
        <v>1139</v>
      </c>
      <c r="Z123" s="9"/>
      <c r="AA123" s="8"/>
      <c r="AB123" s="9"/>
      <c r="AC123" s="9"/>
      <c r="AD123" s="9"/>
      <c r="AE123" s="9"/>
      <c r="AF123" s="9"/>
      <c r="AG123" s="9"/>
      <c r="AH123" s="9"/>
      <c r="AI123" s="9" t="s">
        <v>916</v>
      </c>
      <c r="AJ123" s="225">
        <f>IF(ISBLANK(Mentor_Connect[[#This Row],[Meeting Date]]),"",Mentor_Connect[[#This Row],[Meeting Date]]-WEEKDAY(Mentor_Connect[[#This Row],[Meeting Date]],2)+1)</f>
        <v>46034</v>
      </c>
      <c r="AK123" s="222">
        <f>IF(ISBLANK(Mentor_Connect[[#This Row],[Preferred Mentor Selected On]]),"",Mentor_Connect[[#This Row],[Preferred Mentor Selected On]]-WEEKDAY(Mentor_Connect[[#This Row],[Preferred Mentor Selected On]],2)+1)</f>
        <v>45992</v>
      </c>
    </row>
    <row r="124" spans="1:37" ht="24.6" customHeight="1" x14ac:dyDescent="0.3">
      <c r="A124" s="8" t="s">
        <v>28</v>
      </c>
      <c r="B124" s="8" t="str">
        <f>VLOOKUP(Mentor_Connect[[#This Row],[Venture Name]],[1]!VenturesList[#All],2,FALSE)</f>
        <v>Accelerate Prime</v>
      </c>
      <c r="C124" s="223">
        <f>VLOOKUP(Mentor_Connect[[#This Row],[Venture Name]],[1]!VenturesList[#All],3,FALSE)</f>
        <v>45901</v>
      </c>
      <c r="D124" s="8" t="str">
        <f>VLOOKUP(Mentor_Connect[[#This Row],[Venture Name]],[1]!VenturesList[#All],5,FALSE)</f>
        <v>Shruti Modi</v>
      </c>
      <c r="E124" s="216"/>
      <c r="F124" s="216" t="s">
        <v>449</v>
      </c>
      <c r="G124" s="253">
        <v>45972</v>
      </c>
      <c r="H124" s="239">
        <v>45980</v>
      </c>
      <c r="I124" s="217">
        <v>45980</v>
      </c>
      <c r="J124" s="240">
        <v>45996</v>
      </c>
      <c r="K124" s="225"/>
      <c r="L124" s="217" t="s">
        <v>345</v>
      </c>
      <c r="M124" s="217">
        <v>45996</v>
      </c>
      <c r="N124" s="20"/>
      <c r="O124" s="159" t="s">
        <v>1140</v>
      </c>
      <c r="P124" s="9"/>
      <c r="Q124" s="129"/>
      <c r="R124" s="8"/>
      <c r="S124" s="9"/>
      <c r="T124" s="8"/>
      <c r="U124" s="8"/>
      <c r="V124" s="8"/>
      <c r="W124" s="8"/>
      <c r="X124" s="8"/>
      <c r="Y124" s="8"/>
      <c r="Z124" s="9"/>
      <c r="AA124" s="8"/>
      <c r="AB124" s="9"/>
      <c r="AC124" s="9"/>
      <c r="AD124" s="9"/>
      <c r="AE124" s="9"/>
      <c r="AF124" s="9"/>
      <c r="AG124" s="9"/>
      <c r="AH124" s="9"/>
      <c r="AI124" s="9"/>
      <c r="AJ124" s="225" t="str">
        <f>IF(ISBLANK(Mentor_Connect[[#This Row],[Meeting Date]]),"",Mentor_Connect[[#This Row],[Meeting Date]]-WEEKDAY(Mentor_Connect[[#This Row],[Meeting Date]],2)+1)</f>
        <v/>
      </c>
      <c r="AK124" s="222">
        <f>IF(ISBLANK(Mentor_Connect[[#This Row],[Preferred Mentor Selected On]]),"",Mentor_Connect[[#This Row],[Preferred Mentor Selected On]]-WEEKDAY(Mentor_Connect[[#This Row],[Preferred Mentor Selected On]],2)+1)</f>
        <v>45992</v>
      </c>
    </row>
    <row r="125" spans="1:37" ht="24.6" customHeight="1" x14ac:dyDescent="0.3">
      <c r="A125" s="243" t="s">
        <v>212</v>
      </c>
      <c r="B125" s="243" t="str">
        <f>VLOOKUP(Mentor_Connect[[#This Row],[Venture Name]],[1]!VenturesList[#All],2,FALSE)</f>
        <v>Accelerate Core</v>
      </c>
      <c r="C125" s="351">
        <f>VLOOKUP(Mentor_Connect[[#This Row],[Venture Name]],[1]!VenturesList[#All],3,FALSE)</f>
        <v>45839</v>
      </c>
      <c r="D125" s="237" t="str">
        <f>VLOOKUP(Mentor_Connect[[#This Row],[Venture Name]],[1]!VenturesList[#All],5,FALSE)</f>
        <v>Hardeepsinh Jhala</v>
      </c>
      <c r="E125" s="238"/>
      <c r="F125" s="238" t="s">
        <v>440</v>
      </c>
      <c r="G125" s="239">
        <v>45973</v>
      </c>
      <c r="H125" s="21"/>
      <c r="I125" s="239">
        <v>46104</v>
      </c>
      <c r="J125" s="240"/>
      <c r="K125" s="240"/>
      <c r="L125" s="239"/>
      <c r="M125" s="239"/>
      <c r="N125" s="241"/>
      <c r="O125" s="241" t="s">
        <v>1141</v>
      </c>
      <c r="P125" s="21"/>
      <c r="Q125" s="242"/>
      <c r="R125" s="237"/>
      <c r="S125" s="21"/>
      <c r="T125" s="237"/>
      <c r="U125" s="237"/>
      <c r="V125" s="237"/>
      <c r="W125" s="237"/>
      <c r="X125" s="237"/>
      <c r="Y125" s="237"/>
      <c r="Z125" s="21"/>
      <c r="AA125" s="237"/>
      <c r="AB125" s="21"/>
      <c r="AC125" s="21"/>
      <c r="AD125" s="21"/>
      <c r="AE125" s="21"/>
      <c r="AF125" s="21"/>
      <c r="AG125" s="21"/>
      <c r="AH125" s="21"/>
      <c r="AI125" s="9"/>
      <c r="AJ125" s="225" t="str">
        <f>IF(ISBLANK(Mentor_Connect[[#This Row],[Meeting Date]]),"",Mentor_Connect[[#This Row],[Meeting Date]]-WEEKDAY(Mentor_Connect[[#This Row],[Meeting Date]],2)+1)</f>
        <v/>
      </c>
      <c r="AK125" s="222" t="str">
        <f>IF(ISBLANK(Mentor_Connect[[#This Row],[Preferred Mentor Selected On]]),"",Mentor_Connect[[#This Row],[Preferred Mentor Selected On]]-WEEKDAY(Mentor_Connect[[#This Row],[Preferred Mentor Selected On]],2)+1)</f>
        <v/>
      </c>
    </row>
    <row r="126" spans="1:37" ht="24.6" customHeight="1" x14ac:dyDescent="0.3">
      <c r="A126" s="8" t="s">
        <v>30</v>
      </c>
      <c r="B126" s="8" t="str">
        <f>VLOOKUP(Mentor_Connect[[#This Row],[Venture Name]],[1]!VenturesList[#All],2,FALSE)</f>
        <v>Accelerate Prime</v>
      </c>
      <c r="C126" s="223">
        <f>VLOOKUP(Mentor_Connect[[#This Row],[Venture Name]],[1]!VenturesList[#All],3,FALSE)</f>
        <v>45839</v>
      </c>
      <c r="D126" s="8" t="str">
        <f>VLOOKUP(Mentor_Connect[[#This Row],[Venture Name]],[1]!VenturesList[#All],5,FALSE)</f>
        <v>Kedar</v>
      </c>
      <c r="E126" s="216" t="s">
        <v>93</v>
      </c>
      <c r="F126" s="216" t="s">
        <v>446</v>
      </c>
      <c r="G126" s="239">
        <v>45891</v>
      </c>
      <c r="H126" s="239"/>
      <c r="I126" s="239"/>
      <c r="J126" s="240">
        <v>45924</v>
      </c>
      <c r="K126" s="225"/>
      <c r="L126" s="217"/>
      <c r="M126" s="217"/>
      <c r="N126" s="20"/>
      <c r="O126" s="60" t="s">
        <v>925</v>
      </c>
      <c r="P126" s="9"/>
      <c r="Q126" s="129"/>
      <c r="R126" s="8"/>
      <c r="S126" s="9"/>
      <c r="T126" s="8"/>
      <c r="U126" s="8"/>
      <c r="V126" s="8"/>
      <c r="W126" s="8"/>
      <c r="X126" s="8"/>
      <c r="Y126" s="8"/>
      <c r="Z126" s="9"/>
      <c r="AA126" s="8"/>
      <c r="AB126" s="9"/>
      <c r="AC126" s="9"/>
      <c r="AD126" s="9"/>
      <c r="AE126" s="9"/>
      <c r="AF126" s="9"/>
      <c r="AG126" s="9"/>
      <c r="AH126" s="9"/>
      <c r="AI126" s="9"/>
      <c r="AJ126" s="225" t="str">
        <f>IF(ISBLANK(Mentor_Connect[[#This Row],[Meeting Date]]),"",Mentor_Connect[[#This Row],[Meeting Date]]-WEEKDAY(Mentor_Connect[[#This Row],[Meeting Date]],2)+1)</f>
        <v/>
      </c>
      <c r="AK126" s="222">
        <f>IF(ISBLANK(Mentor_Connect[[#This Row],[Preferred Mentor Selected On]]),"",Mentor_Connect[[#This Row],[Preferred Mentor Selected On]]-WEEKDAY(Mentor_Connect[[#This Row],[Preferred Mentor Selected On]],2)+1)</f>
        <v>45922</v>
      </c>
    </row>
    <row r="127" spans="1:37" ht="24.6" customHeight="1" x14ac:dyDescent="0.3">
      <c r="A127" s="366" t="s">
        <v>223</v>
      </c>
      <c r="B127" s="366" t="str">
        <f>VLOOKUP(Mentor_Connect[[#This Row],[Venture Name]],[1]!VenturesList[#All],2,FALSE)</f>
        <v>Accelerate Core</v>
      </c>
      <c r="C127" s="367">
        <f>VLOOKUP(Mentor_Connect[[#This Row],[Venture Name]],[1]!VenturesList[#All],3,FALSE)</f>
        <v>45901</v>
      </c>
      <c r="D127" s="251" t="str">
        <f>VLOOKUP(Mentor_Connect[[#This Row],[Venture Name]],[1]!VenturesList[#All],5,FALSE)</f>
        <v>Hardeepsinh Jhala</v>
      </c>
      <c r="E127" s="252"/>
      <c r="F127" s="252" t="s">
        <v>434</v>
      </c>
      <c r="G127" s="260"/>
      <c r="H127" s="260"/>
      <c r="I127" s="260"/>
      <c r="J127" s="260"/>
      <c r="K127" s="283"/>
      <c r="L127" s="253"/>
      <c r="M127" s="253"/>
      <c r="N127" s="267"/>
      <c r="O127" s="267"/>
      <c r="P127" s="260"/>
      <c r="Q127" s="269"/>
      <c r="R127" s="251"/>
      <c r="S127" s="260"/>
      <c r="T127" s="251"/>
      <c r="U127" s="251"/>
      <c r="V127" s="251"/>
      <c r="W127" s="251"/>
      <c r="X127" s="251"/>
      <c r="Y127" s="251"/>
      <c r="Z127" s="260"/>
      <c r="AA127" s="251"/>
      <c r="AB127" s="260"/>
      <c r="AC127" s="260"/>
      <c r="AD127" s="260"/>
      <c r="AE127" s="260"/>
      <c r="AF127" s="260"/>
      <c r="AG127" s="260"/>
      <c r="AH127" s="260"/>
      <c r="AI127" s="9"/>
      <c r="AJ127" s="225" t="str">
        <f>IF(ISBLANK(Mentor_Connect[[#This Row],[Meeting Date]]),"",Mentor_Connect[[#This Row],[Meeting Date]]-WEEKDAY(Mentor_Connect[[#This Row],[Meeting Date]],2)+1)</f>
        <v/>
      </c>
      <c r="AK127" s="222" t="str">
        <f>IF(ISBLANK(Mentor_Connect[[#This Row],[Preferred Mentor Selected On]]),"",Mentor_Connect[[#This Row],[Preferred Mentor Selected On]]-WEEKDAY(Mentor_Connect[[#This Row],[Preferred Mentor Selected On]],2)+1)</f>
        <v/>
      </c>
    </row>
    <row r="128" spans="1:37" ht="24.6" customHeight="1" x14ac:dyDescent="0.3">
      <c r="A128" s="231" t="s">
        <v>213</v>
      </c>
      <c r="B128" s="231" t="str">
        <f>VLOOKUP(Mentor_Connect[[#This Row],[Venture Name]],[1]!VenturesList[#All],2,FALSE)</f>
        <v>Accelerate Select</v>
      </c>
      <c r="C128" s="249">
        <f>VLOOKUP(Mentor_Connect[[#This Row],[Venture Name]],[1]!VenturesList[#All],3,FALSE)</f>
        <v>45870</v>
      </c>
      <c r="D128" s="8" t="str">
        <f>VLOOKUP(Mentor_Connect[[#This Row],[Venture Name]],[1]!VenturesList[#All],5,FALSE)</f>
        <v>Ankit Makwana</v>
      </c>
      <c r="E128" s="216"/>
      <c r="F128" s="216" t="s">
        <v>440</v>
      </c>
      <c r="G128" s="217">
        <v>45973</v>
      </c>
      <c r="H128" s="9"/>
      <c r="I128" s="217">
        <v>46104</v>
      </c>
      <c r="J128" s="225"/>
      <c r="K128" s="225"/>
      <c r="L128" s="217"/>
      <c r="M128" s="217"/>
      <c r="N128" s="20"/>
      <c r="O128" s="20" t="s">
        <v>1141</v>
      </c>
      <c r="P128" s="9"/>
      <c r="Q128" s="129"/>
      <c r="R128" s="8"/>
      <c r="S128" s="9"/>
      <c r="T128" s="8"/>
      <c r="U128" s="8"/>
      <c r="V128" s="8"/>
      <c r="W128" s="8"/>
      <c r="X128" s="8"/>
      <c r="Y128" s="8"/>
      <c r="Z128" s="9"/>
      <c r="AA128" s="8"/>
      <c r="AB128" s="9"/>
      <c r="AC128" s="9"/>
      <c r="AD128" s="9"/>
      <c r="AE128" s="9"/>
      <c r="AF128" s="9"/>
      <c r="AG128" s="9"/>
      <c r="AH128" s="9"/>
      <c r="AI128" s="9"/>
      <c r="AJ128" s="225" t="str">
        <f>IF(ISBLANK(Mentor_Connect[[#This Row],[Meeting Date]]),"",Mentor_Connect[[#This Row],[Meeting Date]]-WEEKDAY(Mentor_Connect[[#This Row],[Meeting Date]],2)+1)</f>
        <v/>
      </c>
      <c r="AK128" s="222" t="str">
        <f>IF(ISBLANK(Mentor_Connect[[#This Row],[Preferred Mentor Selected On]]),"",Mentor_Connect[[#This Row],[Preferred Mentor Selected On]]-WEEKDAY(Mentor_Connect[[#This Row],[Preferred Mentor Selected On]],2)+1)</f>
        <v/>
      </c>
    </row>
    <row r="129" spans="1:37" ht="24.6" customHeight="1" x14ac:dyDescent="0.3">
      <c r="A129" s="231" t="s">
        <v>214</v>
      </c>
      <c r="B129" s="243" t="str">
        <f>VLOOKUP(Mentor_Connect[[#This Row],[Venture Name]],[1]!VenturesList[#All],2,FALSE)</f>
        <v>Accelerate Core</v>
      </c>
      <c r="C129" s="223">
        <f>VLOOKUP(Mentor_Connect[[#This Row],[Venture Name]],[1]!VenturesList[#All],3,FALSE)</f>
        <v>45809</v>
      </c>
      <c r="D129" s="8" t="str">
        <f>VLOOKUP(Mentor_Connect[[#This Row],[Venture Name]],[1]!VenturesList[#All],5,FALSE)</f>
        <v>Ankit Makwana</v>
      </c>
      <c r="E129" s="216" t="s">
        <v>466</v>
      </c>
      <c r="F129" s="216" t="s">
        <v>439</v>
      </c>
      <c r="G129" s="217">
        <v>45973</v>
      </c>
      <c r="H129" s="9"/>
      <c r="I129" s="217">
        <v>46104</v>
      </c>
      <c r="J129" s="217">
        <v>46126</v>
      </c>
      <c r="K129" s="240"/>
      <c r="L129" s="217"/>
      <c r="M129" s="217"/>
      <c r="N129" s="6" t="s">
        <v>1142</v>
      </c>
      <c r="O129" s="6" t="s">
        <v>1143</v>
      </c>
      <c r="P129" s="5"/>
      <c r="Q129" s="242"/>
      <c r="R129" s="8"/>
      <c r="S129" s="9"/>
      <c r="T129" s="8"/>
      <c r="U129" s="8"/>
      <c r="V129" s="8"/>
      <c r="W129" s="237"/>
      <c r="X129" s="237"/>
      <c r="Y129" s="237"/>
      <c r="Z129" s="9"/>
      <c r="AA129" s="8"/>
      <c r="AB129" s="9"/>
      <c r="AC129" s="21"/>
      <c r="AD129" s="21"/>
      <c r="AE129" s="21"/>
      <c r="AF129" s="21"/>
      <c r="AG129" s="21"/>
      <c r="AH129" s="21"/>
      <c r="AI129" s="9"/>
      <c r="AJ129" s="225" t="str">
        <f>IF(ISBLANK(Mentor_Connect[[#This Row],[Meeting Date]]),"",Mentor_Connect[[#This Row],[Meeting Date]]-WEEKDAY(Mentor_Connect[[#This Row],[Meeting Date]],2)+1)</f>
        <v/>
      </c>
      <c r="AK129" s="222">
        <f>IF(ISBLANK(Mentor_Connect[[#This Row],[Preferred Mentor Selected On]]),"",Mentor_Connect[[#This Row],[Preferred Mentor Selected On]]-WEEKDAY(Mentor_Connect[[#This Row],[Preferred Mentor Selected On]],2)+1)</f>
        <v>46125</v>
      </c>
    </row>
    <row r="130" spans="1:37" ht="24.6" customHeight="1" x14ac:dyDescent="0.3">
      <c r="A130" s="231" t="s">
        <v>214</v>
      </c>
      <c r="B130" s="231" t="str">
        <f>VLOOKUP(Mentor_Connect[[#This Row],[Venture Name]],[1]!VenturesList[#All],2,FALSE)</f>
        <v>Accelerate Core</v>
      </c>
      <c r="C130" s="223">
        <f>VLOOKUP(Mentor_Connect[[#This Row],[Venture Name]],[1]!VenturesList[#All],3,FALSE)</f>
        <v>45809</v>
      </c>
      <c r="D130" s="8" t="str">
        <f>VLOOKUP(Mentor_Connect[[#This Row],[Venture Name]],[1]!VenturesList[#All],5,FALSE)</f>
        <v>Ankit Makwana</v>
      </c>
      <c r="E130" s="216"/>
      <c r="F130" s="216" t="s">
        <v>440</v>
      </c>
      <c r="G130" s="217">
        <v>45973</v>
      </c>
      <c r="H130" s="9"/>
      <c r="I130" s="217">
        <v>46104</v>
      </c>
      <c r="J130" s="225"/>
      <c r="K130" s="225"/>
      <c r="L130" s="217"/>
      <c r="M130" s="217"/>
      <c r="N130" s="20"/>
      <c r="O130" s="20" t="s">
        <v>1141</v>
      </c>
      <c r="P130" s="9"/>
      <c r="Q130" s="129"/>
      <c r="R130" s="8"/>
      <c r="S130" s="9"/>
      <c r="T130" s="8"/>
      <c r="U130" s="8"/>
      <c r="V130" s="8"/>
      <c r="W130" s="8"/>
      <c r="X130" s="8"/>
      <c r="Y130" s="8"/>
      <c r="Z130" s="9"/>
      <c r="AA130" s="8"/>
      <c r="AB130" s="9"/>
      <c r="AC130" s="9"/>
      <c r="AD130" s="9"/>
      <c r="AE130" s="9"/>
      <c r="AF130" s="9"/>
      <c r="AG130" s="9"/>
      <c r="AH130" s="9"/>
      <c r="AI130" s="9"/>
      <c r="AJ130" s="225" t="str">
        <f>IF(ISBLANK(Mentor_Connect[[#This Row],[Meeting Date]]),"",Mentor_Connect[[#This Row],[Meeting Date]]-WEEKDAY(Mentor_Connect[[#This Row],[Meeting Date]],2)+1)</f>
        <v/>
      </c>
      <c r="AK130" s="222" t="str">
        <f>IF(ISBLANK(Mentor_Connect[[#This Row],[Preferred Mentor Selected On]]),"",Mentor_Connect[[#This Row],[Preferred Mentor Selected On]]-WEEKDAY(Mentor_Connect[[#This Row],[Preferred Mentor Selected On]],2)+1)</f>
        <v/>
      </c>
    </row>
    <row r="131" spans="1:37" ht="24.6" customHeight="1" x14ac:dyDescent="0.3">
      <c r="A131" s="231" t="s">
        <v>215</v>
      </c>
      <c r="B131" s="231" t="str">
        <f>VLOOKUP(Mentor_Connect[[#This Row],[Venture Name]],[1]!VenturesList[#All],2,FALSE)</f>
        <v>Accelerate Core</v>
      </c>
      <c r="C131" s="249">
        <f>VLOOKUP(Mentor_Connect[[#This Row],[Venture Name]],[1]!VenturesList[#All],3,FALSE)</f>
        <v>45901</v>
      </c>
      <c r="D131" s="8" t="str">
        <f>VLOOKUP(Mentor_Connect[[#This Row],[Venture Name]],[1]!VenturesList[#All],5,FALSE)</f>
        <v>Ankit Makwana</v>
      </c>
      <c r="E131" s="216"/>
      <c r="F131" s="216" t="s">
        <v>440</v>
      </c>
      <c r="G131" s="217">
        <v>45973</v>
      </c>
      <c r="H131" s="9"/>
      <c r="I131" s="217">
        <v>46104</v>
      </c>
      <c r="J131" s="225"/>
      <c r="K131" s="225"/>
      <c r="L131" s="217"/>
      <c r="M131" s="217"/>
      <c r="N131" s="20"/>
      <c r="O131" s="20" t="s">
        <v>1141</v>
      </c>
      <c r="P131" s="9"/>
      <c r="Q131" s="129"/>
      <c r="R131" s="8"/>
      <c r="S131" s="9"/>
      <c r="T131" s="8"/>
      <c r="U131" s="8"/>
      <c r="V131" s="8"/>
      <c r="W131" s="8"/>
      <c r="X131" s="8"/>
      <c r="Y131" s="8"/>
      <c r="Z131" s="9"/>
      <c r="AA131" s="8"/>
      <c r="AB131" s="9"/>
      <c r="AC131" s="9"/>
      <c r="AD131" s="9"/>
      <c r="AE131" s="9"/>
      <c r="AF131" s="9"/>
      <c r="AG131" s="9"/>
      <c r="AH131" s="9"/>
      <c r="AI131" s="9"/>
      <c r="AJ131" s="225" t="str">
        <f>IF(ISBLANK(Mentor_Connect[[#This Row],[Meeting Date]]),"",Mentor_Connect[[#This Row],[Meeting Date]]-WEEKDAY(Mentor_Connect[[#This Row],[Meeting Date]],2)+1)</f>
        <v/>
      </c>
      <c r="AK131" s="222" t="str">
        <f>IF(ISBLANK(Mentor_Connect[[#This Row],[Preferred Mentor Selected On]]),"",Mentor_Connect[[#This Row],[Preferred Mentor Selected On]]-WEEKDAY(Mentor_Connect[[#This Row],[Preferred Mentor Selected On]],2)+1)</f>
        <v/>
      </c>
    </row>
    <row r="132" spans="1:37" ht="24.6" customHeight="1" x14ac:dyDescent="0.3">
      <c r="A132" s="373" t="s">
        <v>52</v>
      </c>
      <c r="B132" s="373" t="str">
        <f>VLOOKUP(Mentor_Connect[[#This Row],[Venture Name]],[1]!VenturesList[#All],2,FALSE)</f>
        <v>Accelerate Select</v>
      </c>
      <c r="C132" s="377">
        <f>VLOOKUP(Mentor_Connect[[#This Row],[Venture Name]],[1]!VenturesList[#All],3,FALSE)</f>
        <v>45870</v>
      </c>
      <c r="D132" s="279" t="str">
        <f>VLOOKUP(Mentor_Connect[[#This Row],[Venture Name]],[1]!VenturesList[#All],5,FALSE)</f>
        <v>Ankit Makwana</v>
      </c>
      <c r="E132" s="288" t="s">
        <v>114</v>
      </c>
      <c r="F132" s="288" t="s">
        <v>18</v>
      </c>
      <c r="G132" s="218">
        <v>45973</v>
      </c>
      <c r="H132" s="260"/>
      <c r="I132" s="253">
        <v>46104</v>
      </c>
      <c r="J132" s="219">
        <v>46118</v>
      </c>
      <c r="K132" s="219">
        <v>46122</v>
      </c>
      <c r="L132" s="218"/>
      <c r="M132" s="218"/>
      <c r="N132" s="451" t="s">
        <v>1144</v>
      </c>
      <c r="O132" s="229" t="s">
        <v>1145</v>
      </c>
      <c r="P132" s="24" t="s">
        <v>1146</v>
      </c>
      <c r="Q132" s="149"/>
      <c r="R132" s="279" t="s">
        <v>1114</v>
      </c>
      <c r="S132" s="279" t="s">
        <v>1147</v>
      </c>
      <c r="T132" s="291" t="s">
        <v>1148</v>
      </c>
      <c r="U132" s="36">
        <v>9825303389</v>
      </c>
      <c r="V132" s="36" t="s">
        <v>1149</v>
      </c>
      <c r="W132" s="36"/>
      <c r="X132" s="452" t="s">
        <v>1150</v>
      </c>
      <c r="Y132" s="453" t="s">
        <v>1151</v>
      </c>
      <c r="Z132" s="36" t="s">
        <v>943</v>
      </c>
      <c r="AA132" s="279"/>
      <c r="AB132" s="36"/>
      <c r="AC132" s="36"/>
      <c r="AD132" s="36"/>
      <c r="AE132" s="36"/>
      <c r="AF132" s="36"/>
      <c r="AG132" s="36"/>
      <c r="AH132" s="36"/>
      <c r="AI132" s="9"/>
      <c r="AJ132" s="225">
        <f>IF(ISBLANK(Mentor_Connect[[#This Row],[Meeting Date]]),"",Mentor_Connect[[#This Row],[Meeting Date]]-WEEKDAY(Mentor_Connect[[#This Row],[Meeting Date]],2)+1)</f>
        <v>46118</v>
      </c>
      <c r="AK132" s="222">
        <f>IF(ISBLANK(Mentor_Connect[[#This Row],[Preferred Mentor Selected On]]),"",Mentor_Connect[[#This Row],[Preferred Mentor Selected On]]-WEEKDAY(Mentor_Connect[[#This Row],[Preferred Mentor Selected On]],2)+1)</f>
        <v>46118</v>
      </c>
    </row>
    <row r="133" spans="1:37" ht="24.6" customHeight="1" x14ac:dyDescent="0.3">
      <c r="A133" s="373" t="s">
        <v>52</v>
      </c>
      <c r="B133" s="373" t="str">
        <f>VLOOKUP(Mentor_Connect[[#This Row],[Venture Name]],[1]!VenturesList[#All],2,FALSE)</f>
        <v>Accelerate Select</v>
      </c>
      <c r="C133" s="377">
        <f>VLOOKUP(Mentor_Connect[[#This Row],[Venture Name]],[1]!VenturesList[#All],3,FALSE)</f>
        <v>45870</v>
      </c>
      <c r="D133" s="279" t="str">
        <f>VLOOKUP(Mentor_Connect[[#This Row],[Venture Name]],[1]!VenturesList[#All],5,FALSE)</f>
        <v>Ankit Makwana</v>
      </c>
      <c r="E133" s="288"/>
      <c r="F133" s="288" t="s">
        <v>440</v>
      </c>
      <c r="G133" s="218">
        <v>45973</v>
      </c>
      <c r="H133" s="21"/>
      <c r="I133" s="239">
        <v>46104</v>
      </c>
      <c r="J133" s="225"/>
      <c r="K133" s="219"/>
      <c r="L133" s="218"/>
      <c r="M133" s="217"/>
      <c r="N133" s="20"/>
      <c r="O133" s="347" t="s">
        <v>1107</v>
      </c>
      <c r="P133" s="36"/>
      <c r="Q133" s="149"/>
      <c r="R133" s="279"/>
      <c r="S133" s="279" t="s">
        <v>1147</v>
      </c>
      <c r="T133" s="291" t="s">
        <v>1148</v>
      </c>
      <c r="U133" s="36">
        <v>9825303389</v>
      </c>
      <c r="V133" s="279"/>
      <c r="W133" s="279"/>
      <c r="X133" s="279"/>
      <c r="Y133" s="279"/>
      <c r="Z133" s="36"/>
      <c r="AA133" s="279"/>
      <c r="AB133" s="36"/>
      <c r="AC133" s="36"/>
      <c r="AD133" s="36"/>
      <c r="AE133" s="36"/>
      <c r="AF133" s="36"/>
      <c r="AG133" s="36"/>
      <c r="AH133" s="36"/>
      <c r="AI133" s="9"/>
      <c r="AJ133" s="225" t="str">
        <f>IF(ISBLANK(Mentor_Connect[[#This Row],[Meeting Date]]),"",Mentor_Connect[[#This Row],[Meeting Date]]-WEEKDAY(Mentor_Connect[[#This Row],[Meeting Date]],2)+1)</f>
        <v/>
      </c>
      <c r="AK133" s="222" t="str">
        <f>IF(ISBLANK(Mentor_Connect[[#This Row],[Preferred Mentor Selected On]]),"",Mentor_Connect[[#This Row],[Preferred Mentor Selected On]]-WEEKDAY(Mentor_Connect[[#This Row],[Preferred Mentor Selected On]],2)+1)</f>
        <v/>
      </c>
    </row>
    <row r="134" spans="1:37" ht="24.6" customHeight="1" x14ac:dyDescent="0.3">
      <c r="A134" s="231" t="s">
        <v>218</v>
      </c>
      <c r="B134" s="231" t="str">
        <f>VLOOKUP(Mentor_Connect[[#This Row],[Venture Name]],[1]!VenturesList[#All],2,FALSE)</f>
        <v>Accelerate Core</v>
      </c>
      <c r="C134" s="249">
        <f>VLOOKUP(Mentor_Connect[[#This Row],[Venture Name]],[1]!VenturesList[#All],3,FALSE)</f>
        <v>45870</v>
      </c>
      <c r="D134" s="8" t="str">
        <f>VLOOKUP(Mentor_Connect[[#This Row],[Venture Name]],[1]!VenturesList[#All],5,FALSE)</f>
        <v>Balasubramanian S</v>
      </c>
      <c r="E134" s="216"/>
      <c r="F134" s="216" t="s">
        <v>440</v>
      </c>
      <c r="G134" s="217">
        <v>45973</v>
      </c>
      <c r="H134" s="218">
        <v>46014</v>
      </c>
      <c r="I134" s="36"/>
      <c r="J134" s="225"/>
      <c r="K134" s="225"/>
      <c r="L134" s="218"/>
      <c r="M134" s="217"/>
      <c r="N134" s="20"/>
      <c r="O134" s="20"/>
      <c r="P134" s="9"/>
      <c r="Q134" s="129"/>
      <c r="R134" s="8"/>
      <c r="S134" s="9"/>
      <c r="T134" s="8"/>
      <c r="U134" s="8"/>
      <c r="V134" s="8"/>
      <c r="W134" s="8"/>
      <c r="X134" s="8"/>
      <c r="Y134" s="8"/>
      <c r="Z134" s="9"/>
      <c r="AA134" s="8"/>
      <c r="AB134" s="9"/>
      <c r="AC134" s="9"/>
      <c r="AD134" s="9"/>
      <c r="AE134" s="9"/>
      <c r="AF134" s="9"/>
      <c r="AG134" s="9"/>
      <c r="AH134" s="9"/>
      <c r="AI134" s="9"/>
      <c r="AJ134" s="225" t="str">
        <f>IF(ISBLANK(Mentor_Connect[[#This Row],[Meeting Date]]),"",Mentor_Connect[[#This Row],[Meeting Date]]-WEEKDAY(Mentor_Connect[[#This Row],[Meeting Date]],2)+1)</f>
        <v/>
      </c>
      <c r="AK134" s="222" t="str">
        <f>IF(ISBLANK(Mentor_Connect[[#This Row],[Preferred Mentor Selected On]]),"",Mentor_Connect[[#This Row],[Preferred Mentor Selected On]]-WEEKDAY(Mentor_Connect[[#This Row],[Preferred Mentor Selected On]],2)+1)</f>
        <v/>
      </c>
    </row>
    <row r="135" spans="1:37" ht="24.6" customHeight="1" x14ac:dyDescent="0.3">
      <c r="A135" s="243" t="s">
        <v>220</v>
      </c>
      <c r="B135" s="243" t="str">
        <f>VLOOKUP(Mentor_Connect[[#This Row],[Venture Name]],[1]!VenturesList[#All],2,FALSE)</f>
        <v>Accelerate Select</v>
      </c>
      <c r="C135" s="351"/>
      <c r="D135" s="237" t="str">
        <f>VLOOKUP(Mentor_Connect[[#This Row],[Venture Name]],[1]!VenturesList[#All],5,FALSE)</f>
        <v>Ankit Makwana</v>
      </c>
      <c r="E135" s="280"/>
      <c r="F135" s="252" t="s">
        <v>440</v>
      </c>
      <c r="G135" s="239">
        <v>45973</v>
      </c>
      <c r="H135" s="36"/>
      <c r="I135" s="218">
        <v>46104</v>
      </c>
      <c r="J135" s="225"/>
      <c r="K135" s="240"/>
      <c r="L135" s="218"/>
      <c r="M135" s="217"/>
      <c r="N135" s="20"/>
      <c r="O135" s="241" t="s">
        <v>1107</v>
      </c>
      <c r="P135" s="21"/>
      <c r="Q135" s="242"/>
      <c r="R135" s="237"/>
      <c r="S135" s="21"/>
      <c r="T135" s="237"/>
      <c r="U135" s="237"/>
      <c r="V135" s="237"/>
      <c r="W135" s="237"/>
      <c r="X135" s="237"/>
      <c r="Y135" s="237"/>
      <c r="Z135" s="21"/>
      <c r="AA135" s="237"/>
      <c r="AB135" s="21"/>
      <c r="AC135" s="21"/>
      <c r="AD135" s="21"/>
      <c r="AE135" s="21"/>
      <c r="AF135" s="21"/>
      <c r="AG135" s="21"/>
      <c r="AH135" s="21"/>
      <c r="AI135" s="9"/>
      <c r="AJ135" s="225" t="str">
        <f>IF(ISBLANK(Mentor_Connect[[#This Row],[Meeting Date]]),"",Mentor_Connect[[#This Row],[Meeting Date]]-WEEKDAY(Mentor_Connect[[#This Row],[Meeting Date]],2)+1)</f>
        <v/>
      </c>
      <c r="AK135" s="222" t="str">
        <f>IF(ISBLANK(Mentor_Connect[[#This Row],[Preferred Mentor Selected On]]),"",Mentor_Connect[[#This Row],[Preferred Mentor Selected On]]-WEEKDAY(Mentor_Connect[[#This Row],[Preferred Mentor Selected On]],2)+1)</f>
        <v/>
      </c>
    </row>
    <row r="136" spans="1:37" ht="24.6" customHeight="1" x14ac:dyDescent="0.3">
      <c r="A136" s="231" t="s">
        <v>224</v>
      </c>
      <c r="B136" s="231" t="str">
        <f>VLOOKUP(Mentor_Connect[[#This Row],[Venture Name]],[1]!VenturesList[#All],2,FALSE)</f>
        <v>Accelerate Core</v>
      </c>
      <c r="C136" s="249">
        <f>VLOOKUP(Mentor_Connect[[#This Row],[Venture Name]],[1]!VenturesList[#All],3,FALSE)</f>
        <v>45931</v>
      </c>
      <c r="D136" s="8" t="str">
        <f>VLOOKUP(Mentor_Connect[[#This Row],[Venture Name]],[1]!VenturesList[#All],5,FALSE)</f>
        <v>Balasubramanian S</v>
      </c>
      <c r="E136" s="216"/>
      <c r="F136" s="216" t="s">
        <v>434</v>
      </c>
      <c r="G136" s="9"/>
      <c r="H136" s="9"/>
      <c r="I136" s="9"/>
      <c r="J136" s="9"/>
      <c r="K136" s="225"/>
      <c r="L136" s="217"/>
      <c r="M136" s="217"/>
      <c r="N136" s="226"/>
      <c r="O136" s="20"/>
      <c r="P136" s="9"/>
      <c r="Q136" s="129"/>
      <c r="R136" s="8"/>
      <c r="S136" s="9"/>
      <c r="T136" s="8"/>
      <c r="U136" s="8"/>
      <c r="V136" s="8"/>
      <c r="W136" s="8"/>
      <c r="X136" s="8"/>
      <c r="Y136" s="8"/>
      <c r="Z136" s="9"/>
      <c r="AA136" s="8"/>
      <c r="AB136" s="9"/>
      <c r="AC136" s="9"/>
      <c r="AD136" s="9"/>
      <c r="AE136" s="9"/>
      <c r="AF136" s="9"/>
      <c r="AG136" s="9"/>
      <c r="AH136" s="9"/>
      <c r="AI136" s="9"/>
      <c r="AJ136" s="225" t="str">
        <f>IF(ISBLANK(Mentor_Connect[[#This Row],[Meeting Date]]),"",Mentor_Connect[[#This Row],[Meeting Date]]-WEEKDAY(Mentor_Connect[[#This Row],[Meeting Date]],2)+1)</f>
        <v/>
      </c>
      <c r="AK136" s="222" t="str">
        <f>IF(ISBLANK(Mentor_Connect[[#This Row],[Preferred Mentor Selected On]]),"",Mentor_Connect[[#This Row],[Preferred Mentor Selected On]]-WEEKDAY(Mentor_Connect[[#This Row],[Preferred Mentor Selected On]],2)+1)</f>
        <v/>
      </c>
    </row>
    <row r="137" spans="1:37" ht="24.6" customHeight="1" x14ac:dyDescent="0.3">
      <c r="A137" s="231" t="s">
        <v>222</v>
      </c>
      <c r="B137" s="231" t="str">
        <f>VLOOKUP(Mentor_Connect[[#This Row],[Venture Name]],[1]!VenturesList[#All],2,FALSE)</f>
        <v>Accelerate Select</v>
      </c>
      <c r="C137" s="249">
        <f>VLOOKUP(Mentor_Connect[[#This Row],[Venture Name]],[1]!VenturesList[#All],3,FALSE)</f>
        <v>45870</v>
      </c>
      <c r="D137" s="8" t="str">
        <f>VLOOKUP(Mentor_Connect[[#This Row],[Venture Name]],[1]!VenturesList[#All],5,FALSE)</f>
        <v>Ankit Makwana</v>
      </c>
      <c r="E137" s="216"/>
      <c r="F137" s="216" t="s">
        <v>440</v>
      </c>
      <c r="G137" s="217">
        <v>45973</v>
      </c>
      <c r="H137" s="36"/>
      <c r="I137" s="218">
        <v>46104</v>
      </c>
      <c r="J137" s="225"/>
      <c r="K137" s="225"/>
      <c r="L137" s="218"/>
      <c r="M137" s="217"/>
      <c r="N137" s="226"/>
      <c r="O137" s="454" t="s">
        <v>1152</v>
      </c>
      <c r="P137" s="9"/>
      <c r="Q137" s="129"/>
      <c r="R137" s="8"/>
      <c r="S137" s="9"/>
      <c r="T137" s="8"/>
      <c r="U137" s="8"/>
      <c r="V137" s="8"/>
      <c r="W137" s="8"/>
      <c r="X137" s="8"/>
      <c r="Y137" s="8"/>
      <c r="Z137" s="9"/>
      <c r="AA137" s="8"/>
      <c r="AB137" s="9"/>
      <c r="AC137" s="9"/>
      <c r="AD137" s="9"/>
      <c r="AE137" s="9"/>
      <c r="AF137" s="9"/>
      <c r="AG137" s="9"/>
      <c r="AH137" s="9"/>
      <c r="AI137" s="9"/>
      <c r="AJ137" s="225" t="str">
        <f>IF(ISBLANK(Mentor_Connect[[#This Row],[Meeting Date]]),"",Mentor_Connect[[#This Row],[Meeting Date]]-WEEKDAY(Mentor_Connect[[#This Row],[Meeting Date]],2)+1)</f>
        <v/>
      </c>
      <c r="AK137" s="222" t="str">
        <f>IF(ISBLANK(Mentor_Connect[[#This Row],[Preferred Mentor Selected On]]),"",Mentor_Connect[[#This Row],[Preferred Mentor Selected On]]-WEEKDAY(Mentor_Connect[[#This Row],[Preferred Mentor Selected On]],2)+1)</f>
        <v/>
      </c>
    </row>
    <row r="138" spans="1:37" ht="24.6" customHeight="1" x14ac:dyDescent="0.3">
      <c r="A138" s="231" t="s">
        <v>226</v>
      </c>
      <c r="B138" s="231" t="str">
        <f>VLOOKUP(Mentor_Connect[[#This Row],[Venture Name]],[1]!VenturesList[#All],2,FALSE)</f>
        <v>Accelerate Select</v>
      </c>
      <c r="C138" s="249">
        <f>VLOOKUP(Mentor_Connect[[#This Row],[Venture Name]],[1]!VenturesList[#All],3,FALSE)</f>
        <v>45870</v>
      </c>
      <c r="D138" s="8" t="str">
        <f>VLOOKUP(Mentor_Connect[[#This Row],[Venture Name]],[1]!VenturesList[#All],5,FALSE)</f>
        <v>Hardeepsinh Jhala</v>
      </c>
      <c r="E138" s="216"/>
      <c r="F138" s="216" t="s">
        <v>440</v>
      </c>
      <c r="G138" s="217">
        <v>45973</v>
      </c>
      <c r="H138" s="36"/>
      <c r="I138" s="218">
        <v>46104</v>
      </c>
      <c r="J138" s="225"/>
      <c r="K138" s="225"/>
      <c r="L138" s="218"/>
      <c r="M138" s="217"/>
      <c r="N138" s="226"/>
      <c r="O138" s="60" t="s">
        <v>1107</v>
      </c>
      <c r="P138" s="9"/>
      <c r="Q138" s="129"/>
      <c r="R138" s="8"/>
      <c r="S138" s="9"/>
      <c r="T138" s="8"/>
      <c r="U138" s="8"/>
      <c r="V138" s="8"/>
      <c r="W138" s="8"/>
      <c r="X138" s="8"/>
      <c r="Y138" s="8"/>
      <c r="Z138" s="9"/>
      <c r="AA138" s="8"/>
      <c r="AB138" s="9"/>
      <c r="AC138" s="9"/>
      <c r="AD138" s="9"/>
      <c r="AE138" s="9"/>
      <c r="AF138" s="9"/>
      <c r="AG138" s="9"/>
      <c r="AH138" s="9"/>
      <c r="AI138" s="9"/>
      <c r="AJ138" s="225" t="str">
        <f>IF(ISBLANK(Mentor_Connect[[#This Row],[Meeting Date]]),"",Mentor_Connect[[#This Row],[Meeting Date]]-WEEKDAY(Mentor_Connect[[#This Row],[Meeting Date]],2)+1)</f>
        <v/>
      </c>
      <c r="AK138" s="222" t="str">
        <f>IF(ISBLANK(Mentor_Connect[[#This Row],[Preferred Mentor Selected On]]),"",Mentor_Connect[[#This Row],[Preferred Mentor Selected On]]-WEEKDAY(Mentor_Connect[[#This Row],[Preferred Mentor Selected On]],2)+1)</f>
        <v/>
      </c>
    </row>
    <row r="139" spans="1:37" ht="24.6" customHeight="1" x14ac:dyDescent="0.3">
      <c r="A139" s="231" t="s">
        <v>227</v>
      </c>
      <c r="B139" s="231" t="str">
        <f>VLOOKUP(Mentor_Connect[[#This Row],[Venture Name]],[1]!VenturesList[#All],2,FALSE)</f>
        <v>Accelerate Select</v>
      </c>
      <c r="C139" s="249">
        <f>VLOOKUP(Mentor_Connect[[#This Row],[Venture Name]],[1]!VenturesList[#All],3,FALSE)</f>
        <v>45901</v>
      </c>
      <c r="D139" s="8" t="str">
        <f>VLOOKUP(Mentor_Connect[[#This Row],[Venture Name]],[1]!VenturesList[#All],5,FALSE)</f>
        <v>Satabdi Pratikshya</v>
      </c>
      <c r="E139" s="216"/>
      <c r="F139" s="216" t="s">
        <v>440</v>
      </c>
      <c r="G139" s="217">
        <v>45973</v>
      </c>
      <c r="H139" s="9"/>
      <c r="I139" s="217">
        <v>46104</v>
      </c>
      <c r="J139" s="225"/>
      <c r="K139" s="225"/>
      <c r="L139" s="218"/>
      <c r="M139" s="217"/>
      <c r="N139" s="226"/>
      <c r="O139" s="6" t="s">
        <v>1153</v>
      </c>
      <c r="P139" s="9"/>
      <c r="Q139" s="129"/>
      <c r="R139" s="8"/>
      <c r="S139" s="9"/>
      <c r="T139" s="8"/>
      <c r="U139" s="8"/>
      <c r="V139" s="8"/>
      <c r="W139" s="8"/>
      <c r="X139" s="8"/>
      <c r="Y139" s="8"/>
      <c r="Z139" s="9"/>
      <c r="AA139" s="8"/>
      <c r="AB139" s="9"/>
      <c r="AC139" s="9"/>
      <c r="AD139" s="9"/>
      <c r="AE139" s="9"/>
      <c r="AF139" s="9"/>
      <c r="AG139" s="9"/>
      <c r="AH139" s="9"/>
      <c r="AI139" s="9"/>
      <c r="AJ139" s="225" t="str">
        <f>IF(ISBLANK(Mentor_Connect[[#This Row],[Meeting Date]]),"",Mentor_Connect[[#This Row],[Meeting Date]]-WEEKDAY(Mentor_Connect[[#This Row],[Meeting Date]],2)+1)</f>
        <v/>
      </c>
      <c r="AK139" s="222" t="str">
        <f>IF(ISBLANK(Mentor_Connect[[#This Row],[Preferred Mentor Selected On]]),"",Mentor_Connect[[#This Row],[Preferred Mentor Selected On]]-WEEKDAY(Mentor_Connect[[#This Row],[Preferred Mentor Selected On]],2)+1)</f>
        <v/>
      </c>
    </row>
    <row r="140" spans="1:37" ht="24.6" customHeight="1" x14ac:dyDescent="0.3">
      <c r="A140" s="231" t="s">
        <v>229</v>
      </c>
      <c r="B140" s="231" t="str">
        <f>VLOOKUP(Mentor_Connect[[#This Row],[Venture Name]],[1]!VenturesList[#All],2,FALSE)</f>
        <v>Accelerate Core</v>
      </c>
      <c r="C140" s="249">
        <f>VLOOKUP(Mentor_Connect[[#This Row],[Venture Name]],[1]!VenturesList[#All],3,FALSE)</f>
        <v>45870</v>
      </c>
      <c r="D140" s="8" t="str">
        <f>VLOOKUP(Mentor_Connect[[#This Row],[Venture Name]],[1]!VenturesList[#All],5,FALSE)</f>
        <v>Satabdi Pratikshya</v>
      </c>
      <c r="E140" s="216"/>
      <c r="F140" s="216" t="s">
        <v>440</v>
      </c>
      <c r="G140" s="217">
        <v>45973</v>
      </c>
      <c r="H140" s="448">
        <v>46020</v>
      </c>
      <c r="I140" s="217">
        <v>46104</v>
      </c>
      <c r="J140" s="225"/>
      <c r="K140" s="225"/>
      <c r="L140" s="218"/>
      <c r="M140" s="217"/>
      <c r="N140" s="226"/>
      <c r="O140" s="6" t="s">
        <v>1154</v>
      </c>
      <c r="P140" s="9"/>
      <c r="Q140" s="129"/>
      <c r="R140" s="8"/>
      <c r="S140" s="9"/>
      <c r="T140" s="8"/>
      <c r="U140" s="8"/>
      <c r="V140" s="8"/>
      <c r="W140" s="8"/>
      <c r="X140" s="8"/>
      <c r="Y140" s="8"/>
      <c r="Z140" s="9"/>
      <c r="AA140" s="8"/>
      <c r="AB140" s="9"/>
      <c r="AC140" s="9"/>
      <c r="AD140" s="9"/>
      <c r="AE140" s="9"/>
      <c r="AF140" s="9"/>
      <c r="AG140" s="9"/>
      <c r="AH140" s="9"/>
      <c r="AI140" s="9"/>
      <c r="AJ140" s="225" t="str">
        <f>IF(ISBLANK(Mentor_Connect[[#This Row],[Meeting Date]]),"",Mentor_Connect[[#This Row],[Meeting Date]]-WEEKDAY(Mentor_Connect[[#This Row],[Meeting Date]],2)+1)</f>
        <v/>
      </c>
      <c r="AK140" s="222" t="str">
        <f>IF(ISBLANK(Mentor_Connect[[#This Row],[Preferred Mentor Selected On]]),"",Mentor_Connect[[#This Row],[Preferred Mentor Selected On]]-WEEKDAY(Mentor_Connect[[#This Row],[Preferred Mentor Selected On]],2)+1)</f>
        <v/>
      </c>
    </row>
    <row r="141" spans="1:37" ht="24.6" customHeight="1" x14ac:dyDescent="0.3">
      <c r="A141" s="243" t="s">
        <v>235</v>
      </c>
      <c r="B141" s="243" t="str">
        <f>VLOOKUP(Mentor_Connect[[#This Row],[Venture Name]],[1]!VenturesList[#All],2,FALSE)</f>
        <v>Accelerate Core</v>
      </c>
      <c r="C141" s="351">
        <f>VLOOKUP(Mentor_Connect[[#This Row],[Venture Name]],[1]!VenturesList[#All],3,FALSE)</f>
        <v>45839</v>
      </c>
      <c r="D141" s="237" t="str">
        <f>VLOOKUP(Mentor_Connect[[#This Row],[Venture Name]],[1]!VenturesList[#All],5,FALSE)</f>
        <v>Hardeepsinh Jhala</v>
      </c>
      <c r="E141" s="238" t="s">
        <v>1155</v>
      </c>
      <c r="F141" s="238" t="s">
        <v>439</v>
      </c>
      <c r="G141" s="239">
        <v>45973</v>
      </c>
      <c r="H141" s="9"/>
      <c r="I141" s="217">
        <v>46104</v>
      </c>
      <c r="J141" s="240">
        <v>46111</v>
      </c>
      <c r="K141" s="240"/>
      <c r="L141" s="253"/>
      <c r="M141" s="239"/>
      <c r="N141" s="340"/>
      <c r="O141" s="455" t="s">
        <v>1156</v>
      </c>
      <c r="P141" s="21"/>
      <c r="Q141" s="242"/>
      <c r="R141" s="237"/>
      <c r="S141" s="21"/>
      <c r="T141" s="237"/>
      <c r="U141" s="237"/>
      <c r="V141" s="237"/>
      <c r="W141" s="237"/>
      <c r="X141" s="237"/>
      <c r="Y141" s="237"/>
      <c r="Z141" s="21" t="s">
        <v>966</v>
      </c>
      <c r="AA141" s="237"/>
      <c r="AB141" s="21"/>
      <c r="AC141" s="21"/>
      <c r="AD141" s="21"/>
      <c r="AE141" s="21"/>
      <c r="AF141" s="21"/>
      <c r="AG141" s="21"/>
      <c r="AH141" s="21"/>
      <c r="AI141" s="9"/>
      <c r="AJ141" s="225" t="str">
        <f>IF(ISBLANK(Mentor_Connect[[#This Row],[Meeting Date]]),"",Mentor_Connect[[#This Row],[Meeting Date]]-WEEKDAY(Mentor_Connect[[#This Row],[Meeting Date]],2)+1)</f>
        <v/>
      </c>
      <c r="AK141" s="222">
        <f>IF(ISBLANK(Mentor_Connect[[#This Row],[Preferred Mentor Selected On]]),"",Mentor_Connect[[#This Row],[Preferred Mentor Selected On]]-WEEKDAY(Mentor_Connect[[#This Row],[Preferred Mentor Selected On]],2)+1)</f>
        <v>46111</v>
      </c>
    </row>
    <row r="142" spans="1:37" ht="24.6" customHeight="1" x14ac:dyDescent="0.3">
      <c r="A142" s="273" t="s">
        <v>184</v>
      </c>
      <c r="B142" s="273" t="str">
        <f>VLOOKUP(Mentor_Connect[[#This Row],[Venture Name]],[1]!VenturesList[#All],2,FALSE)</f>
        <v>Accelerate Prime</v>
      </c>
      <c r="C142" s="274">
        <f>VLOOKUP(Mentor_Connect[[#This Row],[Venture Name]],[1]!VenturesList[#All],3,FALSE)</f>
        <v>45992</v>
      </c>
      <c r="D142" s="8" t="str">
        <f>VLOOKUP(Mentor_Connect[[#This Row],[Venture Name]],[1]!VenturesList[#All],5,FALSE)</f>
        <v>Shruti Modi</v>
      </c>
      <c r="E142" s="216"/>
      <c r="F142" s="216" t="s">
        <v>434</v>
      </c>
      <c r="G142" s="9"/>
      <c r="H142" s="9"/>
      <c r="I142" s="9"/>
      <c r="J142" s="223">
        <v>45992</v>
      </c>
      <c r="K142" s="225"/>
      <c r="L142" s="217" t="s">
        <v>358</v>
      </c>
      <c r="M142" s="217">
        <v>45992</v>
      </c>
      <c r="N142" s="20"/>
      <c r="O142" s="44" t="s">
        <v>925</v>
      </c>
      <c r="P142" s="9"/>
      <c r="Q142" s="129"/>
      <c r="R142" s="8"/>
      <c r="S142" s="9"/>
      <c r="T142" s="8"/>
      <c r="U142" s="8"/>
      <c r="V142" s="8"/>
      <c r="W142" s="8"/>
      <c r="X142" s="8"/>
      <c r="Y142" s="8"/>
      <c r="Z142" s="9"/>
      <c r="AA142" s="8"/>
      <c r="AB142" s="9"/>
      <c r="AC142" s="9"/>
      <c r="AD142" s="9"/>
      <c r="AE142" s="9"/>
      <c r="AF142" s="9"/>
      <c r="AG142" s="9"/>
      <c r="AH142" s="9"/>
      <c r="AI142" s="9"/>
      <c r="AJ142" s="225" t="str">
        <f>IF(ISBLANK(Mentor_Connect[[#This Row],[Meeting Date]]),"",Mentor_Connect[[#This Row],[Meeting Date]]-WEEKDAY(Mentor_Connect[[#This Row],[Meeting Date]],2)+1)</f>
        <v/>
      </c>
      <c r="AK142" s="222">
        <f>IF(ISBLANK(Mentor_Connect[[#This Row],[Preferred Mentor Selected On]]),"",Mentor_Connect[[#This Row],[Preferred Mentor Selected On]]-WEEKDAY(Mentor_Connect[[#This Row],[Preferred Mentor Selected On]],2)+1)</f>
        <v>45992</v>
      </c>
    </row>
    <row r="143" spans="1:37" ht="24.6" customHeight="1" x14ac:dyDescent="0.3">
      <c r="A143" s="373" t="s">
        <v>225</v>
      </c>
      <c r="B143" s="373" t="str">
        <f>VLOOKUP(Mentor_Connect[[#This Row],[Venture Name]],[1]!VenturesList[#All],2,FALSE)</f>
        <v>Accelerate Core</v>
      </c>
      <c r="C143" s="377">
        <f>VLOOKUP(Mentor_Connect[[#This Row],[Venture Name]],[1]!VenturesList[#All],3,FALSE)</f>
        <v>45901</v>
      </c>
      <c r="D143" s="279" t="str">
        <f>VLOOKUP(Mentor_Connect[[#This Row],[Venture Name]],[1]!VenturesList[#All],5,FALSE)</f>
        <v>Ankit Makwana</v>
      </c>
      <c r="E143" s="288"/>
      <c r="F143" s="288" t="s">
        <v>434</v>
      </c>
      <c r="G143" s="36"/>
      <c r="H143" s="36"/>
      <c r="I143" s="36"/>
      <c r="J143" s="36"/>
      <c r="K143" s="219"/>
      <c r="L143" s="218"/>
      <c r="M143" s="218"/>
      <c r="N143" s="329"/>
      <c r="O143" s="347"/>
      <c r="P143" s="36"/>
      <c r="Q143" s="149"/>
      <c r="R143" s="279"/>
      <c r="S143" s="36"/>
      <c r="T143" s="279"/>
      <c r="U143" s="279"/>
      <c r="V143" s="279"/>
      <c r="W143" s="279"/>
      <c r="X143" s="279"/>
      <c r="Y143" s="279"/>
      <c r="Z143" s="36"/>
      <c r="AA143" s="279"/>
      <c r="AB143" s="36"/>
      <c r="AC143" s="36"/>
      <c r="AD143" s="36"/>
      <c r="AE143" s="36"/>
      <c r="AF143" s="36"/>
      <c r="AG143" s="36"/>
      <c r="AH143" s="36"/>
      <c r="AI143" s="9"/>
      <c r="AJ143" s="225" t="str">
        <f>IF(ISBLANK(Mentor_Connect[[#This Row],[Meeting Date]]),"",Mentor_Connect[[#This Row],[Meeting Date]]-WEEKDAY(Mentor_Connect[[#This Row],[Meeting Date]],2)+1)</f>
        <v/>
      </c>
      <c r="AK143" s="222" t="str">
        <f>IF(ISBLANK(Mentor_Connect[[#This Row],[Preferred Mentor Selected On]]),"",Mentor_Connect[[#This Row],[Preferred Mentor Selected On]]-WEEKDAY(Mentor_Connect[[#This Row],[Preferred Mentor Selected On]],2)+1)</f>
        <v/>
      </c>
    </row>
    <row r="144" spans="1:37" ht="24.6" customHeight="1" x14ac:dyDescent="0.3">
      <c r="A144" s="373" t="s">
        <v>237</v>
      </c>
      <c r="B144" s="373" t="str">
        <f>VLOOKUP(Mentor_Connect[[#This Row],[Venture Name]],[1]!VenturesList[#All],2,FALSE)</f>
        <v>Accelerate Select</v>
      </c>
      <c r="C144" s="377">
        <f>VLOOKUP(Mentor_Connect[[#This Row],[Venture Name]],[1]!VenturesList[#All],3,FALSE)</f>
        <v>45870</v>
      </c>
      <c r="D144" s="279" t="str">
        <f>VLOOKUP(Mentor_Connect[[#This Row],[Venture Name]],[1]!VenturesList[#All],5,FALSE)</f>
        <v>Satabdi Pratikshya</v>
      </c>
      <c r="E144" s="288"/>
      <c r="F144" s="216" t="s">
        <v>440</v>
      </c>
      <c r="G144" s="253">
        <v>45973</v>
      </c>
      <c r="H144" s="36"/>
      <c r="I144" s="217">
        <v>46104</v>
      </c>
      <c r="J144" s="219"/>
      <c r="K144" s="219"/>
      <c r="L144" s="217"/>
      <c r="M144" s="217"/>
      <c r="N144" s="20"/>
      <c r="O144" s="159" t="s">
        <v>1153</v>
      </c>
      <c r="P144" s="36"/>
      <c r="Q144" s="149"/>
      <c r="R144" s="279"/>
      <c r="S144" s="260"/>
      <c r="T144" s="251"/>
      <c r="U144" s="251"/>
      <c r="V144" s="279"/>
      <c r="W144" s="279"/>
      <c r="X144" s="279"/>
      <c r="Y144" s="279"/>
      <c r="Z144" s="36"/>
      <c r="AA144" s="279"/>
      <c r="AB144" s="36"/>
      <c r="AC144" s="36"/>
      <c r="AD144" s="36"/>
      <c r="AE144" s="36"/>
      <c r="AF144" s="36"/>
      <c r="AG144" s="36"/>
      <c r="AH144" s="36"/>
      <c r="AI144" s="9"/>
      <c r="AJ144" s="225" t="str">
        <f>IF(ISBLANK(Mentor_Connect[[#This Row],[Meeting Date]]),"",Mentor_Connect[[#This Row],[Meeting Date]]-WEEKDAY(Mentor_Connect[[#This Row],[Meeting Date]],2)+1)</f>
        <v/>
      </c>
      <c r="AK144" s="222" t="str">
        <f>IF(ISBLANK(Mentor_Connect[[#This Row],[Preferred Mentor Selected On]]),"",Mentor_Connect[[#This Row],[Preferred Mentor Selected On]]-WEEKDAY(Mentor_Connect[[#This Row],[Preferred Mentor Selected On]],2)+1)</f>
        <v/>
      </c>
    </row>
    <row r="145" spans="1:37" ht="24.6" customHeight="1" x14ac:dyDescent="0.3">
      <c r="A145" s="243" t="s">
        <v>238</v>
      </c>
      <c r="B145" s="243" t="str">
        <f>VLOOKUP(Mentor_Connect[[#This Row],[Venture Name]],[1]!VenturesList[#All],2,FALSE)</f>
        <v>Accelerate Select</v>
      </c>
      <c r="C145" s="351">
        <f>VLOOKUP(Mentor_Connect[[#This Row],[Venture Name]],[1]!VenturesList[#All],3,FALSE)</f>
        <v>45839</v>
      </c>
      <c r="D145" s="237" t="str">
        <f>VLOOKUP(Mentor_Connect[[#This Row],[Venture Name]],[1]!VenturesList[#All],5,FALSE)</f>
        <v>Ankit Makwana</v>
      </c>
      <c r="E145" s="238"/>
      <c r="F145" s="238" t="s">
        <v>440</v>
      </c>
      <c r="G145" s="239">
        <v>45973</v>
      </c>
      <c r="H145" s="21"/>
      <c r="I145" s="239">
        <v>46104</v>
      </c>
      <c r="J145" s="240"/>
      <c r="K145" s="240"/>
      <c r="L145" s="239"/>
      <c r="M145" s="239"/>
      <c r="N145" s="241"/>
      <c r="O145" s="321" t="s">
        <v>1107</v>
      </c>
      <c r="P145" s="21"/>
      <c r="Q145" s="386"/>
      <c r="R145" s="456"/>
      <c r="S145" s="21"/>
      <c r="T145" s="237"/>
      <c r="U145" s="237"/>
      <c r="V145" s="387"/>
      <c r="W145" s="387"/>
      <c r="X145" s="387"/>
      <c r="Y145" s="387"/>
      <c r="Z145" s="21"/>
      <c r="AA145" s="237"/>
      <c r="AB145" s="21"/>
      <c r="AC145" s="21"/>
      <c r="AD145" s="21"/>
      <c r="AE145" s="21"/>
      <c r="AF145" s="21"/>
      <c r="AG145" s="21"/>
      <c r="AH145" s="21"/>
      <c r="AI145" s="9"/>
      <c r="AJ145" s="225" t="str">
        <f>IF(ISBLANK(Mentor_Connect[[#This Row],[Meeting Date]]),"",Mentor_Connect[[#This Row],[Meeting Date]]-WEEKDAY(Mentor_Connect[[#This Row],[Meeting Date]],2)+1)</f>
        <v/>
      </c>
      <c r="AK145" s="222" t="str">
        <f>IF(ISBLANK(Mentor_Connect[[#This Row],[Preferred Mentor Selected On]]),"",Mentor_Connect[[#This Row],[Preferred Mentor Selected On]]-WEEKDAY(Mentor_Connect[[#This Row],[Preferred Mentor Selected On]],2)+1)</f>
        <v/>
      </c>
    </row>
    <row r="146" spans="1:37" ht="24.6" customHeight="1" x14ac:dyDescent="0.3">
      <c r="A146" s="273" t="s">
        <v>181</v>
      </c>
      <c r="B146" s="273" t="str">
        <f>VLOOKUP(Mentor_Connect[[#This Row],[Venture Name]],[1]!VenturesList[#All],2,FALSE)</f>
        <v>Accelerate Prime</v>
      </c>
      <c r="C146" s="274">
        <f>VLOOKUP(Mentor_Connect[[#This Row],[Venture Name]],[1]!VenturesList[#All],3,FALSE)</f>
        <v>45992</v>
      </c>
      <c r="D146" s="8" t="str">
        <f>VLOOKUP(Mentor_Connect[[#This Row],[Venture Name]],[1]!VenturesList[#All],5,FALSE)</f>
        <v>Kedar</v>
      </c>
      <c r="E146" s="216"/>
      <c r="F146" s="216" t="s">
        <v>434</v>
      </c>
      <c r="G146" s="9"/>
      <c r="H146" s="9"/>
      <c r="I146" s="9"/>
      <c r="J146" s="223">
        <v>45992</v>
      </c>
      <c r="K146" s="225"/>
      <c r="L146" s="217" t="s">
        <v>358</v>
      </c>
      <c r="M146" s="217">
        <v>45992</v>
      </c>
      <c r="N146" s="20"/>
      <c r="O146" s="44" t="s">
        <v>925</v>
      </c>
      <c r="P146" s="9"/>
      <c r="Q146" s="129"/>
      <c r="R146" s="8"/>
      <c r="S146" s="9"/>
      <c r="T146" s="8"/>
      <c r="U146" s="8"/>
      <c r="V146" s="8"/>
      <c r="W146" s="8"/>
      <c r="X146" s="8"/>
      <c r="Y146" s="8"/>
      <c r="Z146" s="9"/>
      <c r="AA146" s="8"/>
      <c r="AB146" s="9"/>
      <c r="AC146" s="9"/>
      <c r="AD146" s="9"/>
      <c r="AE146" s="9"/>
      <c r="AF146" s="9"/>
      <c r="AG146" s="9"/>
      <c r="AH146" s="9"/>
      <c r="AI146" s="9"/>
      <c r="AJ146" s="225" t="str">
        <f>IF(ISBLANK(Mentor_Connect[[#This Row],[Meeting Date]]),"",Mentor_Connect[[#This Row],[Meeting Date]]-WEEKDAY(Mentor_Connect[[#This Row],[Meeting Date]],2)+1)</f>
        <v/>
      </c>
      <c r="AK146" s="222">
        <f>IF(ISBLANK(Mentor_Connect[[#This Row],[Preferred Mentor Selected On]]),"",Mentor_Connect[[#This Row],[Preferred Mentor Selected On]]-WEEKDAY(Mentor_Connect[[#This Row],[Preferred Mentor Selected On]],2)+1)</f>
        <v>45992</v>
      </c>
    </row>
    <row r="147" spans="1:37" ht="24.6" customHeight="1" x14ac:dyDescent="0.3">
      <c r="A147" s="366" t="s">
        <v>239</v>
      </c>
      <c r="B147" s="366" t="str">
        <f>VLOOKUP(Mentor_Connect[[#This Row],[Venture Name]],[1]!VenturesList[#All],2,FALSE)</f>
        <v>Accelerate Core</v>
      </c>
      <c r="C147" s="367">
        <f>VLOOKUP(Mentor_Connect[[#This Row],[Venture Name]],[1]!VenturesList[#All],3,FALSE)</f>
        <v>45839</v>
      </c>
      <c r="D147" s="251" t="str">
        <f>VLOOKUP(Mentor_Connect[[#This Row],[Venture Name]],[1]!VenturesList[#All],5,FALSE)</f>
        <v>Satabdi Pratikshya</v>
      </c>
      <c r="E147" s="252"/>
      <c r="F147" s="252" t="s">
        <v>440</v>
      </c>
      <c r="G147" s="253">
        <v>45973</v>
      </c>
      <c r="H147" s="260"/>
      <c r="I147" s="253">
        <v>46104</v>
      </c>
      <c r="J147" s="283"/>
      <c r="K147" s="283"/>
      <c r="L147" s="218"/>
      <c r="M147" s="218"/>
      <c r="N147" s="347"/>
      <c r="O147" s="258" t="s">
        <v>1154</v>
      </c>
      <c r="P147" s="260"/>
      <c r="Q147" s="269"/>
      <c r="R147" s="251"/>
      <c r="S147" s="260"/>
      <c r="T147" s="251"/>
      <c r="U147" s="251"/>
      <c r="V147" s="251"/>
      <c r="W147" s="251"/>
      <c r="X147" s="251"/>
      <c r="Y147" s="251"/>
      <c r="Z147" s="260"/>
      <c r="AA147" s="251"/>
      <c r="AB147" s="260"/>
      <c r="AC147" s="260"/>
      <c r="AD147" s="260"/>
      <c r="AE147" s="260"/>
      <c r="AF147" s="260"/>
      <c r="AG147" s="260"/>
      <c r="AH147" s="260"/>
      <c r="AI147" s="9"/>
      <c r="AJ147" s="225" t="str">
        <f>IF(ISBLANK(Mentor_Connect[[#This Row],[Meeting Date]]),"",Mentor_Connect[[#This Row],[Meeting Date]]-WEEKDAY(Mentor_Connect[[#This Row],[Meeting Date]],2)+1)</f>
        <v/>
      </c>
      <c r="AK147" s="222" t="str">
        <f>IF(ISBLANK(Mentor_Connect[[#This Row],[Preferred Mentor Selected On]]),"",Mentor_Connect[[#This Row],[Preferred Mentor Selected On]]-WEEKDAY(Mentor_Connect[[#This Row],[Preferred Mentor Selected On]],2)+1)</f>
        <v/>
      </c>
    </row>
    <row r="148" spans="1:37" ht="24.6" customHeight="1" x14ac:dyDescent="0.3">
      <c r="A148" s="8" t="s">
        <v>305</v>
      </c>
      <c r="B148" s="8" t="str">
        <f>VLOOKUP(Mentor_Connect[[#This Row],[Venture Name]],[1]!VenturesList[#All],2,FALSE)</f>
        <v>Accelerate Core</v>
      </c>
      <c r="C148" s="223">
        <f>VLOOKUP(Mentor_Connect[[#This Row],[Venture Name]],[1]!VenturesList[#All],3,FALSE)</f>
        <v>45870</v>
      </c>
      <c r="D148" s="8" t="str">
        <f>VLOOKUP(Mentor_Connect[[#This Row],[Venture Name]],[1]!VenturesList[#All],5,FALSE)</f>
        <v>Vignesh</v>
      </c>
      <c r="E148" s="216" t="s">
        <v>950</v>
      </c>
      <c r="F148" s="216" t="s">
        <v>436</v>
      </c>
      <c r="G148" s="9"/>
      <c r="H148" s="35">
        <v>46027</v>
      </c>
      <c r="I148" s="217">
        <v>46028</v>
      </c>
      <c r="J148" s="223">
        <v>45870</v>
      </c>
      <c r="K148" s="225"/>
      <c r="L148" s="217" t="s">
        <v>358</v>
      </c>
      <c r="M148" s="217">
        <v>45870</v>
      </c>
      <c r="N148" s="226"/>
      <c r="O148" s="6" t="s">
        <v>1157</v>
      </c>
      <c r="P148" s="9"/>
      <c r="Q148" s="129"/>
      <c r="R148" s="8"/>
      <c r="S148" s="9"/>
      <c r="T148" s="8"/>
      <c r="U148" s="8"/>
      <c r="V148" s="8"/>
      <c r="W148" s="8"/>
      <c r="X148" s="8"/>
      <c r="Y148" s="8"/>
      <c r="Z148" s="9"/>
      <c r="AA148" s="8"/>
      <c r="AB148" s="9"/>
      <c r="AC148" s="9"/>
      <c r="AD148" s="9"/>
      <c r="AE148" s="9"/>
      <c r="AF148" s="9"/>
      <c r="AG148" s="9"/>
      <c r="AH148" s="9"/>
      <c r="AI148" s="9"/>
      <c r="AJ148" s="225" t="str">
        <f>IF(ISBLANK(Mentor_Connect[[#This Row],[Meeting Date]]),"",Mentor_Connect[[#This Row],[Meeting Date]]-WEEKDAY(Mentor_Connect[[#This Row],[Meeting Date]],2)+1)</f>
        <v/>
      </c>
      <c r="AK148" s="222">
        <f>IF(ISBLANK(Mentor_Connect[[#This Row],[Preferred Mentor Selected On]]),"",Mentor_Connect[[#This Row],[Preferred Mentor Selected On]]-WEEKDAY(Mentor_Connect[[#This Row],[Preferred Mentor Selected On]],2)+1)</f>
        <v>45866</v>
      </c>
    </row>
    <row r="149" spans="1:37" ht="24.6" customHeight="1" x14ac:dyDescent="0.3">
      <c r="A149" s="366" t="s">
        <v>243</v>
      </c>
      <c r="B149" s="366" t="str">
        <f>VLOOKUP(Mentor_Connect[[#This Row],[Venture Name]],[1]!VenturesList[#All],2,FALSE)</f>
        <v>Accelerate Select</v>
      </c>
      <c r="C149" s="367">
        <f>VLOOKUP(Mentor_Connect[[#This Row],[Venture Name]],[1]!VenturesList[#All],3,FALSE)</f>
        <v>45839</v>
      </c>
      <c r="D149" s="251" t="str">
        <f>VLOOKUP(Mentor_Connect[[#This Row],[Venture Name]],[1]!VenturesList[#All],5,FALSE)</f>
        <v>Hardeepsinh Jhala</v>
      </c>
      <c r="E149" s="252"/>
      <c r="F149" s="252" t="s">
        <v>440</v>
      </c>
      <c r="G149" s="253">
        <v>45973</v>
      </c>
      <c r="H149" s="260"/>
      <c r="I149" s="253">
        <v>46104</v>
      </c>
      <c r="J149" s="240"/>
      <c r="K149" s="283"/>
      <c r="L149" s="239"/>
      <c r="M149" s="239"/>
      <c r="N149" s="241"/>
      <c r="O149" s="256" t="s">
        <v>1107</v>
      </c>
      <c r="P149" s="260"/>
      <c r="Q149" s="269"/>
      <c r="R149" s="251"/>
      <c r="S149" s="260"/>
      <c r="T149" s="251"/>
      <c r="U149" s="251"/>
      <c r="V149" s="251"/>
      <c r="W149" s="251"/>
      <c r="X149" s="251"/>
      <c r="Y149" s="251"/>
      <c r="Z149" s="260"/>
      <c r="AA149" s="251"/>
      <c r="AB149" s="260"/>
      <c r="AC149" s="260"/>
      <c r="AD149" s="260"/>
      <c r="AE149" s="260"/>
      <c r="AF149" s="260"/>
      <c r="AG149" s="260"/>
      <c r="AH149" s="260"/>
      <c r="AI149" s="9"/>
      <c r="AJ149" s="225" t="str">
        <f>IF(ISBLANK(Mentor_Connect[[#This Row],[Meeting Date]]),"",Mentor_Connect[[#This Row],[Meeting Date]]-WEEKDAY(Mentor_Connect[[#This Row],[Meeting Date]],2)+1)</f>
        <v/>
      </c>
      <c r="AK149" s="222" t="str">
        <f>IF(ISBLANK(Mentor_Connect[[#This Row],[Preferred Mentor Selected On]]),"",Mentor_Connect[[#This Row],[Preferred Mentor Selected On]]-WEEKDAY(Mentor_Connect[[#This Row],[Preferred Mentor Selected On]],2)+1)</f>
        <v/>
      </c>
    </row>
    <row r="150" spans="1:37" ht="24.6" customHeight="1" x14ac:dyDescent="0.3">
      <c r="A150" s="231" t="s">
        <v>244</v>
      </c>
      <c r="B150" s="231" t="str">
        <f>VLOOKUP(Mentor_Connect[[#This Row],[Venture Name]],[1]!VenturesList[#All],2,FALSE)</f>
        <v>Accelerate Core</v>
      </c>
      <c r="C150" s="249"/>
      <c r="D150" s="8" t="str">
        <f>VLOOKUP(Mentor_Connect[[#This Row],[Venture Name]],[1]!VenturesList[#All],5,FALSE)</f>
        <v>Ankit Makwana</v>
      </c>
      <c r="E150" s="216"/>
      <c r="F150" s="216" t="s">
        <v>440</v>
      </c>
      <c r="G150" s="217">
        <v>45973</v>
      </c>
      <c r="H150" s="9"/>
      <c r="I150" s="217">
        <v>46104</v>
      </c>
      <c r="J150" s="225"/>
      <c r="K150" s="225"/>
      <c r="L150" s="217"/>
      <c r="M150" s="217"/>
      <c r="N150" s="20"/>
      <c r="O150" s="60" t="s">
        <v>1107</v>
      </c>
      <c r="P150" s="9"/>
      <c r="Q150" s="129"/>
      <c r="R150" s="8"/>
      <c r="S150" s="9"/>
      <c r="T150" s="8"/>
      <c r="U150" s="8"/>
      <c r="V150" s="8"/>
      <c r="W150" s="8"/>
      <c r="X150" s="8"/>
      <c r="Y150" s="8"/>
      <c r="Z150" s="9"/>
      <c r="AA150" s="8"/>
      <c r="AB150" s="9"/>
      <c r="AC150" s="9"/>
      <c r="AD150" s="9"/>
      <c r="AE150" s="9"/>
      <c r="AF150" s="9"/>
      <c r="AG150" s="9"/>
      <c r="AH150" s="9"/>
      <c r="AI150" s="9"/>
      <c r="AJ150" s="225" t="str">
        <f>IF(ISBLANK(Mentor_Connect[[#This Row],[Meeting Date]]),"",Mentor_Connect[[#This Row],[Meeting Date]]-WEEKDAY(Mentor_Connect[[#This Row],[Meeting Date]],2)+1)</f>
        <v/>
      </c>
      <c r="AK150" s="222" t="str">
        <f>IF(ISBLANK(Mentor_Connect[[#This Row],[Preferred Mentor Selected On]]),"",Mentor_Connect[[#This Row],[Preferred Mentor Selected On]]-WEEKDAY(Mentor_Connect[[#This Row],[Preferred Mentor Selected On]],2)+1)</f>
        <v/>
      </c>
    </row>
    <row r="151" spans="1:37" ht="24.6" customHeight="1" x14ac:dyDescent="0.3">
      <c r="A151" s="373" t="s">
        <v>228</v>
      </c>
      <c r="B151" s="373" t="str">
        <f>VLOOKUP(Mentor_Connect[[#This Row],[Venture Name]],[1]!VenturesList[#All],2,FALSE)</f>
        <v>Accelerate Core</v>
      </c>
      <c r="C151" s="377">
        <f>VLOOKUP(Mentor_Connect[[#This Row],[Venture Name]],[1]!VenturesList[#All],3,FALSE)</f>
        <v>45901</v>
      </c>
      <c r="D151" s="279" t="str">
        <f>VLOOKUP(Mentor_Connect[[#This Row],[Venture Name]],[1]!VenturesList[#All],5,FALSE)</f>
        <v>Satabdi Pratikshya</v>
      </c>
      <c r="E151" s="288"/>
      <c r="F151" s="288" t="s">
        <v>434</v>
      </c>
      <c r="G151" s="36"/>
      <c r="H151" s="36"/>
      <c r="I151" s="36"/>
      <c r="J151" s="36"/>
      <c r="K151" s="219"/>
      <c r="L151" s="218"/>
      <c r="M151" s="218"/>
      <c r="N151" s="347"/>
      <c r="O151" s="347"/>
      <c r="P151" s="36"/>
      <c r="Q151" s="149"/>
      <c r="R151" s="279"/>
      <c r="S151" s="36"/>
      <c r="T151" s="279"/>
      <c r="U151" s="279"/>
      <c r="V151" s="279"/>
      <c r="W151" s="279"/>
      <c r="X151" s="279"/>
      <c r="Y151" s="279"/>
      <c r="Z151" s="36"/>
      <c r="AA151" s="279"/>
      <c r="AB151" s="36"/>
      <c r="AC151" s="36"/>
      <c r="AD151" s="36"/>
      <c r="AE151" s="36"/>
      <c r="AF151" s="36"/>
      <c r="AG151" s="36"/>
      <c r="AH151" s="36"/>
      <c r="AI151" s="9"/>
      <c r="AJ151" s="225" t="str">
        <f>IF(ISBLANK(Mentor_Connect[[#This Row],[Meeting Date]]),"",Mentor_Connect[[#This Row],[Meeting Date]]-WEEKDAY(Mentor_Connect[[#This Row],[Meeting Date]],2)+1)</f>
        <v/>
      </c>
      <c r="AK151" s="222" t="str">
        <f>IF(ISBLANK(Mentor_Connect[[#This Row],[Preferred Mentor Selected On]]),"",Mentor_Connect[[#This Row],[Preferred Mentor Selected On]]-WEEKDAY(Mentor_Connect[[#This Row],[Preferred Mentor Selected On]],2)+1)</f>
        <v/>
      </c>
    </row>
    <row r="152" spans="1:37" ht="24.6" customHeight="1" x14ac:dyDescent="0.3">
      <c r="A152" s="243" t="s">
        <v>245</v>
      </c>
      <c r="B152" s="243" t="str">
        <f>VLOOKUP(Mentor_Connect[[#This Row],[Venture Name]],[1]!VenturesList[#All],2,FALSE)</f>
        <v>Accelerate Core</v>
      </c>
      <c r="C152" s="223">
        <f>VLOOKUP(Mentor_Connect[[#This Row],[Venture Name]],[1]!VenturesList[#All],3,FALSE)</f>
        <v>45809</v>
      </c>
      <c r="D152" s="8" t="str">
        <f>VLOOKUP(Mentor_Connect[[#This Row],[Venture Name]],[1]!VenturesList[#All],5,FALSE)</f>
        <v>Ankit Makwana</v>
      </c>
      <c r="E152" s="216" t="s">
        <v>1158</v>
      </c>
      <c r="F152" s="216" t="s">
        <v>467</v>
      </c>
      <c r="G152" s="239">
        <v>45973</v>
      </c>
      <c r="H152" s="21"/>
      <c r="I152" s="239">
        <v>46104</v>
      </c>
      <c r="J152" s="217">
        <v>46127</v>
      </c>
      <c r="K152" s="240">
        <v>46136</v>
      </c>
      <c r="L152" s="217"/>
      <c r="M152" s="217"/>
      <c r="N152" s="20"/>
      <c r="O152" s="6" t="s">
        <v>1159</v>
      </c>
      <c r="P152" s="9"/>
      <c r="Q152" s="242"/>
      <c r="R152" s="8"/>
      <c r="S152" s="9"/>
      <c r="T152" s="8"/>
      <c r="U152" s="8"/>
      <c r="V152" s="8"/>
      <c r="W152" s="237"/>
      <c r="X152" s="237"/>
      <c r="Y152" s="237"/>
      <c r="Z152" s="9"/>
      <c r="AA152" s="8"/>
      <c r="AB152" s="9"/>
      <c r="AC152" s="21"/>
      <c r="AD152" s="21"/>
      <c r="AE152" s="21"/>
      <c r="AF152" s="21"/>
      <c r="AG152" s="21"/>
      <c r="AH152" s="21"/>
      <c r="AI152" s="9"/>
      <c r="AJ152" s="225">
        <f>IF(ISBLANK(Mentor_Connect[[#This Row],[Meeting Date]]),"",Mentor_Connect[[#This Row],[Meeting Date]]-WEEKDAY(Mentor_Connect[[#This Row],[Meeting Date]],2)+1)</f>
        <v>46132</v>
      </c>
      <c r="AK152" s="222">
        <f>IF(ISBLANK(Mentor_Connect[[#This Row],[Preferred Mentor Selected On]]),"",Mentor_Connect[[#This Row],[Preferred Mentor Selected On]]-WEEKDAY(Mentor_Connect[[#This Row],[Preferred Mentor Selected On]],2)+1)</f>
        <v>46125</v>
      </c>
    </row>
    <row r="153" spans="1:37" ht="24.6" customHeight="1" x14ac:dyDescent="0.3">
      <c r="A153" s="243" t="s">
        <v>245</v>
      </c>
      <c r="B153" s="243" t="str">
        <f>VLOOKUP(Mentor_Connect[[#This Row],[Venture Name]],[1]!VenturesList[#All],2,FALSE)</f>
        <v>Accelerate Core</v>
      </c>
      <c r="C153" s="223">
        <f>VLOOKUP(Mentor_Connect[[#This Row],[Venture Name]],[1]!VenturesList[#All],3,FALSE)</f>
        <v>45809</v>
      </c>
      <c r="D153" s="8" t="str">
        <f>VLOOKUP(Mentor_Connect[[#This Row],[Venture Name]],[1]!VenturesList[#All],5,FALSE)</f>
        <v>Ankit Makwana</v>
      </c>
      <c r="E153" s="216" t="s">
        <v>1160</v>
      </c>
      <c r="F153" s="216" t="s">
        <v>439</v>
      </c>
      <c r="G153" s="239">
        <v>45973</v>
      </c>
      <c r="H153" s="21"/>
      <c r="I153" s="239">
        <v>46104</v>
      </c>
      <c r="J153" s="217">
        <v>46127</v>
      </c>
      <c r="K153" s="240"/>
      <c r="L153" s="217"/>
      <c r="M153" s="217"/>
      <c r="N153" s="20"/>
      <c r="O153" s="6" t="s">
        <v>1159</v>
      </c>
      <c r="P153" s="9"/>
      <c r="Q153" s="242"/>
      <c r="R153" s="8"/>
      <c r="S153" s="9"/>
      <c r="T153" s="8"/>
      <c r="U153" s="8"/>
      <c r="V153" s="8"/>
      <c r="W153" s="237"/>
      <c r="X153" s="237"/>
      <c r="Y153" s="237"/>
      <c r="Z153" s="9"/>
      <c r="AA153" s="8"/>
      <c r="AB153" s="9"/>
      <c r="AC153" s="21"/>
      <c r="AD153" s="21"/>
      <c r="AE153" s="21"/>
      <c r="AF153" s="21"/>
      <c r="AG153" s="21"/>
      <c r="AH153" s="21"/>
      <c r="AI153" s="9"/>
      <c r="AJ153" s="225" t="str">
        <f>IF(ISBLANK(Mentor_Connect[[#This Row],[Meeting Date]]),"",Mentor_Connect[[#This Row],[Meeting Date]]-WEEKDAY(Mentor_Connect[[#This Row],[Meeting Date]],2)+1)</f>
        <v/>
      </c>
      <c r="AK153" s="222">
        <f>IF(ISBLANK(Mentor_Connect[[#This Row],[Preferred Mentor Selected On]]),"",Mentor_Connect[[#This Row],[Preferred Mentor Selected On]]-WEEKDAY(Mentor_Connect[[#This Row],[Preferred Mentor Selected On]],2)+1)</f>
        <v>46125</v>
      </c>
    </row>
    <row r="154" spans="1:37" ht="24.6" customHeight="1" x14ac:dyDescent="0.3">
      <c r="A154" s="243" t="s">
        <v>245</v>
      </c>
      <c r="B154" s="243" t="str">
        <f>VLOOKUP(Mentor_Connect[[#This Row],[Venture Name]],[1]!VenturesList[#All],2,FALSE)</f>
        <v>Accelerate Core</v>
      </c>
      <c r="C154" s="223">
        <f>VLOOKUP(Mentor_Connect[[#This Row],[Venture Name]],[1]!VenturesList[#All],3,FALSE)</f>
        <v>45809</v>
      </c>
      <c r="D154" s="237" t="str">
        <f>VLOOKUP(Mentor_Connect[[#This Row],[Venture Name]],[1]!VenturesList[#All],5,FALSE)</f>
        <v>Ankit Makwana</v>
      </c>
      <c r="E154" s="238"/>
      <c r="F154" s="238" t="s">
        <v>440</v>
      </c>
      <c r="G154" s="239">
        <v>45973</v>
      </c>
      <c r="H154" s="21"/>
      <c r="I154" s="239">
        <v>46104</v>
      </c>
      <c r="J154" s="240"/>
      <c r="K154" s="240"/>
      <c r="L154" s="253"/>
      <c r="M154" s="239"/>
      <c r="N154" s="241"/>
      <c r="O154" s="321" t="s">
        <v>1107</v>
      </c>
      <c r="P154" s="21"/>
      <c r="Q154" s="242"/>
      <c r="R154" s="237"/>
      <c r="S154" s="21"/>
      <c r="T154" s="237"/>
      <c r="U154" s="237"/>
      <c r="V154" s="237"/>
      <c r="W154" s="237"/>
      <c r="X154" s="237"/>
      <c r="Y154" s="237"/>
      <c r="Z154" s="21"/>
      <c r="AA154" s="237"/>
      <c r="AB154" s="21"/>
      <c r="AC154" s="21"/>
      <c r="AD154" s="21"/>
      <c r="AE154" s="21"/>
      <c r="AF154" s="21"/>
      <c r="AG154" s="21"/>
      <c r="AH154" s="21"/>
      <c r="AI154" s="9"/>
      <c r="AJ154" s="225" t="str">
        <f>IF(ISBLANK(Mentor_Connect[[#This Row],[Meeting Date]]),"",Mentor_Connect[[#This Row],[Meeting Date]]-WEEKDAY(Mentor_Connect[[#This Row],[Meeting Date]],2)+1)</f>
        <v/>
      </c>
      <c r="AK154" s="222" t="str">
        <f>IF(ISBLANK(Mentor_Connect[[#This Row],[Preferred Mentor Selected On]]),"",Mentor_Connect[[#This Row],[Preferred Mentor Selected On]]-WEEKDAY(Mentor_Connect[[#This Row],[Preferred Mentor Selected On]],2)+1)</f>
        <v/>
      </c>
    </row>
    <row r="155" spans="1:37" ht="24.6" customHeight="1" x14ac:dyDescent="0.3">
      <c r="A155" s="8" t="s">
        <v>248</v>
      </c>
      <c r="B155" s="8" t="str">
        <f>VLOOKUP(Mentor_Connect[[#This Row],[Venture Name]],[1]!VenturesList[#All],2,FALSE)</f>
        <v>Accelerate Select</v>
      </c>
      <c r="C155" s="249"/>
      <c r="D155" s="8" t="str">
        <f>VLOOKUP(Mentor_Connect[[#This Row],[Venture Name]],[1]!VenturesList[#All],5,FALSE)</f>
        <v>Ankit Makwana</v>
      </c>
      <c r="E155" s="216"/>
      <c r="F155" s="216" t="s">
        <v>440</v>
      </c>
      <c r="G155" s="217">
        <v>45973</v>
      </c>
      <c r="H155" s="9"/>
      <c r="I155" s="217">
        <v>46105</v>
      </c>
      <c r="J155" s="225"/>
      <c r="K155" s="225"/>
      <c r="L155" s="217"/>
      <c r="M155" s="217"/>
      <c r="N155" s="20"/>
      <c r="O155" s="60" t="s">
        <v>1161</v>
      </c>
      <c r="P155" s="9"/>
      <c r="Q155" s="129"/>
      <c r="R155" s="8"/>
      <c r="S155" s="9"/>
      <c r="T155" s="8"/>
      <c r="U155" s="8"/>
      <c r="V155" s="8"/>
      <c r="W155" s="8"/>
      <c r="X155" s="8"/>
      <c r="Y155" s="8"/>
      <c r="Z155" s="9"/>
      <c r="AA155" s="8"/>
      <c r="AB155" s="9"/>
      <c r="AC155" s="9"/>
      <c r="AD155" s="9"/>
      <c r="AE155" s="9"/>
      <c r="AF155" s="9"/>
      <c r="AG155" s="9"/>
      <c r="AH155" s="9"/>
      <c r="AI155" s="9"/>
      <c r="AJ155" s="225" t="str">
        <f>IF(ISBLANK(Mentor_Connect[[#This Row],[Meeting Date]]),"",Mentor_Connect[[#This Row],[Meeting Date]]-WEEKDAY(Mentor_Connect[[#This Row],[Meeting Date]],2)+1)</f>
        <v/>
      </c>
      <c r="AK155" s="222" t="str">
        <f>IF(ISBLANK(Mentor_Connect[[#This Row],[Preferred Mentor Selected On]]),"",Mentor_Connect[[#This Row],[Preferred Mentor Selected On]]-WEEKDAY(Mentor_Connect[[#This Row],[Preferred Mentor Selected On]],2)+1)</f>
        <v/>
      </c>
    </row>
    <row r="156" spans="1:37" ht="24.6" customHeight="1" x14ac:dyDescent="0.3">
      <c r="A156" s="231" t="s">
        <v>54</v>
      </c>
      <c r="B156" s="231" t="str">
        <f>VLOOKUP(Mentor_Connect[[#This Row],[Venture Name]],[1]!VenturesList[#All],2,FALSE)</f>
        <v>Accelerate Core</v>
      </c>
      <c r="C156" s="223">
        <f>VLOOKUP(Mentor_Connect[[#This Row],[Venture Name]],[1]!VenturesList[#All],3,FALSE)</f>
        <v>45839</v>
      </c>
      <c r="D156" s="8" t="str">
        <f>VLOOKUP(Mentor_Connect[[#This Row],[Venture Name]],[1]!VenturesList[#All],5,FALSE)</f>
        <v>Ankit Makwana</v>
      </c>
      <c r="E156" s="216"/>
      <c r="F156" s="216" t="s">
        <v>440</v>
      </c>
      <c r="G156" s="217">
        <v>45973</v>
      </c>
      <c r="H156" s="9"/>
      <c r="I156" s="217">
        <v>46105</v>
      </c>
      <c r="J156" s="225">
        <v>46112</v>
      </c>
      <c r="K156" s="225"/>
      <c r="L156" s="217"/>
      <c r="M156" s="217"/>
      <c r="N156" s="20"/>
      <c r="O156" s="454" t="s">
        <v>1162</v>
      </c>
      <c r="P156" s="9"/>
      <c r="Q156" s="129"/>
      <c r="R156" s="8"/>
      <c r="S156" s="16" t="s">
        <v>253</v>
      </c>
      <c r="T156" s="23" t="s">
        <v>254</v>
      </c>
      <c r="U156" s="16">
        <v>9825135716</v>
      </c>
      <c r="V156" s="8"/>
      <c r="W156" s="8"/>
      <c r="X156" s="8"/>
      <c r="Y156" s="8"/>
      <c r="Z156" s="9" t="s">
        <v>943</v>
      </c>
      <c r="AA156" s="8"/>
      <c r="AB156" s="9"/>
      <c r="AC156" s="9"/>
      <c r="AD156" s="9"/>
      <c r="AE156" s="9"/>
      <c r="AF156" s="9"/>
      <c r="AG156" s="9"/>
      <c r="AH156" s="9"/>
      <c r="AI156" s="9"/>
      <c r="AJ156" s="225" t="str">
        <f>IF(ISBLANK(Mentor_Connect[[#This Row],[Meeting Date]]),"",Mentor_Connect[[#This Row],[Meeting Date]]-WEEKDAY(Mentor_Connect[[#This Row],[Meeting Date]],2)+1)</f>
        <v/>
      </c>
      <c r="AK156" s="222">
        <f>IF(ISBLANK(Mentor_Connect[[#This Row],[Preferred Mentor Selected On]]),"",Mentor_Connect[[#This Row],[Preferred Mentor Selected On]]-WEEKDAY(Mentor_Connect[[#This Row],[Preferred Mentor Selected On]],2)+1)</f>
        <v>46111</v>
      </c>
    </row>
    <row r="157" spans="1:37" ht="24.6" customHeight="1" x14ac:dyDescent="0.3">
      <c r="A157" s="373" t="s">
        <v>54</v>
      </c>
      <c r="B157" s="373" t="str">
        <f>VLOOKUP(Mentor_Connect[[#This Row],[Venture Name]],[1]!VenturesList[#All],2,FALSE)</f>
        <v>Accelerate Core</v>
      </c>
      <c r="C157" s="328">
        <f>VLOOKUP(Mentor_Connect[[#This Row],[Venture Name]],[1]!VenturesList[#All],3,FALSE)</f>
        <v>45839</v>
      </c>
      <c r="D157" s="279" t="str">
        <f>VLOOKUP(Mentor_Connect[[#This Row],[Venture Name]],[1]!VenturesList[#All],5,FALSE)</f>
        <v>Ankit Makwana</v>
      </c>
      <c r="E157" s="288" t="s">
        <v>115</v>
      </c>
      <c r="F157" s="288" t="s">
        <v>18</v>
      </c>
      <c r="G157" s="218">
        <v>45973</v>
      </c>
      <c r="H157" s="36"/>
      <c r="I157" s="218">
        <v>46105</v>
      </c>
      <c r="J157" s="219">
        <v>46112</v>
      </c>
      <c r="K157" s="219">
        <v>46121</v>
      </c>
      <c r="L157" s="218"/>
      <c r="M157" s="218"/>
      <c r="N157" s="406" t="s">
        <v>1163</v>
      </c>
      <c r="O157" s="457" t="s">
        <v>1164</v>
      </c>
      <c r="P157" s="24" t="s">
        <v>1165</v>
      </c>
      <c r="Q157" s="171">
        <v>115078086801</v>
      </c>
      <c r="R157" s="279" t="s">
        <v>1166</v>
      </c>
      <c r="S157" s="16" t="s">
        <v>253</v>
      </c>
      <c r="T157" s="23" t="s">
        <v>254</v>
      </c>
      <c r="U157" s="16">
        <v>9825135716</v>
      </c>
      <c r="V157" s="229" t="s">
        <v>1167</v>
      </c>
      <c r="W157" s="229"/>
      <c r="X157" s="291" t="s">
        <v>1168</v>
      </c>
      <c r="Y157" s="172" t="s">
        <v>1169</v>
      </c>
      <c r="Z157" s="36" t="s">
        <v>943</v>
      </c>
      <c r="AA157" s="8"/>
      <c r="AB157" s="9"/>
      <c r="AC157" s="9"/>
      <c r="AD157" s="9"/>
      <c r="AE157" s="9"/>
      <c r="AF157" s="9"/>
      <c r="AG157" s="9"/>
      <c r="AH157" s="9"/>
      <c r="AI157" s="9"/>
      <c r="AJ157" s="225">
        <f>IF(ISBLANK(Mentor_Connect[[#This Row],[Meeting Date]]),"",Mentor_Connect[[#This Row],[Meeting Date]]-WEEKDAY(Mentor_Connect[[#This Row],[Meeting Date]],2)+1)</f>
        <v>46118</v>
      </c>
      <c r="AK157" s="222">
        <f>IF(ISBLANK(Mentor_Connect[[#This Row],[Preferred Mentor Selected On]]),"",Mentor_Connect[[#This Row],[Preferred Mentor Selected On]]-WEEKDAY(Mentor_Connect[[#This Row],[Preferred Mentor Selected On]],2)+1)</f>
        <v>46111</v>
      </c>
    </row>
    <row r="158" spans="1:37" ht="24.6" customHeight="1" x14ac:dyDescent="0.3">
      <c r="A158" s="373" t="s">
        <v>54</v>
      </c>
      <c r="B158" s="373" t="str">
        <f>VLOOKUP(Mentor_Connect[[#This Row],[Venture Name]],[1]!VenturesList[#All],2,FALSE)</f>
        <v>Accelerate Core</v>
      </c>
      <c r="C158" s="377">
        <f>VLOOKUP(Mentor_Connect[[#This Row],[Venture Name]],[1]!VenturesList[#All],3,FALSE)</f>
        <v>45839</v>
      </c>
      <c r="D158" s="279" t="str">
        <f>VLOOKUP(Mentor_Connect[[#This Row],[Venture Name]],[1]!VenturesList[#All],5,FALSE)</f>
        <v>Ankit Makwana</v>
      </c>
      <c r="E158" s="288" t="s">
        <v>1155</v>
      </c>
      <c r="F158" s="288" t="s">
        <v>439</v>
      </c>
      <c r="G158" s="218">
        <v>45973</v>
      </c>
      <c r="H158" s="36"/>
      <c r="I158" s="218">
        <v>46105</v>
      </c>
      <c r="J158" s="225">
        <v>46112</v>
      </c>
      <c r="K158" s="219"/>
      <c r="L158" s="218"/>
      <c r="M158" s="217"/>
      <c r="N158" s="20"/>
      <c r="O158" s="457" t="s">
        <v>1170</v>
      </c>
      <c r="P158" s="36"/>
      <c r="Q158" s="149"/>
      <c r="R158" s="279"/>
      <c r="S158" s="16" t="s">
        <v>253</v>
      </c>
      <c r="T158" s="23" t="s">
        <v>254</v>
      </c>
      <c r="U158" s="16">
        <v>9825135716</v>
      </c>
      <c r="V158" s="413"/>
      <c r="W158" s="413"/>
      <c r="X158" s="413"/>
      <c r="Y158" s="413"/>
      <c r="Z158" s="36" t="s">
        <v>966</v>
      </c>
      <c r="AA158" s="279"/>
      <c r="AB158" s="36"/>
      <c r="AC158" s="36"/>
      <c r="AD158" s="36"/>
      <c r="AE158" s="36"/>
      <c r="AF158" s="36"/>
      <c r="AG158" s="36"/>
      <c r="AH158" s="36"/>
      <c r="AI158" s="9"/>
      <c r="AJ158" s="225" t="str">
        <f>IF(ISBLANK(Mentor_Connect[[#This Row],[Meeting Date]]),"",Mentor_Connect[[#This Row],[Meeting Date]]-WEEKDAY(Mentor_Connect[[#This Row],[Meeting Date]],2)+1)</f>
        <v/>
      </c>
      <c r="AK158" s="222">
        <f>IF(ISBLANK(Mentor_Connect[[#This Row],[Preferred Mentor Selected On]]),"",Mentor_Connect[[#This Row],[Preferred Mentor Selected On]]-WEEKDAY(Mentor_Connect[[#This Row],[Preferred Mentor Selected On]],2)+1)</f>
        <v>46111</v>
      </c>
    </row>
    <row r="159" spans="1:37" ht="24.6" customHeight="1" x14ac:dyDescent="0.3">
      <c r="A159" s="231" t="s">
        <v>212</v>
      </c>
      <c r="B159" s="231" t="str">
        <f>VLOOKUP(Mentor_Connect[[#This Row],[Venture Name]],[1]!VenturesList[#All],2,FALSE)</f>
        <v>Accelerate Core</v>
      </c>
      <c r="C159" s="223">
        <f>VLOOKUP(Mentor_Connect[[#This Row],[Venture Name]],[1]!VenturesList[#All],3,FALSE)</f>
        <v>45839</v>
      </c>
      <c r="D159" s="8" t="str">
        <f>VLOOKUP(Mentor_Connect[[#This Row],[Venture Name]],[1]!VenturesList[#All],5,FALSE)</f>
        <v>Hardeepsinh Jhala</v>
      </c>
      <c r="E159" s="216"/>
      <c r="F159" s="216" t="s">
        <v>449</v>
      </c>
      <c r="G159" s="217">
        <v>45973</v>
      </c>
      <c r="H159" s="36"/>
      <c r="I159" s="218">
        <v>46104</v>
      </c>
      <c r="J159" s="225"/>
      <c r="K159" s="225"/>
      <c r="L159" s="218"/>
      <c r="M159" s="217"/>
      <c r="N159" s="20"/>
      <c r="O159" s="6" t="s">
        <v>1171</v>
      </c>
      <c r="P159" s="9"/>
      <c r="Q159" s="129"/>
      <c r="R159" s="8"/>
      <c r="S159" s="9"/>
      <c r="T159" s="8"/>
      <c r="U159" s="8"/>
      <c r="V159" s="8"/>
      <c r="W159" s="8"/>
      <c r="X159" s="8"/>
      <c r="Y159" s="8"/>
      <c r="Z159" s="9"/>
      <c r="AA159" s="8"/>
      <c r="AB159" s="9"/>
      <c r="AC159" s="9"/>
      <c r="AD159" s="9"/>
      <c r="AE159" s="9"/>
      <c r="AF159" s="9"/>
      <c r="AG159" s="9"/>
      <c r="AH159" s="9"/>
      <c r="AI159" s="9"/>
      <c r="AJ159" s="225" t="str">
        <f>IF(ISBLANK(Mentor_Connect[[#This Row],[Meeting Date]]),"",Mentor_Connect[[#This Row],[Meeting Date]]-WEEKDAY(Mentor_Connect[[#This Row],[Meeting Date]],2)+1)</f>
        <v/>
      </c>
      <c r="AK159" s="222" t="str">
        <f>IF(ISBLANK(Mentor_Connect[[#This Row],[Preferred Mentor Selected On]]),"",Mentor_Connect[[#This Row],[Preferred Mentor Selected On]]-WEEKDAY(Mentor_Connect[[#This Row],[Preferred Mentor Selected On]],2)+1)</f>
        <v/>
      </c>
    </row>
    <row r="160" spans="1:37" ht="24.6" customHeight="1" x14ac:dyDescent="0.3">
      <c r="A160" s="231" t="s">
        <v>214</v>
      </c>
      <c r="B160" s="231" t="str">
        <f>VLOOKUP(Mentor_Connect[[#This Row],[Venture Name]],[1]!VenturesList[#All],2,FALSE)</f>
        <v>Accelerate Core</v>
      </c>
      <c r="C160" s="223">
        <f>VLOOKUP(Mentor_Connect[[#This Row],[Venture Name]],[1]!VenturesList[#All],3,FALSE)</f>
        <v>45809</v>
      </c>
      <c r="D160" s="8" t="str">
        <f>VLOOKUP(Mentor_Connect[[#This Row],[Venture Name]],[1]!VenturesList[#All],5,FALSE)</f>
        <v>Ankit Makwana</v>
      </c>
      <c r="E160" s="216"/>
      <c r="F160" s="216" t="s">
        <v>440</v>
      </c>
      <c r="G160" s="217">
        <v>45973</v>
      </c>
      <c r="H160" s="36"/>
      <c r="I160" s="218">
        <v>46104</v>
      </c>
      <c r="J160" s="225"/>
      <c r="K160" s="225"/>
      <c r="L160" s="218"/>
      <c r="M160" s="217"/>
      <c r="N160" s="20"/>
      <c r="O160" s="6" t="s">
        <v>1172</v>
      </c>
      <c r="P160" s="9"/>
      <c r="Q160" s="129"/>
      <c r="R160" s="8"/>
      <c r="S160" s="9"/>
      <c r="T160" s="8"/>
      <c r="U160" s="8"/>
      <c r="V160" s="8"/>
      <c r="W160" s="8"/>
      <c r="X160" s="8"/>
      <c r="Y160" s="8"/>
      <c r="Z160" s="9"/>
      <c r="AA160" s="8"/>
      <c r="AB160" s="9"/>
      <c r="AC160" s="9"/>
      <c r="AD160" s="9"/>
      <c r="AE160" s="9"/>
      <c r="AF160" s="9"/>
      <c r="AG160" s="9"/>
      <c r="AH160" s="9"/>
      <c r="AI160" s="9"/>
      <c r="AJ160" s="225" t="str">
        <f>IF(ISBLANK(Mentor_Connect[[#This Row],[Meeting Date]]),"",Mentor_Connect[[#This Row],[Meeting Date]]-WEEKDAY(Mentor_Connect[[#This Row],[Meeting Date]],2)+1)</f>
        <v/>
      </c>
      <c r="AK160" s="222" t="str">
        <f>IF(ISBLANK(Mentor_Connect[[#This Row],[Preferred Mentor Selected On]]),"",Mentor_Connect[[#This Row],[Preferred Mentor Selected On]]-WEEKDAY(Mentor_Connect[[#This Row],[Preferred Mentor Selected On]],2)+1)</f>
        <v/>
      </c>
    </row>
    <row r="161" spans="1:37" ht="24.6" customHeight="1" x14ac:dyDescent="0.3">
      <c r="A161" s="231" t="s">
        <v>215</v>
      </c>
      <c r="B161" s="231" t="str">
        <f>VLOOKUP(Mentor_Connect[[#This Row],[Venture Name]],[1]!VenturesList[#All],2,FALSE)</f>
        <v>Accelerate Core</v>
      </c>
      <c r="C161" s="223">
        <f>VLOOKUP(Mentor_Connect[[#This Row],[Venture Name]],[1]!VenturesList[#All],3,FALSE)</f>
        <v>45901</v>
      </c>
      <c r="D161" s="8" t="str">
        <f>VLOOKUP(Mentor_Connect[[#This Row],[Venture Name]],[1]!VenturesList[#All],5,FALSE)</f>
        <v>Ankit Makwana</v>
      </c>
      <c r="E161" s="216"/>
      <c r="F161" s="252" t="s">
        <v>440</v>
      </c>
      <c r="G161" s="253">
        <v>45973</v>
      </c>
      <c r="H161" s="9"/>
      <c r="I161" s="253">
        <v>46104</v>
      </c>
      <c r="J161" s="225"/>
      <c r="K161" s="225"/>
      <c r="L161" s="217"/>
      <c r="M161" s="217"/>
      <c r="N161" s="20"/>
      <c r="O161" s="267" t="s">
        <v>1173</v>
      </c>
      <c r="P161" s="9"/>
      <c r="Q161" s="129"/>
      <c r="R161" s="8"/>
      <c r="S161" s="9"/>
      <c r="T161" s="8"/>
      <c r="U161" s="8"/>
      <c r="V161" s="8"/>
      <c r="W161" s="8"/>
      <c r="X161" s="8"/>
      <c r="Y161" s="8"/>
      <c r="Z161" s="9"/>
      <c r="AA161" s="8"/>
      <c r="AB161" s="9"/>
      <c r="AC161" s="9"/>
      <c r="AD161" s="9"/>
      <c r="AE161" s="9"/>
      <c r="AF161" s="9"/>
      <c r="AG161" s="9"/>
      <c r="AH161" s="9"/>
      <c r="AI161" s="9"/>
      <c r="AJ161" s="225" t="str">
        <f>IF(ISBLANK(Mentor_Connect[[#This Row],[Meeting Date]]),"",Mentor_Connect[[#This Row],[Meeting Date]]-WEEKDAY(Mentor_Connect[[#This Row],[Meeting Date]],2)+1)</f>
        <v/>
      </c>
      <c r="AK161" s="222" t="str">
        <f>IF(ISBLANK(Mentor_Connect[[#This Row],[Preferred Mentor Selected On]]),"",Mentor_Connect[[#This Row],[Preferred Mentor Selected On]]-WEEKDAY(Mentor_Connect[[#This Row],[Preferred Mentor Selected On]],2)+1)</f>
        <v/>
      </c>
    </row>
    <row r="162" spans="1:37" ht="24.6" customHeight="1" x14ac:dyDescent="0.3">
      <c r="A162" s="237" t="s">
        <v>59</v>
      </c>
      <c r="B162" s="243" t="str">
        <f>VLOOKUP(Mentor_Connect[[#This Row],[Venture Name]],[1]!VenturesList[#All],2,FALSE)</f>
        <v>Accelerate Core</v>
      </c>
      <c r="C162" s="223">
        <f>VLOOKUP(Mentor_Connect[[#This Row],[Venture Name]],[1]!VenturesList[#All],3,FALSE)</f>
        <v>45931</v>
      </c>
      <c r="D162" s="8" t="str">
        <f>VLOOKUP(Mentor_Connect[[#This Row],[Venture Name]],[1]!VenturesList[#All],5,FALSE)</f>
        <v>Jigar</v>
      </c>
      <c r="E162" t="s">
        <v>116</v>
      </c>
      <c r="F162" s="216" t="s">
        <v>18</v>
      </c>
      <c r="G162" s="217"/>
      <c r="H162" s="9"/>
      <c r="I162" s="217"/>
      <c r="J162" s="217"/>
      <c r="K162" s="240">
        <v>46009</v>
      </c>
      <c r="L162" s="217"/>
      <c r="M162" s="217"/>
      <c r="N162" s="20"/>
      <c r="O162" s="20"/>
      <c r="P162" s="9"/>
      <c r="Q162" s="242"/>
      <c r="R162" s="8" t="s">
        <v>913</v>
      </c>
      <c r="S162" s="458" t="s">
        <v>1174</v>
      </c>
      <c r="T162" s="459" t="s">
        <v>1175</v>
      </c>
      <c r="U162" s="460">
        <v>6351326920</v>
      </c>
      <c r="V162" s="8"/>
      <c r="W162" s="237"/>
      <c r="X162" s="237" t="s">
        <v>1176</v>
      </c>
      <c r="Y162" s="237" t="s">
        <v>1176</v>
      </c>
      <c r="Z162" s="9"/>
      <c r="AA162" s="8"/>
      <c r="AB162" s="9"/>
      <c r="AC162" s="21"/>
      <c r="AD162" s="21"/>
      <c r="AE162" s="21"/>
      <c r="AF162" s="21"/>
      <c r="AG162" s="21"/>
      <c r="AH162" s="21"/>
      <c r="AI162" s="9"/>
      <c r="AJ162" s="225">
        <f>IF(ISBLANK(Mentor_Connect[[#This Row],[Meeting Date]]),"",Mentor_Connect[[#This Row],[Meeting Date]]-WEEKDAY(Mentor_Connect[[#This Row],[Meeting Date]],2)+1)</f>
        <v>46006</v>
      </c>
      <c r="AK162" s="222" t="str">
        <f>IF(ISBLANK(Mentor_Connect[[#This Row],[Preferred Mentor Selected On]]),"",Mentor_Connect[[#This Row],[Preferred Mentor Selected On]]-WEEKDAY(Mentor_Connect[[#This Row],[Preferred Mentor Selected On]],2)+1)</f>
        <v/>
      </c>
    </row>
    <row r="163" spans="1:37" ht="24.6" customHeight="1" x14ac:dyDescent="0.3">
      <c r="A163" s="237" t="s">
        <v>59</v>
      </c>
      <c r="B163" s="237" t="str">
        <f>VLOOKUP(Mentor_Connect[[#This Row],[Venture Name]],[1]!VenturesList[#All],2,FALSE)</f>
        <v>Accelerate Core</v>
      </c>
      <c r="C163" s="339">
        <f>VLOOKUP(Mentor_Connect[[#This Row],[Venture Name]],[1]!VenturesList[#All],3,FALSE)</f>
        <v>45931</v>
      </c>
      <c r="D163" s="237" t="str">
        <f>VLOOKUP(Mentor_Connect[[#This Row],[Venture Name]],[1]!VenturesList[#All],5,FALSE)</f>
        <v>Jigar</v>
      </c>
      <c r="E163" s="238" t="s">
        <v>950</v>
      </c>
      <c r="F163" s="238" t="s">
        <v>440</v>
      </c>
      <c r="G163" s="239">
        <v>45992</v>
      </c>
      <c r="H163" s="461">
        <v>46008</v>
      </c>
      <c r="I163" s="462">
        <v>46008</v>
      </c>
      <c r="J163" s="240">
        <v>45931</v>
      </c>
      <c r="K163" s="240"/>
      <c r="L163" s="218" t="s">
        <v>358</v>
      </c>
      <c r="M163" s="217">
        <v>45931</v>
      </c>
      <c r="N163" s="20"/>
      <c r="O163" s="22" t="s">
        <v>1177</v>
      </c>
      <c r="P163" s="21"/>
      <c r="Q163" s="242"/>
      <c r="R163" s="237"/>
      <c r="S163" s="21"/>
      <c r="T163" s="237"/>
      <c r="U163" s="237"/>
      <c r="V163" s="237"/>
      <c r="W163" s="237"/>
      <c r="X163" s="237"/>
      <c r="Y163" s="237"/>
      <c r="Z163" s="21"/>
      <c r="AA163" s="237"/>
      <c r="AB163" s="21"/>
      <c r="AC163" s="21"/>
      <c r="AD163" s="21"/>
      <c r="AE163" s="21"/>
      <c r="AF163" s="21"/>
      <c r="AG163" s="21"/>
      <c r="AH163" s="21"/>
      <c r="AI163" s="9"/>
      <c r="AJ163" s="225" t="str">
        <f>IF(ISBLANK(Mentor_Connect[[#This Row],[Meeting Date]]),"",Mentor_Connect[[#This Row],[Meeting Date]]-WEEKDAY(Mentor_Connect[[#This Row],[Meeting Date]],2)+1)</f>
        <v/>
      </c>
      <c r="AK163" s="222">
        <f>IF(ISBLANK(Mentor_Connect[[#This Row],[Preferred Mentor Selected On]]),"",Mentor_Connect[[#This Row],[Preferred Mentor Selected On]]-WEEKDAY(Mentor_Connect[[#This Row],[Preferred Mentor Selected On]],2)+1)</f>
        <v>45929</v>
      </c>
    </row>
    <row r="164" spans="1:37" ht="24.6" customHeight="1" x14ac:dyDescent="0.3">
      <c r="A164" s="231" t="s">
        <v>230</v>
      </c>
      <c r="B164" s="231" t="str">
        <f>VLOOKUP(Mentor_Connect[[#This Row],[Venture Name]],[1]!VenturesList[#All],2,FALSE)</f>
        <v>Accelerate Core</v>
      </c>
      <c r="C164" s="249">
        <f>VLOOKUP(Mentor_Connect[[#This Row],[Venture Name]],[1]!VenturesList[#All],3,FALSE)</f>
        <v>45901</v>
      </c>
      <c r="D164" s="8" t="str">
        <f>VLOOKUP(Mentor_Connect[[#This Row],[Venture Name]],[1]!VenturesList[#All],5,FALSE)</f>
        <v>Balasubramanian S</v>
      </c>
      <c r="E164" s="216"/>
      <c r="F164" s="216" t="s">
        <v>434</v>
      </c>
      <c r="G164" s="9"/>
      <c r="H164" s="217"/>
      <c r="I164" s="9"/>
      <c r="J164" s="9"/>
      <c r="K164" s="225"/>
      <c r="L164" s="217"/>
      <c r="M164" s="217"/>
      <c r="N164" s="226"/>
      <c r="O164" s="20"/>
      <c r="P164" s="9"/>
      <c r="Q164" s="129"/>
      <c r="R164" s="8"/>
      <c r="S164" s="9"/>
      <c r="T164" s="8"/>
      <c r="U164" s="8"/>
      <c r="V164" s="8"/>
      <c r="W164" s="8"/>
      <c r="X164" s="8"/>
      <c r="Y164" s="8"/>
      <c r="Z164" s="9"/>
      <c r="AA164" s="8"/>
      <c r="AB164" s="9"/>
      <c r="AC164" s="9"/>
      <c r="AD164" s="9"/>
      <c r="AE164" s="9"/>
      <c r="AF164" s="9"/>
      <c r="AG164" s="9"/>
      <c r="AH164" s="9"/>
      <c r="AI164" s="9"/>
      <c r="AJ164" s="225" t="str">
        <f>IF(ISBLANK(Mentor_Connect[[#This Row],[Meeting Date]]),"",Mentor_Connect[[#This Row],[Meeting Date]]-WEEKDAY(Mentor_Connect[[#This Row],[Meeting Date]],2)+1)</f>
        <v/>
      </c>
      <c r="AK164" s="222" t="str">
        <f>IF(ISBLANK(Mentor_Connect[[#This Row],[Preferred Mentor Selected On]]),"",Mentor_Connect[[#This Row],[Preferred Mentor Selected On]]-WEEKDAY(Mentor_Connect[[#This Row],[Preferred Mentor Selected On]],2)+1)</f>
        <v/>
      </c>
    </row>
    <row r="165" spans="1:37" ht="24.6" customHeight="1" x14ac:dyDescent="0.3">
      <c r="A165" s="366" t="s">
        <v>231</v>
      </c>
      <c r="B165" s="366" t="str">
        <f>VLOOKUP(Mentor_Connect[[#This Row],[Venture Name]],[1]!VenturesList[#All],2,FALSE)</f>
        <v>Accelerate Core</v>
      </c>
      <c r="C165" s="367">
        <f>VLOOKUP(Mentor_Connect[[#This Row],[Venture Name]],[1]!VenturesList[#All],3,FALSE)</f>
        <v>45870</v>
      </c>
      <c r="D165" s="251" t="str">
        <f>VLOOKUP(Mentor_Connect[[#This Row],[Venture Name]],[1]!VenturesList[#All],5,FALSE)</f>
        <v>Hardeepsinh Jhala</v>
      </c>
      <c r="E165" s="252"/>
      <c r="F165" s="252" t="s">
        <v>434</v>
      </c>
      <c r="G165" s="260"/>
      <c r="H165" s="217">
        <v>46014</v>
      </c>
      <c r="I165" s="260"/>
      <c r="J165" s="260"/>
      <c r="K165" s="283"/>
      <c r="L165" s="217"/>
      <c r="M165" s="217"/>
      <c r="N165" s="20"/>
      <c r="O165" s="267"/>
      <c r="P165" s="260"/>
      <c r="Q165" s="269"/>
      <c r="R165" s="251"/>
      <c r="S165" s="260"/>
      <c r="T165" s="251"/>
      <c r="U165" s="251"/>
      <c r="V165" s="251"/>
      <c r="W165" s="251"/>
      <c r="X165" s="251"/>
      <c r="Y165" s="251"/>
      <c r="Z165" s="260"/>
      <c r="AA165" s="251"/>
      <c r="AB165" s="260"/>
      <c r="AC165" s="260"/>
      <c r="AD165" s="260"/>
      <c r="AE165" s="260"/>
      <c r="AF165" s="260"/>
      <c r="AG165" s="260"/>
      <c r="AH165" s="260"/>
      <c r="AI165" s="9"/>
      <c r="AJ165" s="225" t="str">
        <f>IF(ISBLANK(Mentor_Connect[[#This Row],[Meeting Date]]),"",Mentor_Connect[[#This Row],[Meeting Date]]-WEEKDAY(Mentor_Connect[[#This Row],[Meeting Date]],2)+1)</f>
        <v/>
      </c>
      <c r="AK165" s="222" t="str">
        <f>IF(ISBLANK(Mentor_Connect[[#This Row],[Preferred Mentor Selected On]]),"",Mentor_Connect[[#This Row],[Preferred Mentor Selected On]]-WEEKDAY(Mentor_Connect[[#This Row],[Preferred Mentor Selected On]],2)+1)</f>
        <v/>
      </c>
    </row>
    <row r="166" spans="1:37" ht="24.6" customHeight="1" x14ac:dyDescent="0.3">
      <c r="A166" s="42" t="s">
        <v>33</v>
      </c>
      <c r="B166" s="42" t="str">
        <f>VLOOKUP(Mentor_Connect[[#This Row],[Venture Name]],[1]!VenturesList[#All],2,FALSE)</f>
        <v>Accelerate Core</v>
      </c>
      <c r="C166" s="463">
        <f>VLOOKUP(Mentor_Connect[[#This Row],[Venture Name]],[1]!VenturesList[#All],3,FALSE)</f>
        <v>45931</v>
      </c>
      <c r="D166" s="277" t="str">
        <f>VLOOKUP(Mentor_Connect[[#This Row],[Venture Name]],[1]!VenturesList[#All],5,FALSE)</f>
        <v>Jigar</v>
      </c>
      <c r="E166" s="313" t="s">
        <v>117</v>
      </c>
      <c r="F166" s="464" t="s">
        <v>18</v>
      </c>
      <c r="G166" s="217">
        <v>45992</v>
      </c>
      <c r="H166" s="217">
        <v>46001</v>
      </c>
      <c r="I166" s="217">
        <v>46001</v>
      </c>
      <c r="J166" s="225">
        <v>46009</v>
      </c>
      <c r="K166" s="465">
        <v>46029</v>
      </c>
      <c r="L166" s="218" t="s">
        <v>345</v>
      </c>
      <c r="M166" s="217">
        <v>46009</v>
      </c>
      <c r="N166" s="226"/>
      <c r="O166" s="466" t="s">
        <v>1178</v>
      </c>
      <c r="P166" s="9"/>
      <c r="Q166" s="129">
        <v>115018340690</v>
      </c>
      <c r="R166" s="277" t="s">
        <v>913</v>
      </c>
      <c r="S166" s="30" t="s">
        <v>468</v>
      </c>
      <c r="T166" s="30" t="s">
        <v>469</v>
      </c>
      <c r="U166" s="379">
        <v>9510106336</v>
      </c>
      <c r="V166" s="277"/>
      <c r="W166" s="277"/>
      <c r="X166" s="53" t="s">
        <v>1179</v>
      </c>
      <c r="Y166" s="53" t="s">
        <v>1180</v>
      </c>
      <c r="Z166" s="9"/>
      <c r="AA166" s="8"/>
      <c r="AB166" s="9"/>
      <c r="AC166" s="9"/>
      <c r="AD166" s="9"/>
      <c r="AE166" s="9"/>
      <c r="AF166" s="9"/>
      <c r="AG166" s="9"/>
      <c r="AH166" s="9"/>
      <c r="AI166" s="9" t="s">
        <v>916</v>
      </c>
      <c r="AJ166" s="225">
        <f>IF(ISBLANK(Mentor_Connect[[#This Row],[Meeting Date]]),"",Mentor_Connect[[#This Row],[Meeting Date]]-WEEKDAY(Mentor_Connect[[#This Row],[Meeting Date]],2)+1)</f>
        <v>46027</v>
      </c>
      <c r="AK166" s="222">
        <f>IF(ISBLANK(Mentor_Connect[[#This Row],[Preferred Mentor Selected On]]),"",Mentor_Connect[[#This Row],[Preferred Mentor Selected On]]-WEEKDAY(Mentor_Connect[[#This Row],[Preferred Mentor Selected On]],2)+1)</f>
        <v>46006</v>
      </c>
    </row>
    <row r="167" spans="1:37" ht="24.6" customHeight="1" x14ac:dyDescent="0.3">
      <c r="A167" s="43" t="s">
        <v>33</v>
      </c>
      <c r="B167" s="43" t="str">
        <f>VLOOKUP(Mentor_Connect[[#This Row],[Venture Name]],[1]!VenturesList[#All],2,FALSE)</f>
        <v>Accelerate Core</v>
      </c>
      <c r="C167" s="282">
        <f>VLOOKUP(Mentor_Connect[[#This Row],[Venture Name]],[1]!VenturesList[#All],3,FALSE)</f>
        <v>45931</v>
      </c>
      <c r="D167" s="251" t="str">
        <f>VLOOKUP(Mentor_Connect[[#This Row],[Venture Name]],[1]!VenturesList[#All],5,FALSE)</f>
        <v>Jigar</v>
      </c>
      <c r="E167" s="252" t="s">
        <v>118</v>
      </c>
      <c r="F167" s="50" t="s">
        <v>18</v>
      </c>
      <c r="G167" s="253">
        <v>45992</v>
      </c>
      <c r="H167" s="217">
        <v>46001</v>
      </c>
      <c r="I167" s="217">
        <v>46001</v>
      </c>
      <c r="J167" s="283">
        <v>46009</v>
      </c>
      <c r="K167" s="283">
        <v>46022</v>
      </c>
      <c r="L167" s="218" t="s">
        <v>345</v>
      </c>
      <c r="M167" s="217">
        <v>46009</v>
      </c>
      <c r="N167" s="20"/>
      <c r="O167" s="467" t="s">
        <v>1181</v>
      </c>
      <c r="P167" s="260"/>
      <c r="Q167" s="269">
        <v>115015667192</v>
      </c>
      <c r="R167" s="251" t="s">
        <v>913</v>
      </c>
      <c r="S167" s="396" t="s">
        <v>468</v>
      </c>
      <c r="T167" s="396" t="s">
        <v>469</v>
      </c>
      <c r="U167" s="468">
        <v>9510106336</v>
      </c>
      <c r="V167" s="469" t="s">
        <v>1182</v>
      </c>
      <c r="W167" s="469"/>
      <c r="X167" s="27" t="s">
        <v>1183</v>
      </c>
      <c r="Y167" s="27" t="s">
        <v>1184</v>
      </c>
      <c r="Z167" s="260"/>
      <c r="AA167" s="251" t="s">
        <v>885</v>
      </c>
      <c r="AB167" s="260"/>
      <c r="AC167" s="260"/>
      <c r="AD167" s="260"/>
      <c r="AE167" s="260"/>
      <c r="AF167" s="260"/>
      <c r="AG167" s="260"/>
      <c r="AH167" s="251" t="s">
        <v>433</v>
      </c>
      <c r="AI167" s="9" t="s">
        <v>916</v>
      </c>
      <c r="AJ167" s="225">
        <f>IF(ISBLANK(Mentor_Connect[[#This Row],[Meeting Date]]),"",Mentor_Connect[[#This Row],[Meeting Date]]-WEEKDAY(Mentor_Connect[[#This Row],[Meeting Date]],2)+1)</f>
        <v>46020</v>
      </c>
      <c r="AK167" s="222">
        <f>IF(ISBLANK(Mentor_Connect[[#This Row],[Preferred Mentor Selected On]]),"",Mentor_Connect[[#This Row],[Preferred Mentor Selected On]]-WEEKDAY(Mentor_Connect[[#This Row],[Preferred Mentor Selected On]],2)+1)</f>
        <v>46006</v>
      </c>
    </row>
    <row r="168" spans="1:37" ht="24.6" customHeight="1" x14ac:dyDescent="0.3">
      <c r="A168" s="2" t="s">
        <v>33</v>
      </c>
      <c r="B168" s="2" t="str">
        <f>VLOOKUP(Mentor_Connect[[#This Row],[Venture Name]],[1]!VenturesList[#All],2,FALSE)</f>
        <v>Accelerate Core</v>
      </c>
      <c r="C168" s="223">
        <f>VLOOKUP(Mentor_Connect[[#This Row],[Venture Name]],[1]!VenturesList[#All],3,FALSE)</f>
        <v>45931</v>
      </c>
      <c r="D168" s="8" t="str">
        <f>VLOOKUP(Mentor_Connect[[#This Row],[Venture Name]],[1]!VenturesList[#All],5,FALSE)</f>
        <v>Jigar</v>
      </c>
      <c r="E168" s="216" t="s">
        <v>470</v>
      </c>
      <c r="F168" s="3" t="s">
        <v>444</v>
      </c>
      <c r="G168" s="217">
        <v>45992</v>
      </c>
      <c r="H168" s="217">
        <v>46001</v>
      </c>
      <c r="I168" s="217">
        <v>46001</v>
      </c>
      <c r="J168" s="225">
        <v>46009</v>
      </c>
      <c r="K168" s="225"/>
      <c r="L168" s="218" t="s">
        <v>345</v>
      </c>
      <c r="M168" s="217">
        <v>46009</v>
      </c>
      <c r="N168" s="340"/>
      <c r="O168" s="6" t="s">
        <v>1185</v>
      </c>
      <c r="P168" s="9"/>
      <c r="Q168" s="129"/>
      <c r="R168" s="8"/>
      <c r="S168" s="9"/>
      <c r="T168" s="8"/>
      <c r="U168" s="8"/>
      <c r="V168" s="8"/>
      <c r="W168" s="8"/>
      <c r="X168" s="8"/>
      <c r="Y168" s="8"/>
      <c r="Z168" s="9"/>
      <c r="AA168" s="8"/>
      <c r="AB168" s="9"/>
      <c r="AC168" s="9"/>
      <c r="AD168" s="9"/>
      <c r="AE168" s="9"/>
      <c r="AF168" s="9"/>
      <c r="AG168" s="9"/>
      <c r="AH168" s="9"/>
      <c r="AI168" s="9"/>
      <c r="AJ168" s="225" t="str">
        <f>IF(ISBLANK(Mentor_Connect[[#This Row],[Meeting Date]]),"",Mentor_Connect[[#This Row],[Meeting Date]]-WEEKDAY(Mentor_Connect[[#This Row],[Meeting Date]],2)+1)</f>
        <v/>
      </c>
      <c r="AK168" s="222">
        <f>IF(ISBLANK(Mentor_Connect[[#This Row],[Preferred Mentor Selected On]]),"",Mentor_Connect[[#This Row],[Preferred Mentor Selected On]]-WEEKDAY(Mentor_Connect[[#This Row],[Preferred Mentor Selected On]],2)+1)</f>
        <v>46006</v>
      </c>
    </row>
    <row r="169" spans="1:37" ht="24.6" customHeight="1" x14ac:dyDescent="0.3">
      <c r="A169" s="231" t="s">
        <v>232</v>
      </c>
      <c r="B169" s="231" t="str">
        <f>VLOOKUP(Mentor_Connect[[#This Row],[Venture Name]],[1]!VenturesList[#All],2,FALSE)</f>
        <v>Dropped</v>
      </c>
      <c r="C169" s="249">
        <f>VLOOKUP(Mentor_Connect[[#This Row],[Venture Name]],[1]!VenturesList[#All],3,FALSE)</f>
        <v>45839</v>
      </c>
      <c r="D169" s="8" t="str">
        <f>VLOOKUP(Mentor_Connect[[#This Row],[Venture Name]],[1]!VenturesList[#All],5,FALSE)</f>
        <v>Hardeepsinh Jhala</v>
      </c>
      <c r="E169" s="216"/>
      <c r="F169" s="216" t="s">
        <v>434</v>
      </c>
      <c r="G169" s="9"/>
      <c r="H169" s="9"/>
      <c r="I169" s="9"/>
      <c r="J169" s="9"/>
      <c r="K169" s="225"/>
      <c r="L169" s="217"/>
      <c r="M169" s="217"/>
      <c r="N169" s="340"/>
      <c r="O169" s="20"/>
      <c r="P169" s="9"/>
      <c r="Q169" s="129"/>
      <c r="R169" s="8"/>
      <c r="S169" s="9"/>
      <c r="T169" s="8"/>
      <c r="U169" s="8"/>
      <c r="V169" s="8"/>
      <c r="W169" s="8"/>
      <c r="X169" s="8"/>
      <c r="Y169" s="8"/>
      <c r="Z169" s="9"/>
      <c r="AA169" s="8"/>
      <c r="AB169" s="9"/>
      <c r="AC169" s="9"/>
      <c r="AD169" s="9"/>
      <c r="AE169" s="9"/>
      <c r="AF169" s="9"/>
      <c r="AG169" s="9"/>
      <c r="AH169" s="9"/>
      <c r="AI169" s="9"/>
      <c r="AJ169" s="225" t="str">
        <f>IF(ISBLANK(Mentor_Connect[[#This Row],[Meeting Date]]),"",Mentor_Connect[[#This Row],[Meeting Date]]-WEEKDAY(Mentor_Connect[[#This Row],[Meeting Date]],2)+1)</f>
        <v/>
      </c>
      <c r="AK169" s="222" t="str">
        <f>IF(ISBLANK(Mentor_Connect[[#This Row],[Preferred Mentor Selected On]]),"",Mentor_Connect[[#This Row],[Preferred Mentor Selected On]]-WEEKDAY(Mentor_Connect[[#This Row],[Preferred Mentor Selected On]],2)+1)</f>
        <v/>
      </c>
    </row>
    <row r="170" spans="1:37" ht="24.6" customHeight="1" x14ac:dyDescent="0.3">
      <c r="A170" s="366" t="s">
        <v>234</v>
      </c>
      <c r="B170" s="366" t="str">
        <f>VLOOKUP(Mentor_Connect[[#This Row],[Venture Name]],[1]!VenturesList[#All],2,FALSE)</f>
        <v>Accelerate Select</v>
      </c>
      <c r="C170" s="367">
        <f>VLOOKUP(Mentor_Connect[[#This Row],[Venture Name]],[1]!VenturesList[#All],3,FALSE)</f>
        <v>45901</v>
      </c>
      <c r="D170" s="251" t="str">
        <f>VLOOKUP(Mentor_Connect[[#This Row],[Venture Name]],[1]!VenturesList[#All],5,FALSE)</f>
        <v>Balasubramanian S</v>
      </c>
      <c r="E170" s="252"/>
      <c r="F170" s="252" t="s">
        <v>434</v>
      </c>
      <c r="G170" s="36"/>
      <c r="H170" s="36"/>
      <c r="I170" s="36"/>
      <c r="J170" s="36"/>
      <c r="K170" s="283"/>
      <c r="L170" s="217"/>
      <c r="M170" s="217"/>
      <c r="N170" s="241"/>
      <c r="O170" s="267"/>
      <c r="P170" s="260"/>
      <c r="Q170" s="470"/>
      <c r="R170" s="471"/>
      <c r="S170" s="36"/>
      <c r="T170" s="279"/>
      <c r="U170" s="472"/>
      <c r="V170" s="251"/>
      <c r="W170" s="251"/>
      <c r="X170" s="251"/>
      <c r="Y170" s="251"/>
      <c r="Z170" s="36"/>
      <c r="AA170" s="279"/>
      <c r="AB170" s="36"/>
      <c r="AC170" s="36"/>
      <c r="AD170" s="36"/>
      <c r="AE170" s="36"/>
      <c r="AF170" s="36"/>
      <c r="AG170" s="36"/>
      <c r="AH170" s="36"/>
      <c r="AI170" s="9"/>
      <c r="AJ170" s="225" t="str">
        <f>IF(ISBLANK(Mentor_Connect[[#This Row],[Meeting Date]]),"",Mentor_Connect[[#This Row],[Meeting Date]]-WEEKDAY(Mentor_Connect[[#This Row],[Meeting Date]],2)+1)</f>
        <v/>
      </c>
      <c r="AK170" s="222" t="str">
        <f>IF(ISBLANK(Mentor_Connect[[#This Row],[Preferred Mentor Selected On]]),"",Mentor_Connect[[#This Row],[Preferred Mentor Selected On]]-WEEKDAY(Mentor_Connect[[#This Row],[Preferred Mentor Selected On]],2)+1)</f>
        <v/>
      </c>
    </row>
    <row r="171" spans="1:37" ht="24.6" customHeight="1" x14ac:dyDescent="0.3">
      <c r="A171" s="237" t="s">
        <v>33</v>
      </c>
      <c r="B171" s="237" t="str">
        <f>VLOOKUP(Mentor_Connect[[#This Row],[Venture Name]],[1]!VenturesList[#All],2,FALSE)</f>
        <v>Accelerate Core</v>
      </c>
      <c r="C171" s="339">
        <f>VLOOKUP(Mentor_Connect[[#This Row],[Venture Name]],[1]!VenturesList[#All],3,FALSE)</f>
        <v>45931</v>
      </c>
      <c r="D171" s="237" t="str">
        <f>VLOOKUP(Mentor_Connect[[#This Row],[Venture Name]],[1]!VenturesList[#All],5,FALSE)</f>
        <v>Jigar</v>
      </c>
      <c r="E171" s="238" t="s">
        <v>118</v>
      </c>
      <c r="F171" s="216" t="s">
        <v>18</v>
      </c>
      <c r="G171" s="253">
        <v>45992</v>
      </c>
      <c r="H171" s="239">
        <v>46001</v>
      </c>
      <c r="I171" s="217">
        <v>46001</v>
      </c>
      <c r="J171" s="240">
        <v>46009</v>
      </c>
      <c r="K171" s="240">
        <v>46074</v>
      </c>
      <c r="L171" s="239" t="s">
        <v>345</v>
      </c>
      <c r="M171" s="239">
        <v>46009</v>
      </c>
      <c r="N171" s="241"/>
      <c r="O171" s="262" t="s">
        <v>1186</v>
      </c>
      <c r="P171" s="385"/>
      <c r="Q171" s="386"/>
      <c r="R171" s="237"/>
      <c r="S171" s="21"/>
      <c r="T171" s="237"/>
      <c r="U171" s="237"/>
      <c r="V171" s="387"/>
      <c r="W171" s="387"/>
      <c r="X171" s="387"/>
      <c r="Y171" s="387"/>
      <c r="Z171" s="9" t="s">
        <v>943</v>
      </c>
      <c r="AA171" s="251" t="s">
        <v>1187</v>
      </c>
      <c r="AB171" s="473">
        <v>46133</v>
      </c>
      <c r="AC171" s="21"/>
      <c r="AD171" s="21"/>
      <c r="AE171" s="21"/>
      <c r="AF171" s="21"/>
      <c r="AG171" s="21"/>
      <c r="AH171" s="21" t="s">
        <v>1188</v>
      </c>
      <c r="AI171" s="9" t="s">
        <v>937</v>
      </c>
      <c r="AJ171" s="225">
        <f>IF(ISBLANK(Mentor_Connect[[#This Row],[Meeting Date]]),"",Mentor_Connect[[#This Row],[Meeting Date]]-WEEKDAY(Mentor_Connect[[#This Row],[Meeting Date]],2)+1)</f>
        <v>46069</v>
      </c>
      <c r="AK171" s="222">
        <f>IF(ISBLANK(Mentor_Connect[[#This Row],[Preferred Mentor Selected On]]),"",Mentor_Connect[[#This Row],[Preferred Mentor Selected On]]-WEEKDAY(Mentor_Connect[[#This Row],[Preferred Mentor Selected On]],2)+1)</f>
        <v>46006</v>
      </c>
    </row>
    <row r="172" spans="1:37" ht="24.6" customHeight="1" x14ac:dyDescent="0.3">
      <c r="A172" s="8" t="s">
        <v>39</v>
      </c>
      <c r="B172" s="237" t="str">
        <f>VLOOKUP(Mentor_Connect[[#This Row],[Venture Name]],[1]!VenturesList[#All],2,FALSE)</f>
        <v>Accelerate Core</v>
      </c>
      <c r="C172" s="223">
        <f>VLOOKUP(Mentor_Connect[[#This Row],[Venture Name]],[1]!VenturesList[#All],3,FALSE)</f>
        <v>45931</v>
      </c>
      <c r="D172" s="8" t="str">
        <f>VLOOKUP(Mentor_Connect[[#This Row],[Venture Name]],[1]!VenturesList[#All],5,FALSE)</f>
        <v>Jigar</v>
      </c>
      <c r="E172" s="216" t="s">
        <v>116</v>
      </c>
      <c r="F172" s="216" t="s">
        <v>18</v>
      </c>
      <c r="G172" s="217"/>
      <c r="H172" s="217"/>
      <c r="I172" s="217"/>
      <c r="J172" s="217"/>
      <c r="K172" s="240">
        <v>46009</v>
      </c>
      <c r="L172" s="217"/>
      <c r="M172" s="217"/>
      <c r="N172" s="20"/>
      <c r="O172" s="20"/>
      <c r="P172" s="9"/>
      <c r="Q172" s="242"/>
      <c r="R172" s="8" t="s">
        <v>1114</v>
      </c>
      <c r="S172" s="474" t="s">
        <v>471</v>
      </c>
      <c r="T172" s="459" t="s">
        <v>1189</v>
      </c>
      <c r="U172" s="474">
        <v>9904806846</v>
      </c>
      <c r="V172" s="2" t="s">
        <v>1190</v>
      </c>
      <c r="W172" s="38"/>
      <c r="X172" s="237" t="s">
        <v>1176</v>
      </c>
      <c r="Y172" s="237" t="s">
        <v>1176</v>
      </c>
      <c r="Z172" s="9"/>
      <c r="AA172" s="8"/>
      <c r="AB172" s="9"/>
      <c r="AC172" s="21"/>
      <c r="AD172" s="21"/>
      <c r="AE172" s="21"/>
      <c r="AF172" s="21"/>
      <c r="AG172" s="21"/>
      <c r="AH172" s="21"/>
      <c r="AI172" s="9"/>
      <c r="AJ172" s="225">
        <f>IF(ISBLANK(Mentor_Connect[[#This Row],[Meeting Date]]),"",Mentor_Connect[[#This Row],[Meeting Date]]-WEEKDAY(Mentor_Connect[[#This Row],[Meeting Date]],2)+1)</f>
        <v>46006</v>
      </c>
      <c r="AK172" s="222" t="str">
        <f>IF(ISBLANK(Mentor_Connect[[#This Row],[Preferred Mentor Selected On]]),"",Mentor_Connect[[#This Row],[Preferred Mentor Selected On]]-WEEKDAY(Mentor_Connect[[#This Row],[Preferred Mentor Selected On]],2)+1)</f>
        <v/>
      </c>
    </row>
    <row r="173" spans="1:37" ht="24.6" customHeight="1" x14ac:dyDescent="0.3">
      <c r="A173" s="8" t="s">
        <v>39</v>
      </c>
      <c r="B173" s="8" t="str">
        <f>VLOOKUP(Mentor_Connect[[#This Row],[Venture Name]],[1]!VenturesList[#All],2,FALSE)</f>
        <v>Accelerate Core</v>
      </c>
      <c r="C173" s="223">
        <f>VLOOKUP(Mentor_Connect[[#This Row],[Venture Name]],[1]!VenturesList[#All],3,FALSE)</f>
        <v>45931</v>
      </c>
      <c r="D173" s="8" t="str">
        <f>VLOOKUP(Mentor_Connect[[#This Row],[Venture Name]],[1]!VenturesList[#All],5,FALSE)</f>
        <v>Jigar</v>
      </c>
      <c r="E173" s="216" t="s">
        <v>119</v>
      </c>
      <c r="F173" s="216" t="s">
        <v>18</v>
      </c>
      <c r="G173" s="217">
        <v>45992</v>
      </c>
      <c r="H173" s="217">
        <v>46008</v>
      </c>
      <c r="I173" s="217">
        <v>46008</v>
      </c>
      <c r="J173" s="225">
        <v>46035</v>
      </c>
      <c r="K173" s="225">
        <v>46038</v>
      </c>
      <c r="L173" s="217" t="s">
        <v>345</v>
      </c>
      <c r="M173" s="217">
        <v>45931</v>
      </c>
      <c r="N173" s="20"/>
      <c r="O173" s="159" t="s">
        <v>1191</v>
      </c>
      <c r="P173" s="9"/>
      <c r="Q173" s="129">
        <v>115023047140</v>
      </c>
      <c r="R173" s="231" t="s">
        <v>913</v>
      </c>
      <c r="S173" s="420" t="s">
        <v>471</v>
      </c>
      <c r="T173" s="18" t="s">
        <v>1189</v>
      </c>
      <c r="U173" s="420">
        <v>9904806846</v>
      </c>
      <c r="V173" s="8"/>
      <c r="W173" s="8"/>
      <c r="X173" s="53" t="s">
        <v>1192</v>
      </c>
      <c r="Y173" s="53" t="s">
        <v>1193</v>
      </c>
      <c r="Z173" s="9" t="s">
        <v>966</v>
      </c>
      <c r="AA173" s="8"/>
      <c r="AB173" s="9"/>
      <c r="AC173" s="9"/>
      <c r="AD173" s="9"/>
      <c r="AE173" s="9"/>
      <c r="AF173" s="9"/>
      <c r="AG173" s="9"/>
      <c r="AH173" s="9"/>
      <c r="AI173" s="9" t="s">
        <v>916</v>
      </c>
      <c r="AJ173" s="225">
        <f>IF(ISBLANK(Mentor_Connect[[#This Row],[Meeting Date]]),"",Mentor_Connect[[#This Row],[Meeting Date]]-WEEKDAY(Mentor_Connect[[#This Row],[Meeting Date]],2)+1)</f>
        <v>46034</v>
      </c>
      <c r="AK173" s="222">
        <f>IF(ISBLANK(Mentor_Connect[[#This Row],[Preferred Mentor Selected On]]),"",Mentor_Connect[[#This Row],[Preferred Mentor Selected On]]-WEEKDAY(Mentor_Connect[[#This Row],[Preferred Mentor Selected On]],2)+1)</f>
        <v>46034</v>
      </c>
    </row>
    <row r="174" spans="1:37" ht="24.6" customHeight="1" x14ac:dyDescent="0.3">
      <c r="A174" s="8" t="s">
        <v>185</v>
      </c>
      <c r="B174" s="8" t="str">
        <f>VLOOKUP(Mentor_Connect[[#This Row],[Venture Name]],[1]!VenturesList[#All],2,FALSE)</f>
        <v>Accelerate Prime</v>
      </c>
      <c r="C174" s="223">
        <f>VLOOKUP(Mentor_Connect[[#This Row],[Venture Name]],[1]!VenturesList[#All],3,FALSE)</f>
        <v>45931</v>
      </c>
      <c r="D174" s="8" t="str">
        <f>VLOOKUP(Mentor_Connect[[#This Row],[Venture Name]],[1]!VenturesList[#All],5,FALSE)</f>
        <v>Kedar</v>
      </c>
      <c r="E174" s="216" t="s">
        <v>950</v>
      </c>
      <c r="F174" s="216" t="s">
        <v>434</v>
      </c>
      <c r="G174" s="9"/>
      <c r="H174" s="9"/>
      <c r="I174" s="9"/>
      <c r="J174" s="223">
        <v>45931</v>
      </c>
      <c r="K174" s="225"/>
      <c r="L174" s="217" t="s">
        <v>358</v>
      </c>
      <c r="M174" s="217">
        <v>45931</v>
      </c>
      <c r="N174" s="20"/>
      <c r="O174" s="60" t="s">
        <v>925</v>
      </c>
      <c r="P174" s="9"/>
      <c r="Q174" s="129"/>
      <c r="R174" s="8"/>
      <c r="S174" s="9"/>
      <c r="T174" s="8"/>
      <c r="U174" s="8"/>
      <c r="V174" s="8"/>
      <c r="W174" s="8"/>
      <c r="X174" s="8"/>
      <c r="Y174" s="8"/>
      <c r="Z174" s="9"/>
      <c r="AA174" s="8"/>
      <c r="AB174" s="9"/>
      <c r="AC174" s="9"/>
      <c r="AD174" s="9"/>
      <c r="AE174" s="9"/>
      <c r="AF174" s="9"/>
      <c r="AG174" s="9"/>
      <c r="AH174" s="9"/>
      <c r="AI174" s="9"/>
      <c r="AJ174" s="225" t="str">
        <f>IF(ISBLANK(Mentor_Connect[[#This Row],[Meeting Date]]),"",Mentor_Connect[[#This Row],[Meeting Date]]-WEEKDAY(Mentor_Connect[[#This Row],[Meeting Date]],2)+1)</f>
        <v/>
      </c>
      <c r="AK174" s="222">
        <f>IF(ISBLANK(Mentor_Connect[[#This Row],[Preferred Mentor Selected On]]),"",Mentor_Connect[[#This Row],[Preferred Mentor Selected On]]-WEEKDAY(Mentor_Connect[[#This Row],[Preferred Mentor Selected On]],2)+1)</f>
        <v>45929</v>
      </c>
    </row>
    <row r="175" spans="1:37" ht="24.6" customHeight="1" x14ac:dyDescent="0.3">
      <c r="A175" s="279" t="s">
        <v>25</v>
      </c>
      <c r="B175" s="279" t="str">
        <f>VLOOKUP(Mentor_Connect[[#This Row],[Venture Name]],[1]!VenturesList[#All],2,FALSE)</f>
        <v>Accelerate Core</v>
      </c>
      <c r="C175" s="328">
        <f>VLOOKUP(Mentor_Connect[[#This Row],[Venture Name]],[1]!VenturesList[#All],3,FALSE)</f>
        <v>45931</v>
      </c>
      <c r="D175" s="279" t="str">
        <f>VLOOKUP(Mentor_Connect[[#This Row],[Venture Name]],[1]!VenturesList[#All],5,FALSE)</f>
        <v>Jigar</v>
      </c>
      <c r="E175" s="288" t="s">
        <v>120</v>
      </c>
      <c r="F175" s="288" t="s">
        <v>18</v>
      </c>
      <c r="G175" s="218">
        <v>45992</v>
      </c>
      <c r="H175" s="218">
        <v>46000</v>
      </c>
      <c r="I175" s="218">
        <v>46000</v>
      </c>
      <c r="J175" s="219">
        <v>46004</v>
      </c>
      <c r="K175" s="439">
        <v>46027</v>
      </c>
      <c r="L175" s="218" t="s">
        <v>345</v>
      </c>
      <c r="M175" s="218">
        <v>46004</v>
      </c>
      <c r="N175" s="284"/>
      <c r="O175" s="290" t="s">
        <v>1194</v>
      </c>
      <c r="P175" s="36"/>
      <c r="Q175" s="149">
        <v>115016261180</v>
      </c>
      <c r="R175" s="279" t="s">
        <v>913</v>
      </c>
      <c r="S175" s="475" t="s">
        <v>472</v>
      </c>
      <c r="T175" s="476" t="s">
        <v>473</v>
      </c>
      <c r="U175" s="477" t="s">
        <v>1195</v>
      </c>
      <c r="V175" s="478" t="s">
        <v>1196</v>
      </c>
      <c r="W175" s="478"/>
      <c r="X175" s="33" t="s">
        <v>1197</v>
      </c>
      <c r="Y175" s="33" t="s">
        <v>1198</v>
      </c>
      <c r="Z175" s="36"/>
      <c r="AA175" s="279"/>
      <c r="AB175" s="36"/>
      <c r="AC175" s="36"/>
      <c r="AD175" s="36"/>
      <c r="AE175" s="36"/>
      <c r="AF175" s="36"/>
      <c r="AG175" s="36"/>
      <c r="AH175" s="36"/>
      <c r="AI175" s="9" t="s">
        <v>916</v>
      </c>
      <c r="AJ175" s="225">
        <f>IF(ISBLANK(Mentor_Connect[[#This Row],[Meeting Date]]),"",Mentor_Connect[[#This Row],[Meeting Date]]-WEEKDAY(Mentor_Connect[[#This Row],[Meeting Date]],2)+1)</f>
        <v>46027</v>
      </c>
      <c r="AK175" s="222">
        <f>IF(ISBLANK(Mentor_Connect[[#This Row],[Preferred Mentor Selected On]]),"",Mentor_Connect[[#This Row],[Preferred Mentor Selected On]]-WEEKDAY(Mentor_Connect[[#This Row],[Preferred Mentor Selected On]],2)+1)</f>
        <v>45999</v>
      </c>
    </row>
    <row r="176" spans="1:37" ht="24.6" customHeight="1" x14ac:dyDescent="0.3">
      <c r="A176" s="251" t="s">
        <v>25</v>
      </c>
      <c r="B176" s="251" t="str">
        <f>VLOOKUP(Mentor_Connect[[#This Row],[Venture Name]],[1]!VenturesList[#All],2,FALSE)</f>
        <v>Accelerate Core</v>
      </c>
      <c r="C176" s="282">
        <f>VLOOKUP(Mentor_Connect[[#This Row],[Venture Name]],[1]!VenturesList[#All],3,FALSE)</f>
        <v>45931</v>
      </c>
      <c r="D176" s="251" t="str">
        <f>VLOOKUP(Mentor_Connect[[#This Row],[Venture Name]],[1]!VenturesList[#All],5,FALSE)</f>
        <v>Jigar</v>
      </c>
      <c r="E176" s="252" t="s">
        <v>121</v>
      </c>
      <c r="F176" s="252" t="s">
        <v>18</v>
      </c>
      <c r="G176" s="253">
        <v>45992</v>
      </c>
      <c r="H176" s="217">
        <v>46000</v>
      </c>
      <c r="I176" s="217">
        <v>46000</v>
      </c>
      <c r="J176" s="225">
        <v>46004</v>
      </c>
      <c r="K176" s="283">
        <v>46038</v>
      </c>
      <c r="L176" s="218" t="s">
        <v>345</v>
      </c>
      <c r="M176" s="217">
        <v>46004</v>
      </c>
      <c r="N176" s="241"/>
      <c r="O176" s="467" t="s">
        <v>1199</v>
      </c>
      <c r="P176" s="260"/>
      <c r="Q176" s="269">
        <v>115024940419</v>
      </c>
      <c r="R176" s="263" t="s">
        <v>913</v>
      </c>
      <c r="S176" s="479" t="s">
        <v>472</v>
      </c>
      <c r="T176" s="358" t="s">
        <v>473</v>
      </c>
      <c r="U176" s="359" t="s">
        <v>1195</v>
      </c>
      <c r="V176" s="251"/>
      <c r="W176" s="251"/>
      <c r="X176" s="271" t="s">
        <v>1200</v>
      </c>
      <c r="Y176" s="271" t="s">
        <v>1201</v>
      </c>
      <c r="Z176" s="260" t="s">
        <v>966</v>
      </c>
      <c r="AA176" s="251"/>
      <c r="AB176" s="260"/>
      <c r="AC176" s="260"/>
      <c r="AD176" s="260"/>
      <c r="AE176" s="260"/>
      <c r="AF176" s="260"/>
      <c r="AG176" s="260"/>
      <c r="AH176" s="260"/>
      <c r="AI176" s="9" t="s">
        <v>916</v>
      </c>
      <c r="AJ176" s="225">
        <f>IF(ISBLANK(Mentor_Connect[[#This Row],[Meeting Date]]),"",Mentor_Connect[[#This Row],[Meeting Date]]-WEEKDAY(Mentor_Connect[[#This Row],[Meeting Date]],2)+1)</f>
        <v>46034</v>
      </c>
      <c r="AK176" s="222">
        <f>IF(ISBLANK(Mentor_Connect[[#This Row],[Preferred Mentor Selected On]]),"",Mentor_Connect[[#This Row],[Preferred Mentor Selected On]]-WEEKDAY(Mentor_Connect[[#This Row],[Preferred Mentor Selected On]],2)+1)</f>
        <v>45999</v>
      </c>
    </row>
    <row r="177" spans="1:37" ht="24.6" customHeight="1" x14ac:dyDescent="0.3">
      <c r="A177" s="8" t="s">
        <v>25</v>
      </c>
      <c r="B177" s="8" t="str">
        <f>VLOOKUP(Mentor_Connect[[#This Row],[Venture Name]],[1]!VenturesList[#All],2,FALSE)</f>
        <v>Accelerate Core</v>
      </c>
      <c r="C177" s="223">
        <f>VLOOKUP(Mentor_Connect[[#This Row],[Venture Name]],[1]!VenturesList[#All],3,FALSE)</f>
        <v>45931</v>
      </c>
      <c r="D177" s="8" t="str">
        <f>VLOOKUP(Mentor_Connect[[#This Row],[Venture Name]],[1]!VenturesList[#All],5,FALSE)</f>
        <v>Jigar</v>
      </c>
      <c r="E177" s="216" t="s">
        <v>474</v>
      </c>
      <c r="F177" s="216" t="s">
        <v>444</v>
      </c>
      <c r="G177" s="217">
        <v>45992</v>
      </c>
      <c r="H177" s="217">
        <v>46000</v>
      </c>
      <c r="I177" s="217">
        <v>46000</v>
      </c>
      <c r="J177" s="225">
        <v>46004</v>
      </c>
      <c r="K177" s="225"/>
      <c r="L177" s="218" t="s">
        <v>345</v>
      </c>
      <c r="M177" s="217">
        <v>46004</v>
      </c>
      <c r="N177" s="340"/>
      <c r="O177" s="6" t="s">
        <v>1202</v>
      </c>
      <c r="P177" s="9"/>
      <c r="Q177" s="242"/>
      <c r="R177" s="237"/>
      <c r="S177" s="353" t="s">
        <v>472</v>
      </c>
      <c r="T177" s="354" t="s">
        <v>473</v>
      </c>
      <c r="U177" s="355" t="s">
        <v>1195</v>
      </c>
      <c r="V177" s="8"/>
      <c r="W177" s="8"/>
      <c r="X177" s="8"/>
      <c r="Y177" s="8"/>
      <c r="Z177" s="9" t="s">
        <v>943</v>
      </c>
      <c r="AA177" s="8"/>
      <c r="AB177" s="9"/>
      <c r="AC177" s="9"/>
      <c r="AD177" s="9"/>
      <c r="AE177" s="9"/>
      <c r="AF177" s="9"/>
      <c r="AG177" s="9"/>
      <c r="AH177" s="9"/>
      <c r="AI177" s="9"/>
      <c r="AJ177" s="225" t="str">
        <f>IF(ISBLANK(Mentor_Connect[[#This Row],[Meeting Date]]),"",Mentor_Connect[[#This Row],[Meeting Date]]-WEEKDAY(Mentor_Connect[[#This Row],[Meeting Date]],2)+1)</f>
        <v/>
      </c>
      <c r="AK177" s="222">
        <f>IF(ISBLANK(Mentor_Connect[[#This Row],[Preferred Mentor Selected On]]),"",Mentor_Connect[[#This Row],[Preferred Mentor Selected On]]-WEEKDAY(Mentor_Connect[[#This Row],[Preferred Mentor Selected On]],2)+1)</f>
        <v>45999</v>
      </c>
    </row>
    <row r="178" spans="1:37" ht="24.6" customHeight="1" x14ac:dyDescent="0.3">
      <c r="A178" s="8" t="s">
        <v>25</v>
      </c>
      <c r="B178" s="8" t="str">
        <f>VLOOKUP(Mentor_Connect[[#This Row],[Venture Name]],[1]!VenturesList[#All],2,FALSE)</f>
        <v>Accelerate Core</v>
      </c>
      <c r="C178" s="223">
        <f>VLOOKUP(Mentor_Connect[[#This Row],[Venture Name]],[1]!VenturesList[#All],3,FALSE)</f>
        <v>45931</v>
      </c>
      <c r="D178" s="8" t="str">
        <f>VLOOKUP(Mentor_Connect[[#This Row],[Venture Name]],[1]!VenturesList[#All],5,FALSE)</f>
        <v>Jigar</v>
      </c>
      <c r="E178" s="216" t="s">
        <v>105</v>
      </c>
      <c r="F178" s="216" t="s">
        <v>18</v>
      </c>
      <c r="G178" s="217">
        <v>45992</v>
      </c>
      <c r="H178" s="217">
        <v>46000</v>
      </c>
      <c r="I178" s="217">
        <v>46000</v>
      </c>
      <c r="J178" s="225">
        <v>46004</v>
      </c>
      <c r="K178" s="225">
        <v>46073</v>
      </c>
      <c r="L178" s="218" t="s">
        <v>345</v>
      </c>
      <c r="M178" s="217">
        <v>46004</v>
      </c>
      <c r="N178" s="340"/>
      <c r="O178" s="480" t="s">
        <v>1203</v>
      </c>
      <c r="P178" s="9"/>
      <c r="Q178" s="242">
        <v>115065626399</v>
      </c>
      <c r="R178" s="481" t="s">
        <v>913</v>
      </c>
      <c r="S178" s="353" t="s">
        <v>472</v>
      </c>
      <c r="T178" s="354" t="s">
        <v>473</v>
      </c>
      <c r="U178" s="355" t="s">
        <v>1195</v>
      </c>
      <c r="V178" s="8"/>
      <c r="W178" s="8"/>
      <c r="X178" s="53" t="s">
        <v>1204</v>
      </c>
      <c r="Y178" s="53" t="s">
        <v>1205</v>
      </c>
      <c r="Z178" s="9" t="s">
        <v>943</v>
      </c>
      <c r="AA178" s="8"/>
      <c r="AB178" s="9"/>
      <c r="AC178" s="9"/>
      <c r="AD178" s="9"/>
      <c r="AE178" s="9"/>
      <c r="AF178" s="9"/>
      <c r="AG178" s="9"/>
      <c r="AH178" s="9"/>
      <c r="AI178" s="9" t="s">
        <v>916</v>
      </c>
      <c r="AJ178" s="225">
        <f>IF(ISBLANK(Mentor_Connect[[#This Row],[Meeting Date]]),"",Mentor_Connect[[#This Row],[Meeting Date]]-WEEKDAY(Mentor_Connect[[#This Row],[Meeting Date]],2)+1)</f>
        <v>46069</v>
      </c>
      <c r="AK178" s="222">
        <f>IF(ISBLANK(Mentor_Connect[[#This Row],[Preferred Mentor Selected On]]),"",Mentor_Connect[[#This Row],[Preferred Mentor Selected On]]-WEEKDAY(Mentor_Connect[[#This Row],[Preferred Mentor Selected On]],2)+1)</f>
        <v>45999</v>
      </c>
    </row>
    <row r="179" spans="1:37" ht="24.6" customHeight="1" x14ac:dyDescent="0.3">
      <c r="A179" s="251" t="s">
        <v>63</v>
      </c>
      <c r="B179" s="251" t="str">
        <f>VLOOKUP(Mentor_Connect[[#This Row],[Venture Name]],[1]!VenturesList[#All],2,FALSE)</f>
        <v>Accelerate Prime</v>
      </c>
      <c r="C179" s="282">
        <f>VLOOKUP(Mentor_Connect[[#This Row],[Venture Name]],[1]!VenturesList[#All],3,FALSE)</f>
        <v>45931</v>
      </c>
      <c r="D179" s="251" t="str">
        <f>VLOOKUP(Mentor_Connect[[#This Row],[Venture Name]],[1]!VenturesList[#All],5,FALSE)</f>
        <v>Ramya</v>
      </c>
      <c r="E179" s="252" t="s">
        <v>97</v>
      </c>
      <c r="F179" s="252" t="s">
        <v>18</v>
      </c>
      <c r="G179" s="218">
        <v>45995</v>
      </c>
      <c r="H179" s="217">
        <v>46003</v>
      </c>
      <c r="I179" s="217">
        <v>46003</v>
      </c>
      <c r="J179" s="482">
        <v>46031</v>
      </c>
      <c r="K179" s="283">
        <v>46043</v>
      </c>
      <c r="L179" s="218" t="s">
        <v>345</v>
      </c>
      <c r="M179" s="217">
        <v>45972</v>
      </c>
      <c r="N179" s="241"/>
      <c r="O179" s="258" t="s">
        <v>1206</v>
      </c>
      <c r="P179" s="260"/>
      <c r="Q179" s="269"/>
      <c r="R179" s="243" t="s">
        <v>475</v>
      </c>
      <c r="S179" s="396" t="s">
        <v>1207</v>
      </c>
      <c r="T179" s="397" t="s">
        <v>1208</v>
      </c>
      <c r="U179" s="483" t="s">
        <v>1209</v>
      </c>
      <c r="V179" s="2" t="s">
        <v>1210</v>
      </c>
      <c r="W179" s="229"/>
      <c r="X179" s="332" t="s">
        <v>1211</v>
      </c>
      <c r="Y179" s="332" t="s">
        <v>1212</v>
      </c>
      <c r="Z179" s="36" t="s">
        <v>943</v>
      </c>
      <c r="AA179" s="251" t="s">
        <v>885</v>
      </c>
      <c r="AB179" s="36"/>
      <c r="AC179" s="36"/>
      <c r="AD179" s="36"/>
      <c r="AE179" s="36"/>
      <c r="AF179" s="36"/>
      <c r="AG179" s="36"/>
      <c r="AH179" s="251" t="s">
        <v>1128</v>
      </c>
      <c r="AI179" s="9" t="s">
        <v>937</v>
      </c>
      <c r="AJ179" s="225">
        <f>IF(ISBLANK(Mentor_Connect[[#This Row],[Meeting Date]]),"",Mentor_Connect[[#This Row],[Meeting Date]]-WEEKDAY(Mentor_Connect[[#This Row],[Meeting Date]],2)+1)</f>
        <v>46041</v>
      </c>
      <c r="AK179" s="222">
        <f>IF(ISBLANK(Mentor_Connect[[#This Row],[Preferred Mentor Selected On]]),"",Mentor_Connect[[#This Row],[Preferred Mentor Selected On]]-WEEKDAY(Mentor_Connect[[#This Row],[Preferred Mentor Selected On]],2)+1)</f>
        <v>46027</v>
      </c>
    </row>
    <row r="180" spans="1:37" ht="24.6" customHeight="1" x14ac:dyDescent="0.3">
      <c r="A180" s="237" t="s">
        <v>46</v>
      </c>
      <c r="B180" s="237" t="str">
        <f>VLOOKUP(Mentor_Connect[[#This Row],[Venture Name]],[1]!VenturesList[#All],2,FALSE)</f>
        <v>Accelerate Core</v>
      </c>
      <c r="C180" s="339">
        <f>VLOOKUP(Mentor_Connect[[#This Row],[Venture Name]],[1]!VenturesList[#All],3,FALSE)</f>
        <v>45901</v>
      </c>
      <c r="D180" s="237" t="str">
        <f>VLOOKUP(Mentor_Connect[[#This Row],[Venture Name]],[1]!VenturesList[#All],5,FALSE)</f>
        <v>Vignesh</v>
      </c>
      <c r="E180" s="369" t="s">
        <v>91</v>
      </c>
      <c r="F180" s="238" t="s">
        <v>18</v>
      </c>
      <c r="G180" s="239">
        <v>45995</v>
      </c>
      <c r="H180" s="217"/>
      <c r="I180" s="217"/>
      <c r="J180" s="240">
        <v>45995</v>
      </c>
      <c r="K180" s="240">
        <v>46009</v>
      </c>
      <c r="L180" s="218" t="s">
        <v>345</v>
      </c>
      <c r="M180" s="217">
        <v>45995</v>
      </c>
      <c r="N180" s="340"/>
      <c r="O180" s="22" t="s">
        <v>1213</v>
      </c>
      <c r="P180" s="484"/>
      <c r="Q180" s="485">
        <v>115008303612</v>
      </c>
      <c r="R180" s="237" t="s">
        <v>913</v>
      </c>
      <c r="S180" s="21" t="s">
        <v>257</v>
      </c>
      <c r="T180" s="237" t="s">
        <v>258</v>
      </c>
      <c r="U180" s="237">
        <v>9884422270</v>
      </c>
      <c r="V180" s="8"/>
      <c r="W180" s="237"/>
      <c r="X180" s="323" t="s">
        <v>1214</v>
      </c>
      <c r="Y180" s="172" t="s">
        <v>1215</v>
      </c>
      <c r="Z180" s="21"/>
      <c r="AA180" s="279" t="s">
        <v>937</v>
      </c>
      <c r="AB180" s="239">
        <v>46036</v>
      </c>
      <c r="AC180" s="239"/>
      <c r="AD180" s="239"/>
      <c r="AE180" s="239">
        <v>46118</v>
      </c>
      <c r="AF180" s="218">
        <v>46132</v>
      </c>
      <c r="AG180" s="239" t="s">
        <v>442</v>
      </c>
      <c r="AH180" s="292" t="s">
        <v>443</v>
      </c>
      <c r="AI180" s="9" t="s">
        <v>937</v>
      </c>
      <c r="AJ180" s="225">
        <f>IF(ISBLANK(Mentor_Connect[[#This Row],[Meeting Date]]),"",Mentor_Connect[[#This Row],[Meeting Date]]-WEEKDAY(Mentor_Connect[[#This Row],[Meeting Date]],2)+1)</f>
        <v>46006</v>
      </c>
      <c r="AK180" s="222">
        <f>IF(ISBLANK(Mentor_Connect[[#This Row],[Preferred Mentor Selected On]]),"",Mentor_Connect[[#This Row],[Preferred Mentor Selected On]]-WEEKDAY(Mentor_Connect[[#This Row],[Preferred Mentor Selected On]],2)+1)</f>
        <v>45992</v>
      </c>
    </row>
    <row r="181" spans="1:37" ht="24.6" customHeight="1" x14ac:dyDescent="0.3">
      <c r="A181" s="22" t="s">
        <v>190</v>
      </c>
      <c r="B181" s="22" t="str">
        <f>VLOOKUP(Mentor_Connect[[#This Row],[Venture Name]],[1]!VenturesList[#All],2,FALSE)</f>
        <v>Accelerate Prime</v>
      </c>
      <c r="C181" s="339">
        <f>VLOOKUP(Mentor_Connect[[#This Row],[Venture Name]],[1]!VenturesList[#All],3,FALSE)</f>
        <v>45931</v>
      </c>
      <c r="D181" s="237" t="str">
        <f>VLOOKUP(Mentor_Connect[[#This Row],[Venture Name]],[1]!VenturesList[#All],5,FALSE)</f>
        <v>Ramya</v>
      </c>
      <c r="E181" s="486" t="s">
        <v>136</v>
      </c>
      <c r="F181" s="238" t="s">
        <v>439</v>
      </c>
      <c r="G181" s="239">
        <v>45995</v>
      </c>
      <c r="H181" s="239">
        <v>46001</v>
      </c>
      <c r="I181" s="239">
        <v>46001</v>
      </c>
      <c r="J181" s="240">
        <v>46013</v>
      </c>
      <c r="K181" s="230"/>
      <c r="L181" s="239" t="s">
        <v>345</v>
      </c>
      <c r="M181" s="239">
        <v>46013</v>
      </c>
      <c r="N181" s="340"/>
      <c r="O181" s="22" t="s">
        <v>1216</v>
      </c>
      <c r="P181" s="21"/>
      <c r="Q181" s="242"/>
      <c r="R181" s="237"/>
      <c r="S181" s="21"/>
      <c r="T181" s="237"/>
      <c r="U181" s="237"/>
      <c r="V181" s="237"/>
      <c r="W181" s="237"/>
      <c r="X181" s="237"/>
      <c r="Y181" s="237"/>
      <c r="Z181" s="21" t="s">
        <v>966</v>
      </c>
      <c r="AA181" s="237"/>
      <c r="AB181" s="21"/>
      <c r="AC181" s="21"/>
      <c r="AD181" s="21"/>
      <c r="AE181" s="21"/>
      <c r="AF181" s="21"/>
      <c r="AG181" s="21"/>
      <c r="AH181" s="21"/>
      <c r="AI181" s="9"/>
      <c r="AJ181" s="225" t="str">
        <f>IF(ISBLANK(Mentor_Connect[[#This Row],[Meeting Date]]),"",Mentor_Connect[[#This Row],[Meeting Date]]-WEEKDAY(Mentor_Connect[[#This Row],[Meeting Date]],2)+1)</f>
        <v/>
      </c>
      <c r="AK181" s="222">
        <f>IF(ISBLANK(Mentor_Connect[[#This Row],[Preferred Mentor Selected On]]),"",Mentor_Connect[[#This Row],[Preferred Mentor Selected On]]-WEEKDAY(Mentor_Connect[[#This Row],[Preferred Mentor Selected On]],2)+1)</f>
        <v>46013</v>
      </c>
    </row>
    <row r="182" spans="1:37" ht="24.6" customHeight="1" x14ac:dyDescent="0.3">
      <c r="A182" s="8" t="s">
        <v>64</v>
      </c>
      <c r="B182" s="8" t="str">
        <f>VLOOKUP(Mentor_Connect[[#This Row],[Venture Name]],[1]!VenturesList[#All],2,FALSE)</f>
        <v>Accelerate Prime</v>
      </c>
      <c r="C182" s="223">
        <f>VLOOKUP(Mentor_Connect[[#This Row],[Venture Name]],[1]!VenturesList[#All],3,FALSE)</f>
        <v>45931</v>
      </c>
      <c r="D182" s="8" t="str">
        <f>VLOOKUP(Mentor_Connect[[#This Row],[Venture Name]],[1]!VenturesList[#All],5,FALSE)</f>
        <v>Ramya</v>
      </c>
      <c r="E182" s="216" t="s">
        <v>122</v>
      </c>
      <c r="F182" s="216" t="s">
        <v>18</v>
      </c>
      <c r="G182" s="217">
        <v>45995</v>
      </c>
      <c r="H182" s="217"/>
      <c r="I182" s="217"/>
      <c r="J182" s="225">
        <v>46013</v>
      </c>
      <c r="K182" s="225">
        <v>46041</v>
      </c>
      <c r="L182" s="217" t="s">
        <v>345</v>
      </c>
      <c r="M182" s="217">
        <v>46013</v>
      </c>
      <c r="N182" s="20"/>
      <c r="O182" s="6" t="s">
        <v>1217</v>
      </c>
      <c r="P182" s="9"/>
      <c r="Q182" s="129"/>
      <c r="R182" s="2" t="s">
        <v>989</v>
      </c>
      <c r="S182" s="30" t="s">
        <v>1218</v>
      </c>
      <c r="T182" s="233" t="s">
        <v>1219</v>
      </c>
      <c r="U182" s="487" t="s">
        <v>1220</v>
      </c>
      <c r="V182" s="2" t="s">
        <v>1221</v>
      </c>
      <c r="W182" s="2" t="s">
        <v>1222</v>
      </c>
      <c r="X182" s="53" t="s">
        <v>1223</v>
      </c>
      <c r="Y182" s="53" t="s">
        <v>1224</v>
      </c>
      <c r="Z182" s="9" t="s">
        <v>966</v>
      </c>
      <c r="AA182" s="8"/>
      <c r="AB182" s="9"/>
      <c r="AC182" s="9"/>
      <c r="AD182" s="9"/>
      <c r="AE182" s="9"/>
      <c r="AF182" s="9"/>
      <c r="AG182" s="9"/>
      <c r="AH182" s="9"/>
      <c r="AI182" s="9" t="s">
        <v>937</v>
      </c>
      <c r="AJ182" s="225">
        <f>IF(ISBLANK(Mentor_Connect[[#This Row],[Meeting Date]]),"",Mentor_Connect[[#This Row],[Meeting Date]]-WEEKDAY(Mentor_Connect[[#This Row],[Meeting Date]],2)+1)</f>
        <v>46041</v>
      </c>
      <c r="AK182" s="222">
        <f>IF(ISBLANK(Mentor_Connect[[#This Row],[Preferred Mentor Selected On]]),"",Mentor_Connect[[#This Row],[Preferred Mentor Selected On]]-WEEKDAY(Mentor_Connect[[#This Row],[Preferred Mentor Selected On]],2)+1)</f>
        <v>46013</v>
      </c>
    </row>
    <row r="183" spans="1:37" ht="24.6" customHeight="1" x14ac:dyDescent="0.3">
      <c r="A183" s="373" t="s">
        <v>236</v>
      </c>
      <c r="B183" s="373" t="str">
        <f>VLOOKUP(Mentor_Connect[[#This Row],[Venture Name]],[1]!VenturesList[#All],2,FALSE)</f>
        <v>Accelerate Core</v>
      </c>
      <c r="C183" s="377">
        <f>VLOOKUP(Mentor_Connect[[#This Row],[Venture Name]],[1]!VenturesList[#All],3,FALSE)</f>
        <v>45901</v>
      </c>
      <c r="D183" s="279" t="str">
        <f>VLOOKUP(Mentor_Connect[[#This Row],[Venture Name]],[1]!VenturesList[#All],5,FALSE)</f>
        <v>Balasubramanian S</v>
      </c>
      <c r="E183" s="288"/>
      <c r="F183" s="288" t="s">
        <v>434</v>
      </c>
      <c r="G183" s="36"/>
      <c r="H183" s="36"/>
      <c r="I183" s="36"/>
      <c r="J183" s="36"/>
      <c r="K183" s="219"/>
      <c r="L183" s="218"/>
      <c r="M183" s="218"/>
      <c r="N183" s="284"/>
      <c r="O183" s="347"/>
      <c r="P183" s="36"/>
      <c r="Q183" s="149"/>
      <c r="R183" s="279"/>
      <c r="S183" s="36"/>
      <c r="T183" s="279"/>
      <c r="U183" s="279"/>
      <c r="V183" s="279"/>
      <c r="W183" s="279"/>
      <c r="X183" s="279"/>
      <c r="Y183" s="279"/>
      <c r="Z183" s="36"/>
      <c r="AA183" s="279"/>
      <c r="AB183" s="36"/>
      <c r="AC183" s="36"/>
      <c r="AD183" s="36"/>
      <c r="AE183" s="36"/>
      <c r="AF183" s="36"/>
      <c r="AG183" s="36"/>
      <c r="AH183" s="36"/>
      <c r="AI183" s="9"/>
      <c r="AJ183" s="225" t="str">
        <f>IF(ISBLANK(Mentor_Connect[[#This Row],[Meeting Date]]),"",Mentor_Connect[[#This Row],[Meeting Date]]-WEEKDAY(Mentor_Connect[[#This Row],[Meeting Date]],2)+1)</f>
        <v/>
      </c>
      <c r="AK183" s="222" t="str">
        <f>IF(ISBLANK(Mentor_Connect[[#This Row],[Preferred Mentor Selected On]]),"",Mentor_Connect[[#This Row],[Preferred Mentor Selected On]]-WEEKDAY(Mentor_Connect[[#This Row],[Preferred Mentor Selected On]],2)+1)</f>
        <v/>
      </c>
    </row>
    <row r="184" spans="1:37" ht="24.6" customHeight="1" x14ac:dyDescent="0.3">
      <c r="A184" s="8" t="s">
        <v>64</v>
      </c>
      <c r="B184" s="8" t="str">
        <f>VLOOKUP(Mentor_Connect[[#This Row],[Venture Name]],[1]!VenturesList[#All],2,FALSE)</f>
        <v>Accelerate Prime</v>
      </c>
      <c r="C184" s="223">
        <f>VLOOKUP(Mentor_Connect[[#This Row],[Venture Name]],[1]!VenturesList[#All],3,FALSE)</f>
        <v>45931</v>
      </c>
      <c r="D184" s="8" t="str">
        <f>VLOOKUP(Mentor_Connect[[#This Row],[Venture Name]],[1]!VenturesList[#All],5,FALSE)</f>
        <v>Ramya</v>
      </c>
      <c r="E184" s="216" t="s">
        <v>476</v>
      </c>
      <c r="F184" s="216" t="s">
        <v>439</v>
      </c>
      <c r="G184" s="217">
        <v>45995</v>
      </c>
      <c r="H184" s="217">
        <v>46003</v>
      </c>
      <c r="I184" s="217">
        <v>46003</v>
      </c>
      <c r="J184" s="225">
        <v>46013</v>
      </c>
      <c r="K184" s="225"/>
      <c r="L184" s="218" t="s">
        <v>345</v>
      </c>
      <c r="M184" s="217">
        <v>46013</v>
      </c>
      <c r="N184" s="340"/>
      <c r="O184" s="480" t="s">
        <v>1225</v>
      </c>
      <c r="P184" s="9"/>
      <c r="Q184" s="129"/>
      <c r="R184" s="8"/>
      <c r="S184" s="9"/>
      <c r="T184" s="8"/>
      <c r="U184" s="8"/>
      <c r="V184" s="8"/>
      <c r="W184" s="8"/>
      <c r="X184" s="8"/>
      <c r="Y184" s="8"/>
      <c r="Z184" s="9" t="s">
        <v>943</v>
      </c>
      <c r="AA184" s="8"/>
      <c r="AB184" s="9"/>
      <c r="AC184" s="9"/>
      <c r="AD184" s="9"/>
      <c r="AE184" s="9"/>
      <c r="AF184" s="9"/>
      <c r="AG184" s="9"/>
      <c r="AH184" s="9"/>
      <c r="AI184" s="9"/>
      <c r="AJ184" s="225" t="str">
        <f>IF(ISBLANK(Mentor_Connect[[#This Row],[Meeting Date]]),"",Mentor_Connect[[#This Row],[Meeting Date]]-WEEKDAY(Mentor_Connect[[#This Row],[Meeting Date]],2)+1)</f>
        <v/>
      </c>
      <c r="AK184" s="222">
        <f>IF(ISBLANK(Mentor_Connect[[#This Row],[Preferred Mentor Selected On]]),"",Mentor_Connect[[#This Row],[Preferred Mentor Selected On]]-WEEKDAY(Mentor_Connect[[#This Row],[Preferred Mentor Selected On]],2)+1)</f>
        <v>46013</v>
      </c>
    </row>
    <row r="185" spans="1:37" ht="24.6" customHeight="1" x14ac:dyDescent="0.3">
      <c r="A185" s="198" t="s">
        <v>207</v>
      </c>
      <c r="B185" s="251" t="str">
        <f>VLOOKUP(Mentor_Connect[[#This Row],[Venture Name]],[1]!VenturesList[#All],2,FALSE)</f>
        <v>Accelerate Prime</v>
      </c>
      <c r="C185" s="282">
        <f>VLOOKUP(Mentor_Connect[[#This Row],[Venture Name]],[1]!VenturesList[#All],3,FALSE)</f>
        <v>45901</v>
      </c>
      <c r="D185" s="251" t="str">
        <f>VLOOKUP(Mentor_Connect[[#This Row],[Venture Name]],[1]!VenturesList[#All],5,FALSE)</f>
        <v>Ramya</v>
      </c>
      <c r="E185" s="252" t="s">
        <v>950</v>
      </c>
      <c r="F185" s="252" t="s">
        <v>440</v>
      </c>
      <c r="G185" s="253">
        <v>45995</v>
      </c>
      <c r="H185" s="253"/>
      <c r="I185" s="253"/>
      <c r="J185" s="225">
        <v>45901</v>
      </c>
      <c r="K185" s="283"/>
      <c r="L185" s="218" t="s">
        <v>358</v>
      </c>
      <c r="M185" s="217">
        <v>45901</v>
      </c>
      <c r="N185" s="241"/>
      <c r="O185" s="258" t="s">
        <v>1226</v>
      </c>
      <c r="P185" s="260"/>
      <c r="Q185" s="269"/>
      <c r="R185" s="251"/>
      <c r="S185" s="260"/>
      <c r="T185" s="251"/>
      <c r="U185" s="251"/>
      <c r="V185" s="368"/>
      <c r="W185" s="368"/>
      <c r="X185" s="368"/>
      <c r="Y185" s="368"/>
      <c r="Z185" s="260"/>
      <c r="AA185" s="251"/>
      <c r="AB185" s="260"/>
      <c r="AC185" s="260"/>
      <c r="AD185" s="260"/>
      <c r="AE185" s="260"/>
      <c r="AF185" s="260"/>
      <c r="AG185" s="260"/>
      <c r="AH185" s="260"/>
      <c r="AI185" s="9"/>
      <c r="AJ185" s="225" t="str">
        <f>IF(ISBLANK(Mentor_Connect[[#This Row],[Meeting Date]]),"",Mentor_Connect[[#This Row],[Meeting Date]]-WEEKDAY(Mentor_Connect[[#This Row],[Meeting Date]],2)+1)</f>
        <v/>
      </c>
      <c r="AK185" s="222">
        <f>IF(ISBLANK(Mentor_Connect[[#This Row],[Preferred Mentor Selected On]]),"",Mentor_Connect[[#This Row],[Preferred Mentor Selected On]]-WEEKDAY(Mentor_Connect[[#This Row],[Preferred Mentor Selected On]],2)+1)</f>
        <v>45901</v>
      </c>
    </row>
    <row r="186" spans="1:37" ht="24.6" customHeight="1" x14ac:dyDescent="0.3">
      <c r="A186" s="237" t="s">
        <v>263</v>
      </c>
      <c r="B186" s="237" t="str">
        <f>VLOOKUP(Mentor_Connect[[#This Row],[Venture Name]],[1]!VenturesList[#All],2,FALSE)</f>
        <v>Accelerate Core</v>
      </c>
      <c r="C186" s="339">
        <f>VLOOKUP(Mentor_Connect[[#This Row],[Venture Name]],[1]!VenturesList[#All],3,FALSE)</f>
        <v>45901</v>
      </c>
      <c r="D186" s="237" t="str">
        <f>VLOOKUP(Mentor_Connect[[#This Row],[Venture Name]],[1]!VenturesList[#All],5,FALSE)</f>
        <v>Vignesh</v>
      </c>
      <c r="E186" s="238" t="s">
        <v>950</v>
      </c>
      <c r="F186" s="238" t="s">
        <v>440</v>
      </c>
      <c r="G186" s="239">
        <v>46000</v>
      </c>
      <c r="H186" s="461">
        <v>46006</v>
      </c>
      <c r="I186" s="462">
        <v>46006</v>
      </c>
      <c r="J186" s="240">
        <v>45901</v>
      </c>
      <c r="K186" s="240"/>
      <c r="L186" s="253" t="s">
        <v>358</v>
      </c>
      <c r="M186" s="239">
        <v>45901</v>
      </c>
      <c r="N186" s="340"/>
      <c r="O186" s="488" t="s">
        <v>1227</v>
      </c>
      <c r="P186" s="21"/>
      <c r="Q186" s="242"/>
      <c r="R186" s="237"/>
      <c r="S186" s="21"/>
      <c r="T186" s="237"/>
      <c r="U186" s="237"/>
      <c r="V186" s="237"/>
      <c r="W186" s="237"/>
      <c r="X186" s="237"/>
      <c r="Y186" s="237"/>
      <c r="Z186" s="21"/>
      <c r="AA186" s="237"/>
      <c r="AB186" s="21"/>
      <c r="AC186" s="21"/>
      <c r="AD186" s="21"/>
      <c r="AE186" s="21"/>
      <c r="AF186" s="21"/>
      <c r="AG186" s="21"/>
      <c r="AH186" s="21"/>
      <c r="AI186" s="9"/>
      <c r="AJ186" s="225" t="str">
        <f>IF(ISBLANK(Mentor_Connect[[#This Row],[Meeting Date]]),"",Mentor_Connect[[#This Row],[Meeting Date]]-WEEKDAY(Mentor_Connect[[#This Row],[Meeting Date]],2)+1)</f>
        <v/>
      </c>
      <c r="AK186" s="222">
        <f>IF(ISBLANK(Mentor_Connect[[#This Row],[Preferred Mentor Selected On]]),"",Mentor_Connect[[#This Row],[Preferred Mentor Selected On]]-WEEKDAY(Mentor_Connect[[#This Row],[Preferred Mentor Selected On]],2)+1)</f>
        <v>45901</v>
      </c>
    </row>
    <row r="187" spans="1:37" ht="24.6" customHeight="1" x14ac:dyDescent="0.3">
      <c r="A187" s="8" t="s">
        <v>277</v>
      </c>
      <c r="B187" s="8" t="str">
        <f>VLOOKUP(Mentor_Connect[[#This Row],[Venture Name]],[1]!VenturesList[#All],2,FALSE)</f>
        <v>Accelerate Core</v>
      </c>
      <c r="C187" s="223">
        <f>VLOOKUP(Mentor_Connect[[#This Row],[Venture Name]],[1]!VenturesList[#All],3,FALSE)</f>
        <v>45901</v>
      </c>
      <c r="D187" s="8" t="str">
        <f>VLOOKUP(Mentor_Connect[[#This Row],[Venture Name]],[1]!VenturesList[#All],5,FALSE)</f>
        <v>Vignesh</v>
      </c>
      <c r="E187" s="216" t="s">
        <v>950</v>
      </c>
      <c r="F187" s="216" t="s">
        <v>440</v>
      </c>
      <c r="G187" s="217">
        <v>46000</v>
      </c>
      <c r="H187" s="217">
        <v>46006</v>
      </c>
      <c r="I187" s="217">
        <v>46006</v>
      </c>
      <c r="J187" s="225">
        <v>45901</v>
      </c>
      <c r="K187" s="225"/>
      <c r="L187" s="217" t="s">
        <v>358</v>
      </c>
      <c r="M187" s="217">
        <v>45901</v>
      </c>
      <c r="N187" s="20"/>
      <c r="O187" s="454" t="s">
        <v>1228</v>
      </c>
      <c r="P187" s="9"/>
      <c r="Q187" s="129"/>
      <c r="R187" s="8"/>
      <c r="S187" s="9"/>
      <c r="T187" s="8"/>
      <c r="U187" s="8"/>
      <c r="V187" s="8"/>
      <c r="W187" s="8"/>
      <c r="X187" s="8"/>
      <c r="Y187" s="8"/>
      <c r="Z187" s="9"/>
      <c r="AA187" s="8"/>
      <c r="AB187" s="9"/>
      <c r="AC187" s="9"/>
      <c r="AD187" s="9"/>
      <c r="AE187" s="9"/>
      <c r="AF187" s="9"/>
      <c r="AG187" s="9"/>
      <c r="AH187" s="9"/>
      <c r="AI187" s="9"/>
      <c r="AJ187" s="225" t="str">
        <f>IF(ISBLANK(Mentor_Connect[[#This Row],[Meeting Date]]),"",Mentor_Connect[[#This Row],[Meeting Date]]-WEEKDAY(Mentor_Connect[[#This Row],[Meeting Date]],2)+1)</f>
        <v/>
      </c>
      <c r="AK187" s="222">
        <f>IF(ISBLANK(Mentor_Connect[[#This Row],[Preferred Mentor Selected On]]),"",Mentor_Connect[[#This Row],[Preferred Mentor Selected On]]-WEEKDAY(Mentor_Connect[[#This Row],[Preferred Mentor Selected On]],2)+1)</f>
        <v>45901</v>
      </c>
    </row>
    <row r="188" spans="1:37" ht="24.6" customHeight="1" x14ac:dyDescent="0.3">
      <c r="A188" s="8" t="s">
        <v>313</v>
      </c>
      <c r="B188" s="8" t="str">
        <f>VLOOKUP(Mentor_Connect[[#This Row],[Venture Name]],[1]!VenturesList[#All],2,FALSE)</f>
        <v>Accelerate Core</v>
      </c>
      <c r="C188" s="223">
        <f>VLOOKUP(Mentor_Connect[[#This Row],[Venture Name]],[1]!VenturesList[#All],3,FALSE)</f>
        <v>45901</v>
      </c>
      <c r="D188" s="8" t="str">
        <f>VLOOKUP(Mentor_Connect[[#This Row],[Venture Name]],[1]!VenturesList[#All],5,FALSE)</f>
        <v xml:space="preserve">Kedar </v>
      </c>
      <c r="E188" s="216" t="s">
        <v>950</v>
      </c>
      <c r="F188" s="216" t="s">
        <v>436</v>
      </c>
      <c r="G188" s="9"/>
      <c r="H188" s="9"/>
      <c r="I188" s="9"/>
      <c r="J188" s="217">
        <v>45901</v>
      </c>
      <c r="K188" s="225"/>
      <c r="L188" s="217" t="s">
        <v>358</v>
      </c>
      <c r="M188" s="217">
        <v>45901</v>
      </c>
      <c r="N188" s="20"/>
      <c r="O188" s="20"/>
      <c r="P188" s="9"/>
      <c r="Q188" s="129"/>
      <c r="R188" s="8"/>
      <c r="S188" s="9"/>
      <c r="T188" s="8"/>
      <c r="U188" s="8"/>
      <c r="V188" s="8"/>
      <c r="W188" s="8"/>
      <c r="X188" s="8"/>
      <c r="Y188" s="8"/>
      <c r="Z188" s="9"/>
      <c r="AA188" s="8"/>
      <c r="AB188" s="9"/>
      <c r="AC188" s="9"/>
      <c r="AD188" s="9"/>
      <c r="AE188" s="9"/>
      <c r="AF188" s="9"/>
      <c r="AG188" s="9"/>
      <c r="AH188" s="9"/>
      <c r="AI188" s="9"/>
      <c r="AJ188" s="225" t="str">
        <f>IF(ISBLANK(Mentor_Connect[[#This Row],[Meeting Date]]),"",Mentor_Connect[[#This Row],[Meeting Date]]-WEEKDAY(Mentor_Connect[[#This Row],[Meeting Date]],2)+1)</f>
        <v/>
      </c>
      <c r="AK188" s="222">
        <f>IF(ISBLANK(Mentor_Connect[[#This Row],[Preferred Mentor Selected On]]),"",Mentor_Connect[[#This Row],[Preferred Mentor Selected On]]-WEEKDAY(Mentor_Connect[[#This Row],[Preferred Mentor Selected On]],2)+1)</f>
        <v>45901</v>
      </c>
    </row>
    <row r="189" spans="1:37" ht="24.6" customHeight="1" x14ac:dyDescent="0.3">
      <c r="A189" s="8" t="s">
        <v>287</v>
      </c>
      <c r="B189" s="8" t="str">
        <f>VLOOKUP(Mentor_Connect[[#This Row],[Venture Name]],[1]!VenturesList[#All],2,FALSE)</f>
        <v>Accelerate Core</v>
      </c>
      <c r="C189" s="223">
        <f>VLOOKUP(Mentor_Connect[[#This Row],[Venture Name]],[1]!VenturesList[#All],3,FALSE)</f>
        <v>45901</v>
      </c>
      <c r="D189" s="8" t="str">
        <f>VLOOKUP(Mentor_Connect[[#This Row],[Venture Name]],[1]!VenturesList[#All],5,FALSE)</f>
        <v>Vignesh</v>
      </c>
      <c r="E189" s="216" t="s">
        <v>950</v>
      </c>
      <c r="F189" s="216" t="s">
        <v>440</v>
      </c>
      <c r="G189" s="217">
        <v>46000</v>
      </c>
      <c r="H189" s="217">
        <v>46006</v>
      </c>
      <c r="I189" s="217">
        <v>46006</v>
      </c>
      <c r="J189" s="225">
        <v>45901</v>
      </c>
      <c r="K189" s="225"/>
      <c r="L189" s="217" t="s">
        <v>358</v>
      </c>
      <c r="M189" s="217">
        <v>45901</v>
      </c>
      <c r="N189" s="20"/>
      <c r="O189" s="489" t="s">
        <v>985</v>
      </c>
      <c r="P189" s="9"/>
      <c r="Q189" s="129"/>
      <c r="R189" s="8"/>
      <c r="S189" s="9"/>
      <c r="T189" s="8"/>
      <c r="U189" s="8"/>
      <c r="V189" s="8"/>
      <c r="W189" s="8"/>
      <c r="X189" s="8"/>
      <c r="Y189" s="8"/>
      <c r="Z189" s="9"/>
      <c r="AA189" s="8"/>
      <c r="AB189" s="9"/>
      <c r="AC189" s="9"/>
      <c r="AD189" s="9"/>
      <c r="AE189" s="9"/>
      <c r="AF189" s="9"/>
      <c r="AG189" s="9"/>
      <c r="AH189" s="9"/>
      <c r="AI189" s="9"/>
      <c r="AJ189" s="225" t="str">
        <f>IF(ISBLANK(Mentor_Connect[[#This Row],[Meeting Date]]),"",Mentor_Connect[[#This Row],[Meeting Date]]-WEEKDAY(Mentor_Connect[[#This Row],[Meeting Date]],2)+1)</f>
        <v/>
      </c>
      <c r="AK189" s="222">
        <f>IF(ISBLANK(Mentor_Connect[[#This Row],[Preferred Mentor Selected On]]),"",Mentor_Connect[[#This Row],[Preferred Mentor Selected On]]-WEEKDAY(Mentor_Connect[[#This Row],[Preferred Mentor Selected On]],2)+1)</f>
        <v>45901</v>
      </c>
    </row>
    <row r="190" spans="1:37" ht="24.6" customHeight="1" x14ac:dyDescent="0.3">
      <c r="A190" s="8" t="s">
        <v>60</v>
      </c>
      <c r="B190" s="8" t="str">
        <f>VLOOKUP(Mentor_Connect[[#This Row],[Venture Name]],[1]!VenturesList[#All],2,FALSE)</f>
        <v>Accelerate Prime</v>
      </c>
      <c r="C190" s="223">
        <f>VLOOKUP(Mentor_Connect[[#This Row],[Venture Name]],[1]!VenturesList[#All],3,FALSE)</f>
        <v>45901</v>
      </c>
      <c r="D190" s="8" t="str">
        <f>VLOOKUP(Mentor_Connect[[#This Row],[Venture Name]],[1]!VenturesList[#All],5,FALSE)</f>
        <v>Ramya</v>
      </c>
      <c r="E190" s="216" t="s">
        <v>123</v>
      </c>
      <c r="F190" s="216" t="s">
        <v>18</v>
      </c>
      <c r="G190" s="217">
        <v>46000</v>
      </c>
      <c r="H190" s="217"/>
      <c r="I190" s="217"/>
      <c r="J190" s="225">
        <v>46055</v>
      </c>
      <c r="K190" s="225">
        <v>46058</v>
      </c>
      <c r="L190" s="217" t="s">
        <v>345</v>
      </c>
      <c r="M190" s="217">
        <v>45901</v>
      </c>
      <c r="N190" s="20"/>
      <c r="O190" s="6" t="s">
        <v>1229</v>
      </c>
      <c r="P190" s="9"/>
      <c r="Q190" s="129">
        <v>115042911097</v>
      </c>
      <c r="R190" s="231" t="s">
        <v>913</v>
      </c>
      <c r="S190" s="17" t="s">
        <v>477</v>
      </c>
      <c r="T190" s="490" t="s">
        <v>478</v>
      </c>
      <c r="U190" s="52">
        <v>8220043502</v>
      </c>
      <c r="V190" s="2" t="s">
        <v>1104</v>
      </c>
      <c r="W190" s="2"/>
      <c r="X190" s="53" t="s">
        <v>1230</v>
      </c>
      <c r="Y190" s="53" t="s">
        <v>1231</v>
      </c>
      <c r="Z190" s="9" t="s">
        <v>943</v>
      </c>
      <c r="AA190" s="8"/>
      <c r="AB190" s="9"/>
      <c r="AC190" s="9"/>
      <c r="AD190" s="9"/>
      <c r="AE190" s="9"/>
      <c r="AF190" s="9"/>
      <c r="AG190" s="9"/>
      <c r="AH190" s="9"/>
      <c r="AI190" s="9" t="s">
        <v>937</v>
      </c>
      <c r="AJ190" s="225">
        <f>IF(ISBLANK(Mentor_Connect[[#This Row],[Meeting Date]]),"",Mentor_Connect[[#This Row],[Meeting Date]]-WEEKDAY(Mentor_Connect[[#This Row],[Meeting Date]],2)+1)</f>
        <v>46055</v>
      </c>
      <c r="AK190" s="222">
        <f>IF(ISBLANK(Mentor_Connect[[#This Row],[Preferred Mentor Selected On]]),"",Mentor_Connect[[#This Row],[Preferred Mentor Selected On]]-WEEKDAY(Mentor_Connect[[#This Row],[Preferred Mentor Selected On]],2)+1)</f>
        <v>46055</v>
      </c>
    </row>
    <row r="191" spans="1:37" ht="24.6" customHeight="1" x14ac:dyDescent="0.3">
      <c r="A191" s="8" t="s">
        <v>74</v>
      </c>
      <c r="B191" s="8" t="str">
        <f>VLOOKUP(Mentor_Connect[[#This Row],[Venture Name]],[1]!VenturesList[#All],2,FALSE)</f>
        <v>Accelerate Core</v>
      </c>
      <c r="C191" s="223">
        <f>VLOOKUP(Mentor_Connect[[#This Row],[Venture Name]],[1]!VenturesList[#All],3,FALSE)</f>
        <v>45931</v>
      </c>
      <c r="D191" s="8" t="str">
        <f>VLOOKUP(Mentor_Connect[[#This Row],[Venture Name]],[1]!VenturesList[#All],5,FALSE)</f>
        <v>Vignesh</v>
      </c>
      <c r="E191" s="216" t="s">
        <v>124</v>
      </c>
      <c r="F191" s="216" t="s">
        <v>18</v>
      </c>
      <c r="G191" s="217">
        <v>46002</v>
      </c>
      <c r="H191" s="217">
        <v>46007</v>
      </c>
      <c r="I191" s="217">
        <v>46007</v>
      </c>
      <c r="J191" s="225">
        <v>46046</v>
      </c>
      <c r="K191" s="225">
        <v>46049</v>
      </c>
      <c r="L191" s="217" t="s">
        <v>345</v>
      </c>
      <c r="M191" s="217">
        <v>45931</v>
      </c>
      <c r="N191" s="20"/>
      <c r="O191" s="6" t="s">
        <v>1232</v>
      </c>
      <c r="P191" s="9"/>
      <c r="Q191" s="129">
        <v>115056971880</v>
      </c>
      <c r="R191" s="231" t="s">
        <v>913</v>
      </c>
      <c r="S191" s="491" t="s">
        <v>479</v>
      </c>
      <c r="T191" s="30" t="s">
        <v>1233</v>
      </c>
      <c r="U191" s="491">
        <v>9840998220</v>
      </c>
      <c r="V191" s="2" t="s">
        <v>1234</v>
      </c>
      <c r="W191" s="2"/>
      <c r="X191" s="53" t="s">
        <v>1235</v>
      </c>
      <c r="Y191" s="53" t="s">
        <v>1236</v>
      </c>
      <c r="Z191" s="9" t="s">
        <v>943</v>
      </c>
      <c r="AA191" s="8"/>
      <c r="AB191" s="9"/>
      <c r="AC191" s="9"/>
      <c r="AD191" s="9"/>
      <c r="AE191" s="9"/>
      <c r="AF191" s="9"/>
      <c r="AG191" s="9"/>
      <c r="AH191" s="9"/>
      <c r="AI191" s="9" t="s">
        <v>916</v>
      </c>
      <c r="AJ191" s="225">
        <f>IF(ISBLANK(Mentor_Connect[[#This Row],[Meeting Date]]),"",Mentor_Connect[[#This Row],[Meeting Date]]-WEEKDAY(Mentor_Connect[[#This Row],[Meeting Date]],2)+1)</f>
        <v>46048</v>
      </c>
      <c r="AK191" s="222">
        <f>IF(ISBLANK(Mentor_Connect[[#This Row],[Preferred Mentor Selected On]]),"",Mentor_Connect[[#This Row],[Preferred Mentor Selected On]]-WEEKDAY(Mentor_Connect[[#This Row],[Preferred Mentor Selected On]],2)+1)</f>
        <v>46041</v>
      </c>
    </row>
    <row r="192" spans="1:37" ht="24.6" customHeight="1" x14ac:dyDescent="0.3">
      <c r="A192" s="279" t="s">
        <v>12</v>
      </c>
      <c r="B192" s="251" t="str">
        <f>VLOOKUP(Mentor_Connect[[#This Row],[Venture Name]],[1]!VenturesList[#All],2,FALSE)</f>
        <v>Accelerate Core</v>
      </c>
      <c r="C192" s="282">
        <f>VLOOKUP(Mentor_Connect[[#This Row],[Venture Name]],[1]!VenturesList[#All],3,FALSE)</f>
        <v>45839</v>
      </c>
      <c r="D192" s="279" t="str">
        <f>VLOOKUP(Mentor_Connect[[#This Row],[Venture Name]],[1]!VenturesList[#All],5,FALSE)</f>
        <v>Jigar</v>
      </c>
      <c r="E192" s="288" t="s">
        <v>14</v>
      </c>
      <c r="F192" s="252" t="s">
        <v>18</v>
      </c>
      <c r="G192" s="253">
        <v>46003</v>
      </c>
      <c r="H192" s="218">
        <v>45925</v>
      </c>
      <c r="I192" s="253">
        <v>45925</v>
      </c>
      <c r="J192" s="492">
        <v>46018</v>
      </c>
      <c r="K192" s="219">
        <v>46021</v>
      </c>
      <c r="L192" s="218" t="s">
        <v>345</v>
      </c>
      <c r="M192" s="218">
        <v>46018</v>
      </c>
      <c r="N192" s="347"/>
      <c r="O192" s="267"/>
      <c r="P192" s="36"/>
      <c r="Q192" s="149">
        <v>115013186956</v>
      </c>
      <c r="R192" s="279" t="s">
        <v>913</v>
      </c>
      <c r="S192" s="493" t="s">
        <v>1237</v>
      </c>
      <c r="T192" s="494" t="s">
        <v>480</v>
      </c>
      <c r="U192" s="495">
        <v>8347488000</v>
      </c>
      <c r="V192" s="229" t="s">
        <v>1238</v>
      </c>
      <c r="W192" s="43"/>
      <c r="X192" s="271" t="s">
        <v>1239</v>
      </c>
      <c r="Y192" s="271" t="s">
        <v>1240</v>
      </c>
      <c r="Z192" s="260"/>
      <c r="AA192" s="251"/>
      <c r="AB192" s="260"/>
      <c r="AC192" s="260"/>
      <c r="AD192" s="260"/>
      <c r="AE192" s="260"/>
      <c r="AF192" s="260"/>
      <c r="AG192" s="260"/>
      <c r="AH192" s="279" t="s">
        <v>433</v>
      </c>
      <c r="AI192" s="9" t="s">
        <v>916</v>
      </c>
      <c r="AJ192" s="225">
        <f>IF(ISBLANK(Mentor_Connect[[#This Row],[Meeting Date]]),"",Mentor_Connect[[#This Row],[Meeting Date]]-WEEKDAY(Mentor_Connect[[#This Row],[Meeting Date]],2)+1)</f>
        <v>46020</v>
      </c>
      <c r="AK192" s="222">
        <f>IF(ISBLANK(Mentor_Connect[[#This Row],[Preferred Mentor Selected On]]),"",Mentor_Connect[[#This Row],[Preferred Mentor Selected On]]-WEEKDAY(Mentor_Connect[[#This Row],[Preferred Mentor Selected On]],2)+1)</f>
        <v>46013</v>
      </c>
    </row>
    <row r="193" spans="1:37" ht="24.6" customHeight="1" x14ac:dyDescent="0.3">
      <c r="A193" s="8" t="s">
        <v>269</v>
      </c>
      <c r="B193" s="8" t="str">
        <f>VLOOKUP(Mentor_Connect[[#This Row],[Venture Name]],[1]!VenturesList[#All],2,FALSE)</f>
        <v>Accelerate Core</v>
      </c>
      <c r="C193" s="223">
        <f>VLOOKUP(Mentor_Connect[[#This Row],[Venture Name]],[1]!VenturesList[#All],3,FALSE)</f>
        <v>45931</v>
      </c>
      <c r="D193" s="8" t="str">
        <f>VLOOKUP(Mentor_Connect[[#This Row],[Venture Name]],[1]!VenturesList[#All],5,FALSE)</f>
        <v>Vignesh</v>
      </c>
      <c r="E193" s="216" t="s">
        <v>950</v>
      </c>
      <c r="F193" s="216" t="s">
        <v>440</v>
      </c>
      <c r="G193" s="217">
        <v>46003</v>
      </c>
      <c r="H193" s="217">
        <v>46006</v>
      </c>
      <c r="I193" s="217">
        <v>46006</v>
      </c>
      <c r="J193" s="225">
        <v>45931</v>
      </c>
      <c r="K193" s="225"/>
      <c r="L193" s="218" t="s">
        <v>358</v>
      </c>
      <c r="M193" s="217">
        <v>45931</v>
      </c>
      <c r="N193" s="20"/>
      <c r="O193" s="6" t="s">
        <v>1228</v>
      </c>
      <c r="P193" s="9"/>
      <c r="Q193" s="129"/>
      <c r="R193" s="8"/>
      <c r="S193" s="9"/>
      <c r="T193" s="8"/>
      <c r="U193" s="8"/>
      <c r="V193" s="8"/>
      <c r="W193" s="8"/>
      <c r="X193" s="8"/>
      <c r="Y193" s="8"/>
      <c r="Z193" s="9"/>
      <c r="AA193" s="8"/>
      <c r="AB193" s="9"/>
      <c r="AC193" s="9"/>
      <c r="AD193" s="9"/>
      <c r="AE193" s="9"/>
      <c r="AF193" s="9"/>
      <c r="AG193" s="9"/>
      <c r="AH193" s="9"/>
      <c r="AI193" s="9"/>
      <c r="AJ193" s="225" t="str">
        <f>IF(ISBLANK(Mentor_Connect[[#This Row],[Meeting Date]]),"",Mentor_Connect[[#This Row],[Meeting Date]]-WEEKDAY(Mentor_Connect[[#This Row],[Meeting Date]],2)+1)</f>
        <v/>
      </c>
      <c r="AK193" s="222">
        <f>IF(ISBLANK(Mentor_Connect[[#This Row],[Preferred Mentor Selected On]]),"",Mentor_Connect[[#This Row],[Preferred Mentor Selected On]]-WEEKDAY(Mentor_Connect[[#This Row],[Preferred Mentor Selected On]],2)+1)</f>
        <v>45929</v>
      </c>
    </row>
    <row r="194" spans="1:37" ht="24.6" customHeight="1" x14ac:dyDescent="0.3">
      <c r="A194" s="8" t="s">
        <v>36</v>
      </c>
      <c r="B194" s="8" t="str">
        <f>VLOOKUP(Mentor_Connect[[#This Row],[Venture Name]],[1]!VenturesList[#All],2,FALSE)</f>
        <v>Accelerate Prime</v>
      </c>
      <c r="C194" s="223">
        <f>VLOOKUP(Mentor_Connect[[#This Row],[Venture Name]],[1]!VenturesList[#All],3,FALSE)</f>
        <v>45901</v>
      </c>
      <c r="D194" s="8" t="str">
        <f>VLOOKUP(Mentor_Connect[[#This Row],[Venture Name]],[1]!VenturesList[#All],5,FALSE)</f>
        <v>Ramya</v>
      </c>
      <c r="E194" s="3" t="s">
        <v>94</v>
      </c>
      <c r="F194" s="216" t="s">
        <v>18</v>
      </c>
      <c r="G194" s="217">
        <v>46003</v>
      </c>
      <c r="H194" s="217"/>
      <c r="I194" s="217"/>
      <c r="J194" s="225">
        <v>46000</v>
      </c>
      <c r="K194" s="220">
        <v>46046</v>
      </c>
      <c r="L194" s="218" t="s">
        <v>345</v>
      </c>
      <c r="M194" s="217">
        <v>46000</v>
      </c>
      <c r="N194" s="20" t="s">
        <v>1241</v>
      </c>
      <c r="O194" s="480" t="s">
        <v>1242</v>
      </c>
      <c r="P194" s="9"/>
      <c r="Q194" s="127">
        <v>115029706380</v>
      </c>
      <c r="R194" s="231" t="s">
        <v>913</v>
      </c>
      <c r="S194" s="491" t="s">
        <v>481</v>
      </c>
      <c r="T194" s="233" t="s">
        <v>482</v>
      </c>
      <c r="U194" s="491">
        <v>8789731953</v>
      </c>
      <c r="V194" s="2" t="s">
        <v>1243</v>
      </c>
      <c r="W194" s="2"/>
      <c r="X194" s="53" t="s">
        <v>1244</v>
      </c>
      <c r="Y194" s="53" t="s">
        <v>1245</v>
      </c>
      <c r="Z194" s="9" t="s">
        <v>943</v>
      </c>
      <c r="AA194" s="8"/>
      <c r="AB194" s="9"/>
      <c r="AC194" s="9"/>
      <c r="AD194" s="9"/>
      <c r="AE194" s="9"/>
      <c r="AF194" s="9"/>
      <c r="AG194" s="9"/>
      <c r="AH194" s="9"/>
      <c r="AI194" s="9" t="s">
        <v>937</v>
      </c>
      <c r="AJ194" s="225">
        <f>IF(ISBLANK(Mentor_Connect[[#This Row],[Meeting Date]]),"",Mentor_Connect[[#This Row],[Meeting Date]]-WEEKDAY(Mentor_Connect[[#This Row],[Meeting Date]],2)+1)</f>
        <v>46041</v>
      </c>
      <c r="AK194" s="222">
        <f>IF(ISBLANK(Mentor_Connect[[#This Row],[Preferred Mentor Selected On]]),"",Mentor_Connect[[#This Row],[Preferred Mentor Selected On]]-WEEKDAY(Mentor_Connect[[#This Row],[Preferred Mentor Selected On]],2)+1)</f>
        <v>45999</v>
      </c>
    </row>
    <row r="195" spans="1:37" ht="24.6" customHeight="1" x14ac:dyDescent="0.3">
      <c r="A195" s="8" t="s">
        <v>36</v>
      </c>
      <c r="B195" s="8" t="str">
        <f>VLOOKUP(Mentor_Connect[[#This Row],[Venture Name]],[1]!VenturesList[#All],2,FALSE)</f>
        <v>Accelerate Prime</v>
      </c>
      <c r="C195" s="223">
        <f>VLOOKUP(Mentor_Connect[[#This Row],[Venture Name]],[1]!VenturesList[#All],3,FALSE)</f>
        <v>45901</v>
      </c>
      <c r="D195" s="8" t="str">
        <f>VLOOKUP(Mentor_Connect[[#This Row],[Venture Name]],[1]!VenturesList[#All],5,FALSE)</f>
        <v>Ramya</v>
      </c>
      <c r="E195" s="216" t="s">
        <v>950</v>
      </c>
      <c r="F195" s="216" t="s">
        <v>439</v>
      </c>
      <c r="G195" s="217">
        <v>46003</v>
      </c>
      <c r="H195" s="217"/>
      <c r="I195" s="217"/>
      <c r="J195" s="225">
        <v>46000</v>
      </c>
      <c r="K195" s="225"/>
      <c r="L195" s="218" t="s">
        <v>345</v>
      </c>
      <c r="M195" s="217">
        <v>46000</v>
      </c>
      <c r="N195" s="20"/>
      <c r="O195" s="6" t="s">
        <v>1246</v>
      </c>
      <c r="P195" s="9"/>
      <c r="Q195" s="129"/>
      <c r="R195" s="8"/>
      <c r="S195" s="9"/>
      <c r="T195" s="8"/>
      <c r="U195" s="8"/>
      <c r="V195" s="8"/>
      <c r="W195" s="8"/>
      <c r="X195" s="8"/>
      <c r="Y195" s="8"/>
      <c r="Z195" s="9"/>
      <c r="AA195" s="8"/>
      <c r="AB195" s="9"/>
      <c r="AC195" s="9"/>
      <c r="AD195" s="9"/>
      <c r="AE195" s="9"/>
      <c r="AF195" s="9"/>
      <c r="AG195" s="9"/>
      <c r="AH195" s="9"/>
      <c r="AI195" s="9"/>
      <c r="AJ195" s="225" t="str">
        <f>IF(ISBLANK(Mentor_Connect[[#This Row],[Meeting Date]]),"",Mentor_Connect[[#This Row],[Meeting Date]]-WEEKDAY(Mentor_Connect[[#This Row],[Meeting Date]],2)+1)</f>
        <v/>
      </c>
      <c r="AK195" s="222">
        <f>IF(ISBLANK(Mentor_Connect[[#This Row],[Preferred Mentor Selected On]]),"",Mentor_Connect[[#This Row],[Preferred Mentor Selected On]]-WEEKDAY(Mentor_Connect[[#This Row],[Preferred Mentor Selected On]],2)+1)</f>
        <v>45999</v>
      </c>
    </row>
    <row r="196" spans="1:37" ht="24.6" customHeight="1" x14ac:dyDescent="0.3">
      <c r="A196" s="8" t="s">
        <v>293</v>
      </c>
      <c r="B196" s="8" t="str">
        <f>VLOOKUP(Mentor_Connect[[#This Row],[Venture Name]],[1]!VenturesList[#All],2,FALSE)</f>
        <v>Accelerate Core</v>
      </c>
      <c r="C196" s="223">
        <f>VLOOKUP(Mentor_Connect[[#This Row],[Venture Name]],[1]!VenturesList[#All],3,FALSE)</f>
        <v>45931</v>
      </c>
      <c r="D196" s="8" t="str">
        <f>VLOOKUP(Mentor_Connect[[#This Row],[Venture Name]],[1]!VenturesList[#All],5,FALSE)</f>
        <v>Vignesh</v>
      </c>
      <c r="E196" s="216" t="s">
        <v>14</v>
      </c>
      <c r="F196" s="216" t="s">
        <v>444</v>
      </c>
      <c r="G196" s="217">
        <v>46003</v>
      </c>
      <c r="H196" s="217">
        <v>46003</v>
      </c>
      <c r="I196" s="217">
        <v>46003</v>
      </c>
      <c r="J196" s="225">
        <v>46010</v>
      </c>
      <c r="K196" s="225"/>
      <c r="L196" s="218" t="s">
        <v>345</v>
      </c>
      <c r="M196" s="217">
        <v>46010</v>
      </c>
      <c r="N196" s="20"/>
      <c r="O196" s="6" t="s">
        <v>1247</v>
      </c>
      <c r="P196" s="9"/>
      <c r="Q196" s="129"/>
      <c r="R196" s="8"/>
      <c r="S196" s="9"/>
      <c r="T196" s="8"/>
      <c r="U196" s="8"/>
      <c r="V196" s="8"/>
      <c r="W196" s="8"/>
      <c r="X196" s="8"/>
      <c r="Y196" s="8"/>
      <c r="Z196" s="9" t="s">
        <v>943</v>
      </c>
      <c r="AA196" s="8"/>
      <c r="AB196" s="9"/>
      <c r="AC196" s="9"/>
      <c r="AD196" s="9"/>
      <c r="AE196" s="9"/>
      <c r="AF196" s="9"/>
      <c r="AG196" s="9"/>
      <c r="AH196" s="9"/>
      <c r="AI196" s="9"/>
      <c r="AJ196" s="225" t="str">
        <f>IF(ISBLANK(Mentor_Connect[[#This Row],[Meeting Date]]),"",Mentor_Connect[[#This Row],[Meeting Date]]-WEEKDAY(Mentor_Connect[[#This Row],[Meeting Date]],2)+1)</f>
        <v/>
      </c>
      <c r="AK196" s="222">
        <f>IF(ISBLANK(Mentor_Connect[[#This Row],[Preferred Mentor Selected On]]),"",Mentor_Connect[[#This Row],[Preferred Mentor Selected On]]-WEEKDAY(Mentor_Connect[[#This Row],[Preferred Mentor Selected On]],2)+1)</f>
        <v>46006</v>
      </c>
    </row>
    <row r="197" spans="1:37" ht="24.6" customHeight="1" x14ac:dyDescent="0.3">
      <c r="A197" s="8" t="s">
        <v>293</v>
      </c>
      <c r="B197" s="8" t="str">
        <f>VLOOKUP(Mentor_Connect[[#This Row],[Venture Name]],[1]!VenturesList[#All],2,FALSE)</f>
        <v>Accelerate Core</v>
      </c>
      <c r="C197" s="223">
        <f>VLOOKUP(Mentor_Connect[[#This Row],[Venture Name]],[1]!VenturesList[#All],3,FALSE)</f>
        <v>45931</v>
      </c>
      <c r="D197" s="8" t="str">
        <f>VLOOKUP(Mentor_Connect[[#This Row],[Venture Name]],[1]!VenturesList[#All],5,FALSE)</f>
        <v>Vignesh</v>
      </c>
      <c r="E197" s="216" t="s">
        <v>483</v>
      </c>
      <c r="F197" s="216" t="s">
        <v>444</v>
      </c>
      <c r="G197" s="253">
        <v>46003</v>
      </c>
      <c r="H197" s="217">
        <v>46003</v>
      </c>
      <c r="I197" s="217">
        <v>46003</v>
      </c>
      <c r="J197" s="225">
        <v>46010</v>
      </c>
      <c r="K197" s="225"/>
      <c r="L197" s="217" t="s">
        <v>345</v>
      </c>
      <c r="M197" s="217">
        <v>46010</v>
      </c>
      <c r="N197" s="20"/>
      <c r="O197" s="159" t="s">
        <v>1248</v>
      </c>
      <c r="P197" s="9"/>
      <c r="Q197" s="129"/>
      <c r="R197" s="8"/>
      <c r="S197" s="9"/>
      <c r="T197" s="8"/>
      <c r="U197" s="8"/>
      <c r="V197" s="8"/>
      <c r="W197" s="8"/>
      <c r="X197" s="8"/>
      <c r="Y197" s="8"/>
      <c r="Z197" s="9"/>
      <c r="AA197" s="8"/>
      <c r="AB197" s="9"/>
      <c r="AC197" s="9"/>
      <c r="AD197" s="9"/>
      <c r="AE197" s="9"/>
      <c r="AF197" s="9"/>
      <c r="AG197" s="9"/>
      <c r="AH197" s="9"/>
      <c r="AI197" s="9"/>
      <c r="AJ197" s="225" t="str">
        <f>IF(ISBLANK(Mentor_Connect[[#This Row],[Meeting Date]]),"",Mentor_Connect[[#This Row],[Meeting Date]]-WEEKDAY(Mentor_Connect[[#This Row],[Meeting Date]],2)+1)</f>
        <v/>
      </c>
      <c r="AK197" s="222">
        <f>IF(ISBLANK(Mentor_Connect[[#This Row],[Preferred Mentor Selected On]]),"",Mentor_Connect[[#This Row],[Preferred Mentor Selected On]]-WEEKDAY(Mentor_Connect[[#This Row],[Preferred Mentor Selected On]],2)+1)</f>
        <v>46006</v>
      </c>
    </row>
    <row r="198" spans="1:37" ht="24.6" customHeight="1" x14ac:dyDescent="0.3">
      <c r="A198" s="237" t="s">
        <v>61</v>
      </c>
      <c r="B198" s="237" t="str">
        <f>VLOOKUP(Mentor_Connect[[#This Row],[Venture Name]],[1]!VenturesList[#All],2,FALSE)</f>
        <v>Accelerate Core</v>
      </c>
      <c r="C198" s="339">
        <f>VLOOKUP(Mentor_Connect[[#This Row],[Venture Name]],[1]!VenturesList[#All],3,FALSE)</f>
        <v>45931</v>
      </c>
      <c r="D198" s="237" t="str">
        <f>VLOOKUP(Mentor_Connect[[#This Row],[Venture Name]],[1]!VenturesList[#All],5,FALSE)</f>
        <v>Jigar</v>
      </c>
      <c r="E198" s="238" t="s">
        <v>108</v>
      </c>
      <c r="F198" s="252" t="s">
        <v>18</v>
      </c>
      <c r="G198" s="253">
        <v>46003</v>
      </c>
      <c r="H198" s="461">
        <v>46003</v>
      </c>
      <c r="I198" s="496">
        <v>46003</v>
      </c>
      <c r="J198" s="240">
        <v>46065</v>
      </c>
      <c r="K198" s="240">
        <v>46122</v>
      </c>
      <c r="L198" s="239" t="s">
        <v>358</v>
      </c>
      <c r="M198" s="239">
        <v>45931</v>
      </c>
      <c r="N198" s="241"/>
      <c r="O198" s="258" t="s">
        <v>1249</v>
      </c>
      <c r="P198" s="25" t="s">
        <v>1250</v>
      </c>
      <c r="Q198" s="242"/>
      <c r="R198" s="237" t="s">
        <v>1114</v>
      </c>
      <c r="S198" s="21"/>
      <c r="T198" s="237"/>
      <c r="U198" s="237">
        <v>9909906212</v>
      </c>
      <c r="V198" s="38" t="s">
        <v>1251</v>
      </c>
      <c r="W198" s="38"/>
      <c r="X198" s="26" t="s">
        <v>1252</v>
      </c>
      <c r="Y198" s="26" t="s">
        <v>1253</v>
      </c>
      <c r="Z198" s="21" t="s">
        <v>966</v>
      </c>
      <c r="AA198" s="237"/>
      <c r="AB198" s="21"/>
      <c r="AC198" s="21"/>
      <c r="AD198" s="21"/>
      <c r="AE198" s="21"/>
      <c r="AF198" s="21"/>
      <c r="AG198" s="21"/>
      <c r="AH198" s="21"/>
      <c r="AI198" s="9" t="s">
        <v>916</v>
      </c>
      <c r="AJ198" s="225">
        <f>IF(ISBLANK(Mentor_Connect[[#This Row],[Meeting Date]]),"",Mentor_Connect[[#This Row],[Meeting Date]]-WEEKDAY(Mentor_Connect[[#This Row],[Meeting Date]],2)+1)</f>
        <v>46118</v>
      </c>
      <c r="AK198" s="222">
        <f>IF(ISBLANK(Mentor_Connect[[#This Row],[Preferred Mentor Selected On]]),"",Mentor_Connect[[#This Row],[Preferred Mentor Selected On]]-WEEKDAY(Mentor_Connect[[#This Row],[Preferred Mentor Selected On]],2)+1)</f>
        <v>46062</v>
      </c>
    </row>
    <row r="199" spans="1:37" ht="24.6" customHeight="1" x14ac:dyDescent="0.3">
      <c r="A199" s="8" t="s">
        <v>36</v>
      </c>
      <c r="B199" s="8" t="str">
        <f>VLOOKUP(Mentor_Connect[[#This Row],[Venture Name]],[1]!VenturesList[#All],2,FALSE)</f>
        <v>Accelerate Prime</v>
      </c>
      <c r="C199" s="223">
        <f>VLOOKUP(Mentor_Connect[[#This Row],[Venture Name]],[1]!VenturesList[#All],3,FALSE)</f>
        <v>45901</v>
      </c>
      <c r="D199" s="8" t="str">
        <f>VLOOKUP(Mentor_Connect[[#This Row],[Venture Name]],[1]!VenturesList[#All],5,FALSE)</f>
        <v>Ramya</v>
      </c>
      <c r="E199" s="216" t="s">
        <v>87</v>
      </c>
      <c r="F199" s="216" t="s">
        <v>18</v>
      </c>
      <c r="G199" s="217">
        <v>46003</v>
      </c>
      <c r="H199" s="217"/>
      <c r="I199" s="217"/>
      <c r="J199" s="225">
        <v>46000</v>
      </c>
      <c r="K199" s="225">
        <v>46014</v>
      </c>
      <c r="L199" s="217" t="s">
        <v>345</v>
      </c>
      <c r="M199" s="217">
        <v>46000</v>
      </c>
      <c r="N199" s="6" t="s">
        <v>1254</v>
      </c>
      <c r="O199" s="6" t="s">
        <v>1255</v>
      </c>
      <c r="P199" s="9"/>
      <c r="Q199" s="129">
        <v>115012177987</v>
      </c>
      <c r="R199" s="2" t="s">
        <v>913</v>
      </c>
      <c r="S199" s="491" t="s">
        <v>481</v>
      </c>
      <c r="T199" s="233" t="s">
        <v>482</v>
      </c>
      <c r="U199" s="497">
        <v>8789731953</v>
      </c>
      <c r="V199" s="2" t="s">
        <v>1011</v>
      </c>
      <c r="W199" s="2"/>
      <c r="X199" s="53" t="s">
        <v>1256</v>
      </c>
      <c r="Y199" s="53" t="s">
        <v>1257</v>
      </c>
      <c r="Z199" s="9"/>
      <c r="AA199" s="279" t="s">
        <v>441</v>
      </c>
      <c r="AB199" s="217">
        <v>46041</v>
      </c>
      <c r="AC199" s="253">
        <v>46121</v>
      </c>
      <c r="AD199" s="253">
        <v>46121</v>
      </c>
      <c r="AE199" s="253">
        <v>46125</v>
      </c>
      <c r="AF199" s="253"/>
      <c r="AG199" s="217" t="s">
        <v>448</v>
      </c>
      <c r="AH199" s="292" t="s">
        <v>443</v>
      </c>
      <c r="AI199" s="9" t="s">
        <v>937</v>
      </c>
      <c r="AJ199" s="225">
        <f>IF(ISBLANK(Mentor_Connect[[#This Row],[Meeting Date]]),"",Mentor_Connect[[#This Row],[Meeting Date]]-WEEKDAY(Mentor_Connect[[#This Row],[Meeting Date]],2)+1)</f>
        <v>46013</v>
      </c>
      <c r="AK199" s="222">
        <f>IF(ISBLANK(Mentor_Connect[[#This Row],[Preferred Mentor Selected On]]),"",Mentor_Connect[[#This Row],[Preferred Mentor Selected On]]-WEEKDAY(Mentor_Connect[[#This Row],[Preferred Mentor Selected On]],2)+1)</f>
        <v>45999</v>
      </c>
    </row>
    <row r="200" spans="1:37" ht="24.6" customHeight="1" x14ac:dyDescent="0.3">
      <c r="A200" s="8" t="s">
        <v>47</v>
      </c>
      <c r="B200" s="277" t="str">
        <f>VLOOKUP(Mentor_Connect[[#This Row],[Venture Name]],[1]!VenturesList[#All],2,FALSE)</f>
        <v>Accelerate Core</v>
      </c>
      <c r="C200" s="463">
        <f>VLOOKUP(Mentor_Connect[[#This Row],[Venture Name]],[1]!VenturesList[#All],3,FALSE)</f>
        <v>45839</v>
      </c>
      <c r="D200" s="277" t="str">
        <f>VLOOKUP(Mentor_Connect[[#This Row],[Venture Name]],[1]!VenturesList[#All],5,FALSE)</f>
        <v>Vignesh</v>
      </c>
      <c r="E200" s="313" t="s">
        <v>125</v>
      </c>
      <c r="F200" s="313" t="s">
        <v>18</v>
      </c>
      <c r="G200" s="217">
        <v>46003</v>
      </c>
      <c r="H200" s="217"/>
      <c r="I200" s="217"/>
      <c r="J200" s="225">
        <v>46021</v>
      </c>
      <c r="K200" s="498">
        <v>46024</v>
      </c>
      <c r="L200" s="217" t="s">
        <v>345</v>
      </c>
      <c r="M200" s="217">
        <v>46021</v>
      </c>
      <c r="N200" s="20"/>
      <c r="O200" s="499" t="s">
        <v>1258</v>
      </c>
      <c r="P200" s="5"/>
      <c r="Q200" s="10"/>
      <c r="R200" s="2" t="s">
        <v>989</v>
      </c>
      <c r="S200" s="29" t="s">
        <v>324</v>
      </c>
      <c r="T200" s="29" t="s">
        <v>325</v>
      </c>
      <c r="U200" s="29">
        <v>9995698162</v>
      </c>
      <c r="V200" s="42" t="s">
        <v>1259</v>
      </c>
      <c r="W200" s="42"/>
      <c r="X200" s="53" t="s">
        <v>1260</v>
      </c>
      <c r="Y200" s="53" t="s">
        <v>1261</v>
      </c>
      <c r="Z200" s="9"/>
      <c r="AA200" s="8"/>
      <c r="AB200" s="9"/>
      <c r="AC200" s="9"/>
      <c r="AD200" s="9"/>
      <c r="AE200" s="9"/>
      <c r="AF200" s="9"/>
      <c r="AG200" s="9"/>
      <c r="AH200" s="9"/>
      <c r="AI200" s="9" t="s">
        <v>916</v>
      </c>
      <c r="AJ200" s="225">
        <f>IF(ISBLANK(Mentor_Connect[[#This Row],[Meeting Date]]),"",Mentor_Connect[[#This Row],[Meeting Date]]-WEEKDAY(Mentor_Connect[[#This Row],[Meeting Date]],2)+1)</f>
        <v>46020</v>
      </c>
      <c r="AK200" s="222">
        <f>IF(ISBLANK(Mentor_Connect[[#This Row],[Preferred Mentor Selected On]]),"",Mentor_Connect[[#This Row],[Preferred Mentor Selected On]]-WEEKDAY(Mentor_Connect[[#This Row],[Preferred Mentor Selected On]],2)+1)</f>
        <v>46020</v>
      </c>
    </row>
    <row r="201" spans="1:37" ht="24.6" customHeight="1" x14ac:dyDescent="0.3">
      <c r="A201" s="366" t="s">
        <v>240</v>
      </c>
      <c r="B201" s="500" t="str">
        <f>VLOOKUP(Mentor_Connect[[#This Row],[Venture Name]],[1]!VenturesList[#All],2,FALSE)</f>
        <v>Accelerate Core</v>
      </c>
      <c r="C201" s="501">
        <f>VLOOKUP(Mentor_Connect[[#This Row],[Venture Name]],[1]!VenturesList[#All],3,FALSE)</f>
        <v>45901</v>
      </c>
      <c r="D201" s="251" t="str">
        <f>VLOOKUP(Mentor_Connect[[#This Row],[Venture Name]],[1]!VenturesList[#All],5,FALSE)</f>
        <v>Satabdi Pratikshya</v>
      </c>
      <c r="E201" s="502"/>
      <c r="F201" s="252" t="s">
        <v>434</v>
      </c>
      <c r="G201" s="260"/>
      <c r="H201" s="260"/>
      <c r="I201" s="260"/>
      <c r="J201" s="260"/>
      <c r="K201" s="283"/>
      <c r="L201" s="253"/>
      <c r="M201" s="253"/>
      <c r="N201" s="267"/>
      <c r="O201" s="267"/>
      <c r="P201" s="260"/>
      <c r="Q201" s="269"/>
      <c r="R201" s="251"/>
      <c r="S201" s="260"/>
      <c r="T201" s="251"/>
      <c r="U201" s="251"/>
      <c r="V201" s="251"/>
      <c r="W201" s="251"/>
      <c r="X201" s="251"/>
      <c r="Y201" s="251"/>
      <c r="Z201" s="260"/>
      <c r="AA201" s="251"/>
      <c r="AB201" s="260"/>
      <c r="AC201" s="260"/>
      <c r="AD201" s="260"/>
      <c r="AE201" s="260"/>
      <c r="AF201" s="260"/>
      <c r="AG201" s="260"/>
      <c r="AH201" s="260"/>
      <c r="AI201" s="9"/>
      <c r="AJ201" s="225" t="str">
        <f>IF(ISBLANK(Mentor_Connect[[#This Row],[Meeting Date]]),"",Mentor_Connect[[#This Row],[Meeting Date]]-WEEKDAY(Mentor_Connect[[#This Row],[Meeting Date]],2)+1)</f>
        <v/>
      </c>
      <c r="AK201" s="222" t="str">
        <f>IF(ISBLANK(Mentor_Connect[[#This Row],[Preferred Mentor Selected On]]),"",Mentor_Connect[[#This Row],[Preferred Mentor Selected On]]-WEEKDAY(Mentor_Connect[[#This Row],[Preferred Mentor Selected On]],2)+1)</f>
        <v/>
      </c>
    </row>
    <row r="202" spans="1:37" ht="24.6" customHeight="1" x14ac:dyDescent="0.3">
      <c r="A202" s="8" t="s">
        <v>188</v>
      </c>
      <c r="B202" s="8" t="str">
        <f>VLOOKUP(Mentor_Connect[[#This Row],[Venture Name]],[1]!VenturesList[#All],2,FALSE)</f>
        <v>Accelerate Prime</v>
      </c>
      <c r="C202" s="223">
        <f>VLOOKUP(Mentor_Connect[[#This Row],[Venture Name]],[1]!VenturesList[#All],3,FALSE)</f>
        <v>45870</v>
      </c>
      <c r="D202" s="8" t="str">
        <f>VLOOKUP(Mentor_Connect[[#This Row],[Venture Name]],[1]!VenturesList[#All],5,FALSE)</f>
        <v>Kedar</v>
      </c>
      <c r="E202" s="216"/>
      <c r="F202" s="216" t="s">
        <v>449</v>
      </c>
      <c r="G202" s="9"/>
      <c r="H202" s="9"/>
      <c r="I202" s="9"/>
      <c r="J202" s="217"/>
      <c r="K202" s="225"/>
      <c r="L202" s="217"/>
      <c r="M202" s="217"/>
      <c r="N202" s="20"/>
      <c r="O202" s="7" t="s">
        <v>1262</v>
      </c>
      <c r="P202" s="9"/>
      <c r="Q202" s="129"/>
      <c r="R202" s="8"/>
      <c r="S202" s="9"/>
      <c r="T202" s="8"/>
      <c r="U202" s="8"/>
      <c r="V202" s="8"/>
      <c r="W202" s="8"/>
      <c r="X202" s="8"/>
      <c r="Y202" s="8"/>
      <c r="Z202" s="9"/>
      <c r="AA202" s="8"/>
      <c r="AB202" s="9"/>
      <c r="AC202" s="9"/>
      <c r="AD202" s="9"/>
      <c r="AE202" s="9"/>
      <c r="AF202" s="9"/>
      <c r="AG202" s="9"/>
      <c r="AH202" s="9"/>
      <c r="AI202" s="9"/>
      <c r="AJ202" s="225" t="str">
        <f>IF(ISBLANK(Mentor_Connect[[#This Row],[Meeting Date]]),"",Mentor_Connect[[#This Row],[Meeting Date]]-WEEKDAY(Mentor_Connect[[#This Row],[Meeting Date]],2)+1)</f>
        <v/>
      </c>
      <c r="AK202" s="222" t="str">
        <f>IF(ISBLANK(Mentor_Connect[[#This Row],[Preferred Mentor Selected On]]),"",Mentor_Connect[[#This Row],[Preferred Mentor Selected On]]-WEEKDAY(Mentor_Connect[[#This Row],[Preferred Mentor Selected On]],2)+1)</f>
        <v/>
      </c>
    </row>
    <row r="203" spans="1:37" ht="24.6" customHeight="1" x14ac:dyDescent="0.3">
      <c r="A203" s="8" t="s">
        <v>47</v>
      </c>
      <c r="B203" s="8" t="str">
        <f>VLOOKUP(Mentor_Connect[[#This Row],[Venture Name]],[1]!VenturesList[#All],2,FALSE)</f>
        <v>Accelerate Core</v>
      </c>
      <c r="C203" s="223">
        <f>VLOOKUP(Mentor_Connect[[#This Row],[Venture Name]],[1]!VenturesList[#All],3,FALSE)</f>
        <v>45839</v>
      </c>
      <c r="D203" s="8" t="str">
        <f>VLOOKUP(Mentor_Connect[[#This Row],[Venture Name]],[1]!VenturesList[#All],5,FALSE)</f>
        <v>Vignesh</v>
      </c>
      <c r="E203" s="216"/>
      <c r="F203" s="216" t="s">
        <v>440</v>
      </c>
      <c r="G203" s="217">
        <v>46003</v>
      </c>
      <c r="H203" s="217"/>
      <c r="I203" s="217"/>
      <c r="J203" s="225">
        <v>46021</v>
      </c>
      <c r="K203" s="225"/>
      <c r="L203" s="217" t="s">
        <v>345</v>
      </c>
      <c r="M203" s="217">
        <v>46021</v>
      </c>
      <c r="N203" s="20"/>
      <c r="O203" s="159" t="s">
        <v>1263</v>
      </c>
      <c r="P203" s="9"/>
      <c r="Q203" s="129"/>
      <c r="R203" s="8"/>
      <c r="S203" s="9"/>
      <c r="T203" s="8"/>
      <c r="U203" s="8"/>
      <c r="V203" s="8"/>
      <c r="W203" s="8"/>
      <c r="X203" s="8"/>
      <c r="Y203" s="8"/>
      <c r="Z203" s="9"/>
      <c r="AA203" s="8"/>
      <c r="AB203" s="9"/>
      <c r="AC203" s="9"/>
      <c r="AD203" s="9"/>
      <c r="AE203" s="9"/>
      <c r="AF203" s="9"/>
      <c r="AG203" s="9"/>
      <c r="AH203" s="9"/>
      <c r="AI203" s="9"/>
      <c r="AJ203" s="225" t="str">
        <f>IF(ISBLANK(Mentor_Connect[[#This Row],[Meeting Date]]),"",Mentor_Connect[[#This Row],[Meeting Date]]-WEEKDAY(Mentor_Connect[[#This Row],[Meeting Date]],2)+1)</f>
        <v/>
      </c>
      <c r="AK203" s="222">
        <f>IF(ISBLANK(Mentor_Connect[[#This Row],[Preferred Mentor Selected On]]),"",Mentor_Connect[[#This Row],[Preferred Mentor Selected On]]-WEEKDAY(Mentor_Connect[[#This Row],[Preferred Mentor Selected On]],2)+1)</f>
        <v>46020</v>
      </c>
    </row>
    <row r="204" spans="1:37" ht="24.6" customHeight="1" x14ac:dyDescent="0.3">
      <c r="A204" s="279" t="s">
        <v>292</v>
      </c>
      <c r="B204" s="503" t="str">
        <f>VLOOKUP(Mentor_Connect[[#This Row],[Venture Name]],[1]!VenturesList[#All],2,FALSE)</f>
        <v>Accelerate Core</v>
      </c>
      <c r="C204" s="504">
        <f>VLOOKUP(Mentor_Connect[[#This Row],[Venture Name]],[1]!VenturesList[#All],3,FALSE)</f>
        <v>45931</v>
      </c>
      <c r="D204" s="279" t="str">
        <f>VLOOKUP(Mentor_Connect[[#This Row],[Venture Name]],[1]!VenturesList[#All],5,FALSE)</f>
        <v xml:space="preserve">Kedar </v>
      </c>
      <c r="E204" s="505" t="s">
        <v>950</v>
      </c>
      <c r="F204" s="288" t="s">
        <v>440</v>
      </c>
      <c r="G204" s="218">
        <v>46004</v>
      </c>
      <c r="H204" s="407">
        <v>46035</v>
      </c>
      <c r="I204" s="506">
        <v>46036</v>
      </c>
      <c r="J204" s="219">
        <v>45931</v>
      </c>
      <c r="K204" s="219"/>
      <c r="L204" s="218" t="s">
        <v>358</v>
      </c>
      <c r="M204" s="218">
        <v>45931</v>
      </c>
      <c r="N204" s="347"/>
      <c r="O204" s="290" t="s">
        <v>1264</v>
      </c>
      <c r="P204" s="36"/>
      <c r="Q204" s="149"/>
      <c r="R204" s="279"/>
      <c r="S204" s="36"/>
      <c r="T204" s="279"/>
      <c r="U204" s="279"/>
      <c r="V204" s="279"/>
      <c r="W204" s="279"/>
      <c r="X204" s="279"/>
      <c r="Y204" s="279"/>
      <c r="Z204" s="36"/>
      <c r="AA204" s="279"/>
      <c r="AB204" s="36"/>
      <c r="AC204" s="36"/>
      <c r="AD204" s="36"/>
      <c r="AE204" s="36"/>
      <c r="AF204" s="36"/>
      <c r="AG204" s="36"/>
      <c r="AH204" s="36"/>
      <c r="AI204" s="9"/>
      <c r="AJ204" s="225" t="str">
        <f>IF(ISBLANK(Mentor_Connect[[#This Row],[Meeting Date]]),"",Mentor_Connect[[#This Row],[Meeting Date]]-WEEKDAY(Mentor_Connect[[#This Row],[Meeting Date]],2)+1)</f>
        <v/>
      </c>
      <c r="AK204" s="222">
        <f>IF(ISBLANK(Mentor_Connect[[#This Row],[Preferred Mentor Selected On]]),"",Mentor_Connect[[#This Row],[Preferred Mentor Selected On]]-WEEKDAY(Mentor_Connect[[#This Row],[Preferred Mentor Selected On]],2)+1)</f>
        <v>45929</v>
      </c>
    </row>
    <row r="205" spans="1:37" ht="24.6" customHeight="1" x14ac:dyDescent="0.3">
      <c r="A205" s="231" t="s">
        <v>242</v>
      </c>
      <c r="B205" s="507" t="str">
        <f>VLOOKUP(Mentor_Connect[[#This Row],[Venture Name]],[1]!VenturesList[#All],2,FALSE)</f>
        <v>Accelerate Core</v>
      </c>
      <c r="C205" s="508"/>
      <c r="D205" s="8" t="str">
        <f>VLOOKUP(Mentor_Connect[[#This Row],[Venture Name]],[1]!VenturesList[#All],5,FALSE)</f>
        <v>Satabdi Pratikshya</v>
      </c>
      <c r="E205" s="509"/>
      <c r="F205" s="216" t="s">
        <v>434</v>
      </c>
      <c r="G205" s="9"/>
      <c r="H205" s="9"/>
      <c r="I205" s="9"/>
      <c r="J205" s="9"/>
      <c r="K205" s="225"/>
      <c r="L205" s="217"/>
      <c r="M205" s="217"/>
      <c r="N205" s="20"/>
      <c r="O205" s="20"/>
      <c r="P205" s="9"/>
      <c r="Q205" s="129"/>
      <c r="R205" s="8"/>
      <c r="S205" s="9"/>
      <c r="T205" s="8"/>
      <c r="U205" s="8"/>
      <c r="V205" s="8"/>
      <c r="W205" s="8"/>
      <c r="X205" s="8"/>
      <c r="Y205" s="8"/>
      <c r="Z205" s="9"/>
      <c r="AA205" s="8"/>
      <c r="AB205" s="9"/>
      <c r="AC205" s="9"/>
      <c r="AD205" s="9"/>
      <c r="AE205" s="9"/>
      <c r="AF205" s="9"/>
      <c r="AG205" s="9"/>
      <c r="AH205" s="9"/>
      <c r="AI205" s="9"/>
      <c r="AJ205" s="225" t="str">
        <f>IF(ISBLANK(Mentor_Connect[[#This Row],[Meeting Date]]),"",Mentor_Connect[[#This Row],[Meeting Date]]-WEEKDAY(Mentor_Connect[[#This Row],[Meeting Date]],2)+1)</f>
        <v/>
      </c>
      <c r="AK205" s="222" t="str">
        <f>IF(ISBLANK(Mentor_Connect[[#This Row],[Preferred Mentor Selected On]]),"",Mentor_Connect[[#This Row],[Preferred Mentor Selected On]]-WEEKDAY(Mentor_Connect[[#This Row],[Preferred Mentor Selected On]],2)+1)</f>
        <v/>
      </c>
    </row>
    <row r="206" spans="1:37" ht="24.6" customHeight="1" x14ac:dyDescent="0.3">
      <c r="A206" s="8" t="s">
        <v>316</v>
      </c>
      <c r="B206" s="510" t="str">
        <f>VLOOKUP(Mentor_Connect[[#This Row],[Venture Name]],[1]!VenturesList[#All],2,FALSE)</f>
        <v>Accelerate Core</v>
      </c>
      <c r="C206" s="511">
        <f>VLOOKUP(Mentor_Connect[[#This Row],[Venture Name]],[1]!VenturesList[#All],3,FALSE)</f>
        <v>45931</v>
      </c>
      <c r="D206" s="8" t="str">
        <f>VLOOKUP(Mentor_Connect[[#This Row],[Venture Name]],[1]!VenturesList[#All],5,FALSE)</f>
        <v xml:space="preserve">Kedar </v>
      </c>
      <c r="E206" s="509" t="s">
        <v>950</v>
      </c>
      <c r="F206" s="216" t="s">
        <v>440</v>
      </c>
      <c r="G206" s="217">
        <v>46004</v>
      </c>
      <c r="H206" s="45">
        <v>46038</v>
      </c>
      <c r="I206" s="217">
        <v>46041</v>
      </c>
      <c r="J206" s="225">
        <v>45931</v>
      </c>
      <c r="K206" s="225"/>
      <c r="L206" s="218" t="s">
        <v>358</v>
      </c>
      <c r="M206" s="217">
        <v>45931</v>
      </c>
      <c r="N206" s="20"/>
      <c r="O206" s="6" t="s">
        <v>1265</v>
      </c>
      <c r="P206" s="9"/>
      <c r="Q206" s="129"/>
      <c r="R206" s="8"/>
      <c r="S206" s="9"/>
      <c r="T206" s="8"/>
      <c r="U206" s="8"/>
      <c r="V206" s="8"/>
      <c r="W206" s="8"/>
      <c r="X206" s="8"/>
      <c r="Y206" s="8"/>
      <c r="Z206" s="9"/>
      <c r="AA206" s="237"/>
      <c r="AB206" s="9"/>
      <c r="AC206" s="9"/>
      <c r="AD206" s="9"/>
      <c r="AE206" s="9"/>
      <c r="AF206" s="9"/>
      <c r="AG206" s="9"/>
      <c r="AH206" s="9"/>
      <c r="AI206" s="9"/>
      <c r="AJ206" s="225" t="str">
        <f>IF(ISBLANK(Mentor_Connect[[#This Row],[Meeting Date]]),"",Mentor_Connect[[#This Row],[Meeting Date]]-WEEKDAY(Mentor_Connect[[#This Row],[Meeting Date]],2)+1)</f>
        <v/>
      </c>
      <c r="AK206" s="222">
        <f>IF(ISBLANK(Mentor_Connect[[#This Row],[Preferred Mentor Selected On]]),"",Mentor_Connect[[#This Row],[Preferred Mentor Selected On]]-WEEKDAY(Mentor_Connect[[#This Row],[Preferred Mentor Selected On]],2)+1)</f>
        <v>45929</v>
      </c>
    </row>
    <row r="207" spans="1:37" ht="24.6" customHeight="1" x14ac:dyDescent="0.3">
      <c r="A207" s="273" t="s">
        <v>32</v>
      </c>
      <c r="B207" s="237" t="str">
        <f>VLOOKUP(Mentor_Connect[[#This Row],[Venture Name]],[1]!VenturesList[#All],2,FALSE)</f>
        <v>Accelerate Prime</v>
      </c>
      <c r="C207" s="223">
        <f>VLOOKUP(Mentor_Connect[[#This Row],[Venture Name]],[1]!VenturesList[#All],3,FALSE)</f>
        <v>45962</v>
      </c>
      <c r="D207" s="8" t="str">
        <f>VLOOKUP(Mentor_Connect[[#This Row],[Venture Name]],[1]!VenturesList[#All],5,FALSE)</f>
        <v>Shruti Modi</v>
      </c>
      <c r="E207" s="216" t="s">
        <v>116</v>
      </c>
      <c r="F207" s="216" t="s">
        <v>18</v>
      </c>
      <c r="G207" s="217">
        <v>46009</v>
      </c>
      <c r="H207" s="447">
        <v>46014</v>
      </c>
      <c r="I207" s="448">
        <v>46014</v>
      </c>
      <c r="J207" s="217"/>
      <c r="K207" s="240">
        <v>46071</v>
      </c>
      <c r="L207" s="217"/>
      <c r="M207" s="217"/>
      <c r="N207" s="20"/>
      <c r="O207" s="20"/>
      <c r="P207" s="9"/>
      <c r="Q207" s="242"/>
      <c r="R207" s="8" t="s">
        <v>1114</v>
      </c>
      <c r="S207" s="474" t="s">
        <v>1266</v>
      </c>
      <c r="T207" s="512" t="s">
        <v>1267</v>
      </c>
      <c r="U207" s="460">
        <v>9825885030</v>
      </c>
      <c r="V207" s="2" t="s">
        <v>1190</v>
      </c>
      <c r="W207" s="2"/>
      <c r="X207" s="8" t="s">
        <v>1176</v>
      </c>
      <c r="Y207" s="8" t="s">
        <v>1176</v>
      </c>
      <c r="Z207" s="9"/>
      <c r="AA207" s="8"/>
      <c r="AB207" s="9"/>
      <c r="AC207" s="21"/>
      <c r="AD207" s="21"/>
      <c r="AE207" s="21"/>
      <c r="AF207" s="21"/>
      <c r="AG207" s="21"/>
      <c r="AH207" s="21"/>
      <c r="AI207" s="9"/>
      <c r="AJ207" s="225">
        <f>IF(ISBLANK(Mentor_Connect[[#This Row],[Meeting Date]]),"",Mentor_Connect[[#This Row],[Meeting Date]]-WEEKDAY(Mentor_Connect[[#This Row],[Meeting Date]],2)+1)</f>
        <v>46069</v>
      </c>
      <c r="AK207" s="222" t="str">
        <f>IF(ISBLANK(Mentor_Connect[[#This Row],[Preferred Mentor Selected On]]),"",Mentor_Connect[[#This Row],[Preferred Mentor Selected On]]-WEEKDAY(Mentor_Connect[[#This Row],[Preferred Mentor Selected On]],2)+1)</f>
        <v/>
      </c>
    </row>
    <row r="208" spans="1:37" ht="24.6" customHeight="1" x14ac:dyDescent="0.3">
      <c r="A208" s="273" t="s">
        <v>32</v>
      </c>
      <c r="B208" s="382" t="str">
        <f>VLOOKUP(Mentor_Connect[[#This Row],[Venture Name]],[1]!VenturesList[#All],2,FALSE)</f>
        <v>Accelerate Prime</v>
      </c>
      <c r="C208" s="274">
        <f>VLOOKUP(Mentor_Connect[[#This Row],[Venture Name]],[1]!VenturesList[#All],3,FALSE)</f>
        <v>45962</v>
      </c>
      <c r="D208" s="8" t="str">
        <f>VLOOKUP(Mentor_Connect[[#This Row],[Venture Name]],[1]!VenturesList[#All],5,FALSE)</f>
        <v>Shruti Modi</v>
      </c>
      <c r="E208" s="513" t="s">
        <v>485</v>
      </c>
      <c r="F208" s="216" t="s">
        <v>446</v>
      </c>
      <c r="G208" s="239">
        <v>46009</v>
      </c>
      <c r="H208" s="514">
        <v>46014</v>
      </c>
      <c r="I208" s="515">
        <v>46014</v>
      </c>
      <c r="J208" s="240"/>
      <c r="K208" s="240"/>
      <c r="L208" s="217" t="s">
        <v>345</v>
      </c>
      <c r="M208" s="217">
        <v>45962</v>
      </c>
      <c r="N208" s="20"/>
      <c r="O208" s="6" t="s">
        <v>1268</v>
      </c>
      <c r="P208" s="9"/>
      <c r="Q208" s="129"/>
      <c r="R208" s="8"/>
      <c r="S208" s="9"/>
      <c r="T208" s="8"/>
      <c r="U208" s="8"/>
      <c r="V208" s="8"/>
      <c r="W208" s="8"/>
      <c r="X208" s="8"/>
      <c r="Y208" s="8"/>
      <c r="Z208" s="9" t="s">
        <v>966</v>
      </c>
      <c r="AA208" s="8"/>
      <c r="AB208" s="9"/>
      <c r="AC208" s="21"/>
      <c r="AD208" s="21"/>
      <c r="AE208" s="21"/>
      <c r="AF208" s="21"/>
      <c r="AG208" s="21"/>
      <c r="AH208" s="21"/>
      <c r="AI208" s="9"/>
      <c r="AJ208" s="225" t="str">
        <f>IF(ISBLANK(Mentor_Connect[[#This Row],[Meeting Date]]),"",Mentor_Connect[[#This Row],[Meeting Date]]-WEEKDAY(Mentor_Connect[[#This Row],[Meeting Date]],2)+1)</f>
        <v/>
      </c>
      <c r="AK208" s="222" t="str">
        <f>IF(ISBLANK(Mentor_Connect[[#This Row],[Preferred Mentor Selected On]]),"",Mentor_Connect[[#This Row],[Preferred Mentor Selected On]]-WEEKDAY(Mentor_Connect[[#This Row],[Preferred Mentor Selected On]],2)+1)</f>
        <v/>
      </c>
    </row>
    <row r="209" spans="1:37" ht="24.6" customHeight="1" x14ac:dyDescent="0.3">
      <c r="A209" s="273" t="s">
        <v>32</v>
      </c>
      <c r="B209" s="237" t="str">
        <f>VLOOKUP(Mentor_Connect[[#This Row],[Venture Name]],[1]!VenturesList[#All],2,FALSE)</f>
        <v>Accelerate Prime</v>
      </c>
      <c r="C209" s="223">
        <f>VLOOKUP(Mentor_Connect[[#This Row],[Venture Name]],[1]!VenturesList[#All],3,FALSE)</f>
        <v>45962</v>
      </c>
      <c r="D209" s="8" t="str">
        <f>VLOOKUP(Mentor_Connect[[#This Row],[Venture Name]],[1]!VenturesList[#All],5,FALSE)</f>
        <v>Shruti Modi</v>
      </c>
      <c r="E209" s="516" t="s">
        <v>126</v>
      </c>
      <c r="F209" s="216" t="s">
        <v>18</v>
      </c>
      <c r="G209" s="217">
        <v>46009</v>
      </c>
      <c r="H209" s="447">
        <v>46014</v>
      </c>
      <c r="I209" s="448">
        <v>46014</v>
      </c>
      <c r="J209" s="225">
        <v>46041</v>
      </c>
      <c r="K209" s="225">
        <v>46071</v>
      </c>
      <c r="L209" s="217" t="s">
        <v>345</v>
      </c>
      <c r="M209" s="217">
        <v>45962</v>
      </c>
      <c r="N209" s="20"/>
      <c r="O209" s="6" t="s">
        <v>1269</v>
      </c>
      <c r="P209" s="9"/>
      <c r="Q209" s="129"/>
      <c r="R209" s="277" t="s">
        <v>1114</v>
      </c>
      <c r="S209" s="420" t="s">
        <v>1266</v>
      </c>
      <c r="T209" s="354" t="s">
        <v>1267</v>
      </c>
      <c r="U209" s="353">
        <v>9825885030</v>
      </c>
      <c r="V209" s="2" t="s">
        <v>1270</v>
      </c>
      <c r="W209" s="2"/>
      <c r="X209" s="53" t="s">
        <v>1271</v>
      </c>
      <c r="Y209" s="53" t="s">
        <v>1272</v>
      </c>
      <c r="Z209" s="9" t="s">
        <v>966</v>
      </c>
      <c r="AA209" s="8"/>
      <c r="AB209" s="9"/>
      <c r="AC209" s="9"/>
      <c r="AD209" s="9"/>
      <c r="AE209" s="9"/>
      <c r="AF209" s="9"/>
      <c r="AG209" s="9"/>
      <c r="AH209" s="9"/>
      <c r="AI209" s="9" t="s">
        <v>916</v>
      </c>
      <c r="AJ209" s="225">
        <f>IF(ISBLANK(Mentor_Connect[[#This Row],[Meeting Date]]),"",Mentor_Connect[[#This Row],[Meeting Date]]-WEEKDAY(Mentor_Connect[[#This Row],[Meeting Date]],2)+1)</f>
        <v>46069</v>
      </c>
      <c r="AK209" s="222">
        <f>IF(ISBLANK(Mentor_Connect[[#This Row],[Preferred Mentor Selected On]]),"",Mentor_Connect[[#This Row],[Preferred Mentor Selected On]]-WEEKDAY(Mentor_Connect[[#This Row],[Preferred Mentor Selected On]],2)+1)</f>
        <v>46041</v>
      </c>
    </row>
    <row r="210" spans="1:37" ht="24.6" customHeight="1" x14ac:dyDescent="0.3">
      <c r="A210" s="273" t="s">
        <v>32</v>
      </c>
      <c r="B210" s="237" t="str">
        <f>VLOOKUP(Mentor_Connect[[#This Row],[Venture Name]],[1]!VenturesList[#All],2,FALSE)</f>
        <v>Accelerate Prime</v>
      </c>
      <c r="C210" s="223">
        <f>VLOOKUP(Mentor_Connect[[#This Row],[Venture Name]],[1]!VenturesList[#All],3,FALSE)</f>
        <v>45962</v>
      </c>
      <c r="D210" s="8" t="str">
        <f>VLOOKUP(Mentor_Connect[[#This Row],[Venture Name]],[1]!VenturesList[#All],5,FALSE)</f>
        <v>Shruti Modi</v>
      </c>
      <c r="E210" s="517" t="s">
        <v>126</v>
      </c>
      <c r="F210" s="216" t="s">
        <v>18</v>
      </c>
      <c r="G210" s="217">
        <v>46009</v>
      </c>
      <c r="H210" s="447">
        <v>46014</v>
      </c>
      <c r="I210" s="448">
        <v>46014</v>
      </c>
      <c r="J210" s="225">
        <v>46041</v>
      </c>
      <c r="K210" s="240">
        <v>46076</v>
      </c>
      <c r="L210" s="217"/>
      <c r="M210" s="217"/>
      <c r="N210" s="20"/>
      <c r="O210" s="20"/>
      <c r="P210" s="9"/>
      <c r="Q210" s="242"/>
      <c r="R210" s="8" t="s">
        <v>1114</v>
      </c>
      <c r="S210" s="474" t="s">
        <v>1266</v>
      </c>
      <c r="T210" s="512" t="s">
        <v>1267</v>
      </c>
      <c r="U210" s="460">
        <v>9825885030</v>
      </c>
      <c r="V210" s="2" t="s">
        <v>1190</v>
      </c>
      <c r="W210" s="38"/>
      <c r="X210" s="26" t="s">
        <v>1273</v>
      </c>
      <c r="Y210" s="415" t="s">
        <v>1274</v>
      </c>
      <c r="Z210" s="9"/>
      <c r="AA210" s="8"/>
      <c r="AB210" s="9"/>
      <c r="AC210" s="21"/>
      <c r="AD210" s="21"/>
      <c r="AE210" s="21"/>
      <c r="AF210" s="21"/>
      <c r="AG210" s="21"/>
      <c r="AH210" s="21"/>
      <c r="AI210" s="9"/>
      <c r="AJ210" s="225">
        <f>IF(ISBLANK(Mentor_Connect[[#This Row],[Meeting Date]]),"",Mentor_Connect[[#This Row],[Meeting Date]]-WEEKDAY(Mentor_Connect[[#This Row],[Meeting Date]],2)+1)</f>
        <v>46076</v>
      </c>
      <c r="AK210" s="222">
        <f>IF(ISBLANK(Mentor_Connect[[#This Row],[Preferred Mentor Selected On]]),"",Mentor_Connect[[#This Row],[Preferred Mentor Selected On]]-WEEKDAY(Mentor_Connect[[#This Row],[Preferred Mentor Selected On]],2)+1)</f>
        <v>46041</v>
      </c>
    </row>
    <row r="211" spans="1:37" ht="24.6" customHeight="1" x14ac:dyDescent="0.3">
      <c r="A211" s="518" t="s">
        <v>55</v>
      </c>
      <c r="B211" s="519" t="str">
        <f>VLOOKUP(Mentor_Connect[[#This Row],[Venture Name]],[1]!VenturesList[#All],2,FALSE)</f>
        <v>Accelerate Core</v>
      </c>
      <c r="C211" s="520">
        <f>VLOOKUP(Mentor_Connect[[#This Row],[Venture Name]],[1]!VenturesList[#All],3,FALSE)</f>
        <v>45962</v>
      </c>
      <c r="D211" s="277" t="str">
        <f>VLOOKUP(Mentor_Connect[[#This Row],[Venture Name]],[1]!VenturesList[#All],5,FALSE)</f>
        <v>Vignesh</v>
      </c>
      <c r="E211" s="521" t="s">
        <v>127</v>
      </c>
      <c r="F211" s="464" t="s">
        <v>18</v>
      </c>
      <c r="G211" s="217">
        <v>46013</v>
      </c>
      <c r="H211" s="217">
        <v>46014</v>
      </c>
      <c r="I211" s="217">
        <v>46014</v>
      </c>
      <c r="J211" s="225">
        <v>46015</v>
      </c>
      <c r="K211" s="498">
        <v>46027</v>
      </c>
      <c r="L211" s="218" t="s">
        <v>345</v>
      </c>
      <c r="M211" s="217">
        <v>46015</v>
      </c>
      <c r="N211" s="20"/>
      <c r="O211" s="466" t="s">
        <v>1275</v>
      </c>
      <c r="P211" s="9"/>
      <c r="Q211" s="129">
        <v>115018962266</v>
      </c>
      <c r="R211" s="277" t="s">
        <v>913</v>
      </c>
      <c r="S211" s="379" t="s">
        <v>486</v>
      </c>
      <c r="T211" s="345" t="s">
        <v>487</v>
      </c>
      <c r="U211" s="379">
        <v>9884051390</v>
      </c>
      <c r="V211" s="29" t="s">
        <v>1276</v>
      </c>
      <c r="W211" s="29"/>
      <c r="X211" s="23" t="s">
        <v>1277</v>
      </c>
      <c r="Y211" s="23" t="s">
        <v>1278</v>
      </c>
      <c r="Z211" s="9"/>
      <c r="AA211" s="8" t="s">
        <v>937</v>
      </c>
      <c r="AB211" s="217">
        <v>46104</v>
      </c>
      <c r="AC211" s="217"/>
      <c r="AD211" s="217"/>
      <c r="AE211" s="217"/>
      <c r="AF211" s="217">
        <v>46107</v>
      </c>
      <c r="AG211" s="522" t="s">
        <v>1279</v>
      </c>
      <c r="AH211" s="522"/>
      <c r="AI211" s="9" t="s">
        <v>937</v>
      </c>
      <c r="AJ211" s="225">
        <f>IF(ISBLANK(Mentor_Connect[[#This Row],[Meeting Date]]),"",Mentor_Connect[[#This Row],[Meeting Date]]-WEEKDAY(Mentor_Connect[[#This Row],[Meeting Date]],2)+1)</f>
        <v>46027</v>
      </c>
      <c r="AK211" s="222">
        <f>IF(ISBLANK(Mentor_Connect[[#This Row],[Preferred Mentor Selected On]]),"",Mentor_Connect[[#This Row],[Preferred Mentor Selected On]]-WEEKDAY(Mentor_Connect[[#This Row],[Preferred Mentor Selected On]],2)+1)</f>
        <v>46013</v>
      </c>
    </row>
    <row r="212" spans="1:37" ht="24.6" customHeight="1" x14ac:dyDescent="0.3">
      <c r="A212" s="273" t="s">
        <v>55</v>
      </c>
      <c r="B212" s="519" t="str">
        <f>VLOOKUP(Mentor_Connect[[#This Row],[Venture Name]],[1]!VenturesList[#All],2,FALSE)</f>
        <v>Accelerate Core</v>
      </c>
      <c r="C212" s="520">
        <f>VLOOKUP(Mentor_Connect[[#This Row],[Venture Name]],[1]!VenturesList[#All],3,FALSE)</f>
        <v>45962</v>
      </c>
      <c r="D212" s="277" t="str">
        <f>VLOOKUP(Mentor_Connect[[#This Row],[Venture Name]],[1]!VenturesList[#All],5,FALSE)</f>
        <v>Vignesh</v>
      </c>
      <c r="E212" s="509" t="s">
        <v>485</v>
      </c>
      <c r="F212" s="216" t="s">
        <v>446</v>
      </c>
      <c r="G212" s="217">
        <v>46013</v>
      </c>
      <c r="H212" s="217">
        <v>46014</v>
      </c>
      <c r="I212" s="217">
        <v>46014</v>
      </c>
      <c r="J212" s="225">
        <v>46015</v>
      </c>
      <c r="K212" s="225">
        <v>46086</v>
      </c>
      <c r="L212" s="218"/>
      <c r="M212" s="217"/>
      <c r="N212" s="20"/>
      <c r="O212" s="466" t="s">
        <v>1280</v>
      </c>
      <c r="P212" s="9"/>
      <c r="Q212" s="129"/>
      <c r="R212" s="277"/>
      <c r="S212" s="379"/>
      <c r="T212" s="523"/>
      <c r="U212" s="524"/>
      <c r="V212" s="277"/>
      <c r="W212" s="277"/>
      <c r="X212" s="277"/>
      <c r="Y212" s="277"/>
      <c r="Z212" s="9" t="s">
        <v>943</v>
      </c>
      <c r="AA212" s="8"/>
      <c r="AB212" s="9"/>
      <c r="AC212" s="9"/>
      <c r="AD212" s="9"/>
      <c r="AE212" s="9"/>
      <c r="AF212" s="9"/>
      <c r="AG212" s="9"/>
      <c r="AH212" s="9"/>
      <c r="AI212" s="9"/>
      <c r="AJ212" s="225">
        <f>IF(ISBLANK(Mentor_Connect[[#This Row],[Meeting Date]]),"",Mentor_Connect[[#This Row],[Meeting Date]]-WEEKDAY(Mentor_Connect[[#This Row],[Meeting Date]],2)+1)</f>
        <v>46083</v>
      </c>
      <c r="AK212" s="222">
        <f>IF(ISBLANK(Mentor_Connect[[#This Row],[Preferred Mentor Selected On]]),"",Mentor_Connect[[#This Row],[Preferred Mentor Selected On]]-WEEKDAY(Mentor_Connect[[#This Row],[Preferred Mentor Selected On]],2)+1)</f>
        <v>46013</v>
      </c>
    </row>
    <row r="213" spans="1:37" ht="24.6" customHeight="1" x14ac:dyDescent="0.3">
      <c r="A213" s="273" t="s">
        <v>55</v>
      </c>
      <c r="B213" s="525" t="str">
        <f>VLOOKUP(Mentor_Connect[[#This Row],[Venture Name]],[1]!VenturesList[#All],2,FALSE)</f>
        <v>Accelerate Core</v>
      </c>
      <c r="C213" s="526">
        <f>VLOOKUP(Mentor_Connect[[#This Row],[Venture Name]],[1]!VenturesList[#All],3,FALSE)</f>
        <v>45962</v>
      </c>
      <c r="D213" s="8" t="str">
        <f>VLOOKUP(Mentor_Connect[[#This Row],[Venture Name]],[1]!VenturesList[#All],5,FALSE)</f>
        <v>Vignesh</v>
      </c>
      <c r="E213" s="509" t="s">
        <v>485</v>
      </c>
      <c r="F213" s="216" t="s">
        <v>446</v>
      </c>
      <c r="G213" s="217">
        <v>46013</v>
      </c>
      <c r="H213" s="239">
        <v>46014</v>
      </c>
      <c r="I213" s="217">
        <v>46014</v>
      </c>
      <c r="J213" s="225">
        <v>46015</v>
      </c>
      <c r="K213" s="225">
        <v>46072</v>
      </c>
      <c r="L213" s="217" t="s">
        <v>345</v>
      </c>
      <c r="M213" s="217">
        <v>46015</v>
      </c>
      <c r="N213" s="20"/>
      <c r="O213" s="424" t="s">
        <v>1281</v>
      </c>
      <c r="P213" s="9"/>
      <c r="Q213" s="129"/>
      <c r="R213" s="8"/>
      <c r="S213" s="9"/>
      <c r="T213" s="8"/>
      <c r="U213" s="8"/>
      <c r="V213" s="8"/>
      <c r="W213" s="8"/>
      <c r="X213" s="8"/>
      <c r="Y213" s="8"/>
      <c r="Z213" s="9" t="s">
        <v>943</v>
      </c>
      <c r="AA213" s="8"/>
      <c r="AB213" s="9"/>
      <c r="AC213" s="9"/>
      <c r="AD213" s="9"/>
      <c r="AE213" s="9"/>
      <c r="AF213" s="9"/>
      <c r="AG213" s="9"/>
      <c r="AH213" s="9"/>
      <c r="AI213" s="9"/>
      <c r="AJ213" s="225">
        <f>IF(ISBLANK(Mentor_Connect[[#This Row],[Meeting Date]]),"",Mentor_Connect[[#This Row],[Meeting Date]]-WEEKDAY(Mentor_Connect[[#This Row],[Meeting Date]],2)+1)</f>
        <v>46069</v>
      </c>
      <c r="AK213" s="222">
        <f>IF(ISBLANK(Mentor_Connect[[#This Row],[Preferred Mentor Selected On]]),"",Mentor_Connect[[#This Row],[Preferred Mentor Selected On]]-WEEKDAY(Mentor_Connect[[#This Row],[Preferred Mentor Selected On]],2)+1)</f>
        <v>46013</v>
      </c>
    </row>
    <row r="214" spans="1:37" ht="24.6" customHeight="1" x14ac:dyDescent="0.3">
      <c r="A214" s="273" t="s">
        <v>55</v>
      </c>
      <c r="B214" s="525" t="str">
        <f>VLOOKUP(Mentor_Connect[[#This Row],[Venture Name]],[1]!VenturesList[#All],2,FALSE)</f>
        <v>Accelerate Core</v>
      </c>
      <c r="C214" s="526">
        <f>VLOOKUP(Mentor_Connect[[#This Row],[Venture Name]],[1]!VenturesList[#All],3,FALSE)</f>
        <v>45962</v>
      </c>
      <c r="D214" s="8" t="str">
        <f>VLOOKUP(Mentor_Connect[[#This Row],[Venture Name]],[1]!VenturesList[#All],5,FALSE)</f>
        <v>Vignesh</v>
      </c>
      <c r="E214" s="509" t="s">
        <v>138</v>
      </c>
      <c r="F214" s="216" t="s">
        <v>444</v>
      </c>
      <c r="G214" s="527">
        <v>46013</v>
      </c>
      <c r="H214" s="217">
        <v>46014</v>
      </c>
      <c r="I214" s="218">
        <v>46014</v>
      </c>
      <c r="J214" s="225">
        <v>46015</v>
      </c>
      <c r="K214" s="225"/>
      <c r="L214" s="217" t="s">
        <v>345</v>
      </c>
      <c r="M214" s="217">
        <v>46015</v>
      </c>
      <c r="N214" s="20"/>
      <c r="O214" s="6" t="s">
        <v>1282</v>
      </c>
      <c r="P214" s="9"/>
      <c r="Q214" s="129"/>
      <c r="R214" s="8"/>
      <c r="S214" s="9"/>
      <c r="T214" s="8"/>
      <c r="U214" s="8"/>
      <c r="V214" s="8"/>
      <c r="W214" s="8"/>
      <c r="X214" s="8"/>
      <c r="Y214" s="8"/>
      <c r="Z214" s="9"/>
      <c r="AA214" s="8"/>
      <c r="AB214" s="9"/>
      <c r="AC214" s="9"/>
      <c r="AD214" s="9"/>
      <c r="AE214" s="9"/>
      <c r="AF214" s="9"/>
      <c r="AG214" s="9"/>
      <c r="AH214" s="9"/>
      <c r="AI214" s="9"/>
      <c r="AJ214" s="225" t="str">
        <f>IF(ISBLANK(Mentor_Connect[[#This Row],[Meeting Date]]),"",Mentor_Connect[[#This Row],[Meeting Date]]-WEEKDAY(Mentor_Connect[[#This Row],[Meeting Date]],2)+1)</f>
        <v/>
      </c>
      <c r="AK214" s="222">
        <f>IF(ISBLANK(Mentor_Connect[[#This Row],[Preferred Mentor Selected On]]),"",Mentor_Connect[[#This Row],[Preferred Mentor Selected On]]-WEEKDAY(Mentor_Connect[[#This Row],[Preferred Mentor Selected On]],2)+1)</f>
        <v>46013</v>
      </c>
    </row>
    <row r="215" spans="1:37" ht="24.6" customHeight="1" x14ac:dyDescent="0.3">
      <c r="A215" s="243" t="s">
        <v>318</v>
      </c>
      <c r="B215" s="528" t="str">
        <f>VLOOKUP(Mentor_Connect[[#This Row],[Venture Name]],[1]!VenturesList[#All],2,FALSE)</f>
        <v>Accelerate Core</v>
      </c>
      <c r="C215" s="529">
        <f>VLOOKUP(Mentor_Connect[[#This Row],[Venture Name]],[1]!VenturesList[#All],3,FALSE)</f>
        <v>45962</v>
      </c>
      <c r="D215" s="237" t="str">
        <f>VLOOKUP(Mentor_Connect[[#This Row],[Venture Name]],[1]!VenturesList[#All],5,FALSE)</f>
        <v xml:space="preserve">Kedar </v>
      </c>
      <c r="E215" s="530"/>
      <c r="F215" s="238" t="s">
        <v>436</v>
      </c>
      <c r="G215" s="21"/>
      <c r="H215" s="21"/>
      <c r="I215" s="21"/>
      <c r="J215" s="239">
        <v>45962</v>
      </c>
      <c r="K215" s="240"/>
      <c r="L215" s="239" t="s">
        <v>358</v>
      </c>
      <c r="M215" s="239">
        <v>45962</v>
      </c>
      <c r="N215" s="241"/>
      <c r="O215" s="241" t="s">
        <v>1283</v>
      </c>
      <c r="P215" s="21"/>
      <c r="Q215" s="242"/>
      <c r="R215" s="237"/>
      <c r="S215" s="21"/>
      <c r="T215" s="237"/>
      <c r="U215" s="237"/>
      <c r="V215" s="237"/>
      <c r="W215" s="237"/>
      <c r="X215" s="237"/>
      <c r="Y215" s="237"/>
      <c r="Z215" s="21"/>
      <c r="AA215" s="237"/>
      <c r="AB215" s="21"/>
      <c r="AC215" s="21"/>
      <c r="AD215" s="21"/>
      <c r="AE215" s="21"/>
      <c r="AF215" s="21"/>
      <c r="AG215" s="21"/>
      <c r="AH215" s="21"/>
      <c r="AI215" s="9"/>
      <c r="AJ215" s="225" t="str">
        <f>IF(ISBLANK(Mentor_Connect[[#This Row],[Meeting Date]]),"",Mentor_Connect[[#This Row],[Meeting Date]]-WEEKDAY(Mentor_Connect[[#This Row],[Meeting Date]],2)+1)</f>
        <v/>
      </c>
      <c r="AK215" s="222">
        <f>IF(ISBLANK(Mentor_Connect[[#This Row],[Preferred Mentor Selected On]]),"",Mentor_Connect[[#This Row],[Preferred Mentor Selected On]]-WEEKDAY(Mentor_Connect[[#This Row],[Preferred Mentor Selected On]],2)+1)</f>
        <v>45957</v>
      </c>
    </row>
    <row r="216" spans="1:37" ht="24.6" customHeight="1" x14ac:dyDescent="0.3">
      <c r="A216" s="231" t="s">
        <v>50</v>
      </c>
      <c r="B216" s="231" t="str">
        <f>VLOOKUP(Mentor_Connect[[#This Row],[Venture Name]],[1]!VenturesList[#All],2,FALSE)</f>
        <v>Accelerate Core</v>
      </c>
      <c r="C216" s="274">
        <f>VLOOKUP(Mentor_Connect[[#This Row],[Venture Name]],[1]!VenturesList[#All],3,FALSE)</f>
        <v>45962</v>
      </c>
      <c r="D216" s="8" t="str">
        <f>VLOOKUP(Mentor_Connect[[#This Row],[Venture Name]],[1]!VenturesList[#All],5,FALSE)</f>
        <v>Jigar</v>
      </c>
      <c r="E216" s="531"/>
      <c r="F216" s="216" t="s">
        <v>440</v>
      </c>
      <c r="G216" s="217">
        <v>46015</v>
      </c>
      <c r="H216" s="217">
        <v>46107</v>
      </c>
      <c r="I216" s="217"/>
      <c r="J216" s="225"/>
      <c r="K216" s="225"/>
      <c r="L216" s="217" t="s">
        <v>345</v>
      </c>
      <c r="M216" s="217">
        <v>45962</v>
      </c>
      <c r="N216" s="20"/>
      <c r="O216" s="6" t="s">
        <v>1284</v>
      </c>
      <c r="P216" s="9"/>
      <c r="Q216" s="129"/>
      <c r="R216" s="8"/>
      <c r="S216" s="9"/>
      <c r="T216" s="8"/>
      <c r="U216" s="8"/>
      <c r="V216" s="8"/>
      <c r="W216" s="8"/>
      <c r="X216" s="8"/>
      <c r="Y216" s="8"/>
      <c r="Z216" s="9" t="s">
        <v>966</v>
      </c>
      <c r="AA216" s="8"/>
      <c r="AB216" s="9"/>
      <c r="AC216" s="9"/>
      <c r="AD216" s="9"/>
      <c r="AE216" s="9"/>
      <c r="AF216" s="9"/>
      <c r="AG216" s="9"/>
      <c r="AH216" s="9"/>
      <c r="AI216" s="9"/>
      <c r="AJ216" s="225" t="str">
        <f>IF(ISBLANK(Mentor_Connect[[#This Row],[Meeting Date]]),"",Mentor_Connect[[#This Row],[Meeting Date]]-WEEKDAY(Mentor_Connect[[#This Row],[Meeting Date]],2)+1)</f>
        <v/>
      </c>
      <c r="AK216" s="222" t="str">
        <f>IF(ISBLANK(Mentor_Connect[[#This Row],[Preferred Mentor Selected On]]),"",Mentor_Connect[[#This Row],[Preferred Mentor Selected On]]-WEEKDAY(Mentor_Connect[[#This Row],[Preferred Mentor Selected On]],2)+1)</f>
        <v/>
      </c>
    </row>
    <row r="217" spans="1:37" ht="24.6" customHeight="1" x14ac:dyDescent="0.3">
      <c r="A217" s="231" t="s">
        <v>50</v>
      </c>
      <c r="B217" s="231" t="str">
        <f>VLOOKUP(Mentor_Connect[[#This Row],[Venture Name]],[1]!VenturesList[#All],2,FALSE)</f>
        <v>Accelerate Core</v>
      </c>
      <c r="C217" s="274">
        <f>VLOOKUP(Mentor_Connect[[#This Row],[Venture Name]],[1]!VenturesList[#All],3,FALSE)</f>
        <v>45962</v>
      </c>
      <c r="D217" s="8" t="str">
        <f>VLOOKUP(Mentor_Connect[[#This Row],[Venture Name]],[1]!VenturesList[#All],5,FALSE)</f>
        <v>Jigar</v>
      </c>
      <c r="E217" s="531"/>
      <c r="F217" s="216" t="s">
        <v>440</v>
      </c>
      <c r="G217" s="217">
        <v>46015</v>
      </c>
      <c r="H217" s="217">
        <v>46020</v>
      </c>
      <c r="I217" s="217">
        <v>46020</v>
      </c>
      <c r="J217" s="225"/>
      <c r="K217" s="225"/>
      <c r="L217" s="217"/>
      <c r="M217" s="217"/>
      <c r="N217" s="20"/>
      <c r="O217" s="6" t="s">
        <v>1285</v>
      </c>
      <c r="P217" s="9"/>
      <c r="Q217" s="129"/>
      <c r="R217" s="8"/>
      <c r="S217" s="9"/>
      <c r="T217" s="8"/>
      <c r="U217" s="8"/>
      <c r="V217" s="8"/>
      <c r="W217" s="8"/>
      <c r="X217" s="8"/>
      <c r="Y217" s="8"/>
      <c r="Z217" s="9"/>
      <c r="AA217" s="8"/>
      <c r="AB217" s="9"/>
      <c r="AC217" s="9"/>
      <c r="AD217" s="9"/>
      <c r="AE217" s="9"/>
      <c r="AF217" s="9"/>
      <c r="AG217" s="9"/>
      <c r="AH217" s="9"/>
      <c r="AI217" s="9"/>
      <c r="AJ217" s="225" t="str">
        <f>IF(ISBLANK(Mentor_Connect[[#This Row],[Meeting Date]]),"",Mentor_Connect[[#This Row],[Meeting Date]]-WEEKDAY(Mentor_Connect[[#This Row],[Meeting Date]],2)+1)</f>
        <v/>
      </c>
      <c r="AK217" s="222" t="str">
        <f>IF(ISBLANK(Mentor_Connect[[#This Row],[Preferred Mentor Selected On]]),"",Mentor_Connect[[#This Row],[Preferred Mentor Selected On]]-WEEKDAY(Mentor_Connect[[#This Row],[Preferred Mentor Selected On]],2)+1)</f>
        <v/>
      </c>
    </row>
    <row r="218" spans="1:37" ht="24.6" customHeight="1" x14ac:dyDescent="0.3">
      <c r="A218" s="373" t="s">
        <v>42</v>
      </c>
      <c r="B218" s="532" t="str">
        <f>VLOOKUP(Mentor_Connect[[#This Row],[Venture Name]],[1]!VenturesList[#All],2,FALSE)</f>
        <v>Accelerate Core</v>
      </c>
      <c r="C218" s="533">
        <f>VLOOKUP(Mentor_Connect[[#This Row],[Venture Name]],[1]!VenturesList[#All],3,FALSE)</f>
        <v>45962</v>
      </c>
      <c r="D218" s="279" t="str">
        <f>VLOOKUP(Mentor_Connect[[#This Row],[Venture Name]],[1]!VenturesList[#All],5,FALSE)</f>
        <v>Jigar</v>
      </c>
      <c r="E218" s="505" t="s">
        <v>128</v>
      </c>
      <c r="F218" s="216" t="s">
        <v>18</v>
      </c>
      <c r="G218" s="253">
        <v>46015</v>
      </c>
      <c r="H218" s="218">
        <v>46022</v>
      </c>
      <c r="I218" s="217">
        <v>46022</v>
      </c>
      <c r="J218" s="219">
        <v>46035</v>
      </c>
      <c r="K218" s="219">
        <v>46039</v>
      </c>
      <c r="L218" s="218" t="s">
        <v>345</v>
      </c>
      <c r="M218" s="218">
        <v>45962</v>
      </c>
      <c r="N218" s="347"/>
      <c r="O218" s="262" t="s">
        <v>1286</v>
      </c>
      <c r="P218" s="24"/>
      <c r="Q218" s="534"/>
      <c r="R218" s="229" t="s">
        <v>989</v>
      </c>
      <c r="S218" s="478" t="s">
        <v>1287</v>
      </c>
      <c r="T218" s="33" t="s">
        <v>1288</v>
      </c>
      <c r="U218" s="478">
        <v>9898463664</v>
      </c>
      <c r="V218" s="229" t="s">
        <v>1289</v>
      </c>
      <c r="W218" s="229"/>
      <c r="X218" s="332" t="s">
        <v>1290</v>
      </c>
      <c r="Y218" s="332" t="s">
        <v>1291</v>
      </c>
      <c r="Z218" s="36" t="s">
        <v>966</v>
      </c>
      <c r="AA218" s="279"/>
      <c r="AB218" s="36"/>
      <c r="AC218" s="36"/>
      <c r="AD218" s="36"/>
      <c r="AE218" s="36"/>
      <c r="AF218" s="36"/>
      <c r="AG218" s="36"/>
      <c r="AH218" s="36"/>
      <c r="AI218" s="9" t="s">
        <v>916</v>
      </c>
      <c r="AJ218" s="225">
        <f>IF(ISBLANK(Mentor_Connect[[#This Row],[Meeting Date]]),"",Mentor_Connect[[#This Row],[Meeting Date]]-WEEKDAY(Mentor_Connect[[#This Row],[Meeting Date]],2)+1)</f>
        <v>46034</v>
      </c>
      <c r="AK218" s="222">
        <f>IF(ISBLANK(Mentor_Connect[[#This Row],[Preferred Mentor Selected On]]),"",Mentor_Connect[[#This Row],[Preferred Mentor Selected On]]-WEEKDAY(Mentor_Connect[[#This Row],[Preferred Mentor Selected On]],2)+1)</f>
        <v>46034</v>
      </c>
    </row>
    <row r="219" spans="1:37" ht="24.6" customHeight="1" x14ac:dyDescent="0.3">
      <c r="A219" s="231" t="s">
        <v>42</v>
      </c>
      <c r="B219" s="507" t="str">
        <f>VLOOKUP(Mentor_Connect[[#This Row],[Venture Name]],[1]!VenturesList[#All],2,FALSE)</f>
        <v>Accelerate Core</v>
      </c>
      <c r="C219" s="526">
        <f>VLOOKUP(Mentor_Connect[[#This Row],[Venture Name]],[1]!VenturesList[#All],3,FALSE)</f>
        <v>45962</v>
      </c>
      <c r="D219" s="8" t="str">
        <f>VLOOKUP(Mentor_Connect[[#This Row],[Venture Name]],[1]!VenturesList[#All],5,FALSE)</f>
        <v>Jigar</v>
      </c>
      <c r="E219" s="509" t="s">
        <v>128</v>
      </c>
      <c r="F219" s="216" t="s">
        <v>18</v>
      </c>
      <c r="G219" s="253">
        <v>46015</v>
      </c>
      <c r="H219" s="217">
        <v>46022</v>
      </c>
      <c r="I219" s="217">
        <v>46022</v>
      </c>
      <c r="J219" s="225">
        <v>46035</v>
      </c>
      <c r="K219" s="225">
        <v>46044</v>
      </c>
      <c r="L219" s="217" t="s">
        <v>345</v>
      </c>
      <c r="M219" s="217">
        <v>45962</v>
      </c>
      <c r="N219" s="20"/>
      <c r="O219" s="7"/>
      <c r="P219" s="5"/>
      <c r="Q219" s="10"/>
      <c r="R219" s="2" t="s">
        <v>989</v>
      </c>
      <c r="S219" s="29" t="s">
        <v>1287</v>
      </c>
      <c r="T219" s="23" t="s">
        <v>1288</v>
      </c>
      <c r="U219" s="29">
        <v>9898463664</v>
      </c>
      <c r="V219" s="29" t="s">
        <v>1292</v>
      </c>
      <c r="W219" s="29"/>
      <c r="X219" s="23" t="s">
        <v>1293</v>
      </c>
      <c r="Y219" s="23" t="s">
        <v>1294</v>
      </c>
      <c r="Z219" s="9"/>
      <c r="AA219" s="8"/>
      <c r="AB219" s="9"/>
      <c r="AC219" s="9"/>
      <c r="AD219" s="9"/>
      <c r="AE219" s="9"/>
      <c r="AF219" s="9"/>
      <c r="AG219" s="9"/>
      <c r="AH219" s="9"/>
      <c r="AI219" s="9" t="s">
        <v>937</v>
      </c>
      <c r="AJ219" s="225">
        <f>IF(ISBLANK(Mentor_Connect[[#This Row],[Meeting Date]]),"",Mentor_Connect[[#This Row],[Meeting Date]]-WEEKDAY(Mentor_Connect[[#This Row],[Meeting Date]],2)+1)</f>
        <v>46041</v>
      </c>
      <c r="AK219" s="222">
        <f>IF(ISBLANK(Mentor_Connect[[#This Row],[Preferred Mentor Selected On]]),"",Mentor_Connect[[#This Row],[Preferred Mentor Selected On]]-WEEKDAY(Mentor_Connect[[#This Row],[Preferred Mentor Selected On]],2)+1)</f>
        <v>46034</v>
      </c>
    </row>
    <row r="220" spans="1:37" ht="24.6" customHeight="1" x14ac:dyDescent="0.3">
      <c r="A220" s="8" t="s">
        <v>50</v>
      </c>
      <c r="B220" s="510" t="str">
        <f>VLOOKUP(Mentor_Connect[[#This Row],[Venture Name]],[1]!VenturesList[#All],2,FALSE)</f>
        <v>Accelerate Core</v>
      </c>
      <c r="C220" s="511">
        <f>VLOOKUP(Mentor_Connect[[#This Row],[Venture Name]],[1]!VenturesList[#All],3,FALSE)</f>
        <v>45962</v>
      </c>
      <c r="D220" s="8" t="str">
        <f>VLOOKUP(Mentor_Connect[[#This Row],[Venture Name]],[1]!VenturesList[#All],5,FALSE)</f>
        <v>Jigar</v>
      </c>
      <c r="E220" s="509" t="s">
        <v>5</v>
      </c>
      <c r="F220" s="216" t="s">
        <v>18</v>
      </c>
      <c r="G220" s="253">
        <v>46015</v>
      </c>
      <c r="H220" s="217">
        <v>46020</v>
      </c>
      <c r="I220" s="217">
        <v>46020</v>
      </c>
      <c r="J220" s="225">
        <v>46062</v>
      </c>
      <c r="K220" s="225">
        <v>46065</v>
      </c>
      <c r="L220" s="217" t="s">
        <v>345</v>
      </c>
      <c r="M220" s="217">
        <v>45962</v>
      </c>
      <c r="N220" s="20"/>
      <c r="O220" s="159" t="s">
        <v>1295</v>
      </c>
      <c r="P220" s="9"/>
      <c r="Q220" s="129">
        <v>115042914743</v>
      </c>
      <c r="R220" s="231" t="s">
        <v>913</v>
      </c>
      <c r="S220" s="51" t="s">
        <v>488</v>
      </c>
      <c r="T220" s="535" t="s">
        <v>489</v>
      </c>
      <c r="U220" s="51">
        <v>9428102150</v>
      </c>
      <c r="V220" s="8"/>
      <c r="W220" s="8"/>
      <c r="X220" s="53" t="s">
        <v>1296</v>
      </c>
      <c r="Y220" s="53" t="s">
        <v>1297</v>
      </c>
      <c r="Z220" s="9"/>
      <c r="AA220" s="8"/>
      <c r="AB220" s="9"/>
      <c r="AC220" s="9"/>
      <c r="AD220" s="9"/>
      <c r="AE220" s="9"/>
      <c r="AF220" s="9"/>
      <c r="AG220" s="9"/>
      <c r="AH220" s="8" t="s">
        <v>433</v>
      </c>
      <c r="AI220" s="9" t="s">
        <v>916</v>
      </c>
      <c r="AJ220" s="225">
        <f>IF(ISBLANK(Mentor_Connect[[#This Row],[Meeting Date]]),"",Mentor_Connect[[#This Row],[Meeting Date]]-WEEKDAY(Mentor_Connect[[#This Row],[Meeting Date]],2)+1)</f>
        <v>46062</v>
      </c>
      <c r="AK220" s="222">
        <f>IF(ISBLANK(Mentor_Connect[[#This Row],[Preferred Mentor Selected On]]),"",Mentor_Connect[[#This Row],[Preferred Mentor Selected On]]-WEEKDAY(Mentor_Connect[[#This Row],[Preferred Mentor Selected On]],2)+1)</f>
        <v>46062</v>
      </c>
    </row>
    <row r="221" spans="1:37" ht="24.6" customHeight="1" x14ac:dyDescent="0.3">
      <c r="A221" s="8" t="s">
        <v>51</v>
      </c>
      <c r="B221" s="237" t="str">
        <f>VLOOKUP(Mentor_Connect[[#This Row],[Venture Name]],[1]!VenturesList[#All],2,FALSE)</f>
        <v>Accelerate Core</v>
      </c>
      <c r="C221" s="223">
        <f>VLOOKUP(Mentor_Connect[[#This Row],[Venture Name]],[1]!VenturesList[#All],3,FALSE)</f>
        <v>45901</v>
      </c>
      <c r="D221" s="8" t="str">
        <f>VLOOKUP(Mentor_Connect[[#This Row],[Venture Name]],[1]!VenturesList[#All],5,FALSE)</f>
        <v xml:space="preserve">Kedar </v>
      </c>
      <c r="E221" s="216" t="s">
        <v>101</v>
      </c>
      <c r="F221" s="216" t="s">
        <v>18</v>
      </c>
      <c r="G221" s="217">
        <v>46015</v>
      </c>
      <c r="H221" s="35">
        <v>46034</v>
      </c>
      <c r="I221" s="218">
        <v>46035</v>
      </c>
      <c r="J221" s="225">
        <v>46065</v>
      </c>
      <c r="K221" s="240">
        <v>46079</v>
      </c>
      <c r="L221" s="217" t="s">
        <v>345</v>
      </c>
      <c r="M221" s="217">
        <v>45901</v>
      </c>
      <c r="N221" s="20"/>
      <c r="O221" s="480" t="s">
        <v>1298</v>
      </c>
      <c r="P221" s="9"/>
      <c r="Q221" s="129">
        <v>115056969460</v>
      </c>
      <c r="R221" s="231" t="s">
        <v>913</v>
      </c>
      <c r="S221" s="353" t="s">
        <v>490</v>
      </c>
      <c r="T221" s="354" t="s">
        <v>491</v>
      </c>
      <c r="U221" s="353" t="s">
        <v>1299</v>
      </c>
      <c r="V221" s="2" t="s">
        <v>1300</v>
      </c>
      <c r="W221" s="2"/>
      <c r="X221" s="53" t="s">
        <v>1301</v>
      </c>
      <c r="Y221" s="53" t="s">
        <v>1302</v>
      </c>
      <c r="Z221" s="9" t="s">
        <v>943</v>
      </c>
      <c r="AA221" s="8"/>
      <c r="AB221" s="9"/>
      <c r="AC221" s="21"/>
      <c r="AD221" s="21"/>
      <c r="AE221" s="21"/>
      <c r="AF221" s="21"/>
      <c r="AG221" s="21"/>
      <c r="AH221" s="21"/>
      <c r="AI221" s="9" t="s">
        <v>916</v>
      </c>
      <c r="AJ221" s="225">
        <f>IF(ISBLANK(Mentor_Connect[[#This Row],[Meeting Date]]),"",Mentor_Connect[[#This Row],[Meeting Date]]-WEEKDAY(Mentor_Connect[[#This Row],[Meeting Date]],2)+1)</f>
        <v>46076</v>
      </c>
      <c r="AK221" s="222">
        <f>IF(ISBLANK(Mentor_Connect[[#This Row],[Preferred Mentor Selected On]]),"",Mentor_Connect[[#This Row],[Preferred Mentor Selected On]]-WEEKDAY(Mentor_Connect[[#This Row],[Preferred Mentor Selected On]],2)+1)</f>
        <v>46062</v>
      </c>
    </row>
    <row r="222" spans="1:37" ht="24.6" customHeight="1" x14ac:dyDescent="0.3">
      <c r="A222" s="231" t="s">
        <v>262</v>
      </c>
      <c r="B222" s="507" t="str">
        <f>VLOOKUP(Mentor_Connect[[#This Row],[Venture Name]],[1]!VenturesList[#All],2,FALSE)</f>
        <v>Accelerate Core</v>
      </c>
      <c r="C222" s="526">
        <f>VLOOKUP(Mentor_Connect[[#This Row],[Venture Name]],[1]!VenturesList[#All],3,FALSE)</f>
        <v>45962</v>
      </c>
      <c r="D222" s="8" t="str">
        <f>VLOOKUP(Mentor_Connect[[#This Row],[Venture Name]],[1]!VenturesList[#All],5,FALSE)</f>
        <v>Jigar</v>
      </c>
      <c r="E222" s="509"/>
      <c r="F222" s="216" t="s">
        <v>440</v>
      </c>
      <c r="G222" s="217">
        <v>46015</v>
      </c>
      <c r="H222" s="514">
        <v>46021</v>
      </c>
      <c r="I222" s="218">
        <v>46021</v>
      </c>
      <c r="J222" s="225">
        <v>45962</v>
      </c>
      <c r="K222" s="225"/>
      <c r="L222" s="217" t="s">
        <v>358</v>
      </c>
      <c r="M222" s="217">
        <v>45962</v>
      </c>
      <c r="N222" s="20"/>
      <c r="O222" s="6" t="s">
        <v>1303</v>
      </c>
      <c r="P222" s="9"/>
      <c r="Q222" s="129"/>
      <c r="R222" s="8"/>
      <c r="S222" s="9"/>
      <c r="T222" s="8"/>
      <c r="U222" s="8"/>
      <c r="V222" s="8" t="s">
        <v>1304</v>
      </c>
      <c r="W222" s="8"/>
      <c r="X222" s="8"/>
      <c r="Y222" s="8"/>
      <c r="Z222" s="9"/>
      <c r="AA222" s="8"/>
      <c r="AB222" s="9"/>
      <c r="AC222" s="9"/>
      <c r="AD222" s="9"/>
      <c r="AE222" s="9"/>
      <c r="AF222" s="9"/>
      <c r="AG222" s="9"/>
      <c r="AH222" s="9"/>
      <c r="AI222" s="9"/>
      <c r="AJ222" s="225" t="str">
        <f>IF(ISBLANK(Mentor_Connect[[#This Row],[Meeting Date]]),"",Mentor_Connect[[#This Row],[Meeting Date]]-WEEKDAY(Mentor_Connect[[#This Row],[Meeting Date]],2)+1)</f>
        <v/>
      </c>
      <c r="AK222" s="222">
        <f>IF(ISBLANK(Mentor_Connect[[#This Row],[Preferred Mentor Selected On]]),"",Mentor_Connect[[#This Row],[Preferred Mentor Selected On]]-WEEKDAY(Mentor_Connect[[#This Row],[Preferred Mentor Selected On]],2)+1)</f>
        <v>45957</v>
      </c>
    </row>
    <row r="223" spans="1:37" ht="24.6" customHeight="1" x14ac:dyDescent="0.3">
      <c r="A223" s="231" t="s">
        <v>156</v>
      </c>
      <c r="B223" s="507" t="str">
        <f>VLOOKUP(Mentor_Connect[[#This Row],[Venture Name]],[1]!VenturesList[#All],2,FALSE)</f>
        <v>Accelerate Prime</v>
      </c>
      <c r="C223" s="526">
        <f>VLOOKUP(Mentor_Connect[[#This Row],[Venture Name]],[1]!VenturesList[#All],3,FALSE)</f>
        <v>45962</v>
      </c>
      <c r="D223" s="8" t="str">
        <f>VLOOKUP(Mentor_Connect[[#This Row],[Venture Name]],[1]!VenturesList[#All],5,FALSE)</f>
        <v>Shruti Modi</v>
      </c>
      <c r="E223" s="509"/>
      <c r="F223" s="216" t="s">
        <v>439</v>
      </c>
      <c r="G223" s="217">
        <v>46015</v>
      </c>
      <c r="H223" s="514">
        <v>46021</v>
      </c>
      <c r="I223" s="515">
        <v>46021</v>
      </c>
      <c r="J223" s="225">
        <v>45962</v>
      </c>
      <c r="K223" s="225"/>
      <c r="L223" s="217" t="s">
        <v>358</v>
      </c>
      <c r="M223" s="217">
        <v>45962</v>
      </c>
      <c r="N223" s="20"/>
      <c r="O223" s="6" t="s">
        <v>1305</v>
      </c>
      <c r="P223" s="9"/>
      <c r="Q223" s="129"/>
      <c r="R223" s="8"/>
      <c r="S223" s="9"/>
      <c r="T223" s="8"/>
      <c r="U223" s="8"/>
      <c r="V223" s="8"/>
      <c r="W223" s="8"/>
      <c r="X223" s="8"/>
      <c r="Y223" s="8"/>
      <c r="Z223" s="9"/>
      <c r="AA223" s="8"/>
      <c r="AB223" s="9"/>
      <c r="AC223" s="9"/>
      <c r="AD223" s="9"/>
      <c r="AE223" s="9"/>
      <c r="AF223" s="9"/>
      <c r="AG223" s="9"/>
      <c r="AH223" s="9"/>
      <c r="AI223" s="9"/>
      <c r="AJ223" s="225" t="str">
        <f>IF(ISBLANK(Mentor_Connect[[#This Row],[Meeting Date]]),"",Mentor_Connect[[#This Row],[Meeting Date]]-WEEKDAY(Mentor_Connect[[#This Row],[Meeting Date]],2)+1)</f>
        <v/>
      </c>
      <c r="AK223" s="222">
        <f>IF(ISBLANK(Mentor_Connect[[#This Row],[Preferred Mentor Selected On]]),"",Mentor_Connect[[#This Row],[Preferred Mentor Selected On]]-WEEKDAY(Mentor_Connect[[#This Row],[Preferred Mentor Selected On]],2)+1)</f>
        <v>45957</v>
      </c>
    </row>
    <row r="224" spans="1:37" ht="24.6" customHeight="1" x14ac:dyDescent="0.3">
      <c r="A224" s="243" t="s">
        <v>246</v>
      </c>
      <c r="B224" s="528" t="str">
        <f>VLOOKUP(Mentor_Connect[[#This Row],[Venture Name]],[1]!VenturesList[#All],2,FALSE)</f>
        <v>Accelerate Core</v>
      </c>
      <c r="C224" s="536">
        <f>VLOOKUP(Mentor_Connect[[#This Row],[Venture Name]],[1]!VenturesList[#All],3,FALSE)</f>
        <v>45901</v>
      </c>
      <c r="D224" s="237" t="str">
        <f>VLOOKUP(Mentor_Connect[[#This Row],[Venture Name]],[1]!VenturesList[#All],5,FALSE)</f>
        <v>Balasubramanian S</v>
      </c>
      <c r="E224" s="530"/>
      <c r="F224" s="238" t="s">
        <v>434</v>
      </c>
      <c r="G224" s="21"/>
      <c r="H224" s="21"/>
      <c r="I224" s="21"/>
      <c r="J224" s="21"/>
      <c r="K224" s="240"/>
      <c r="L224" s="239"/>
      <c r="M224" s="239"/>
      <c r="N224" s="241"/>
      <c r="O224" s="241"/>
      <c r="P224" s="21"/>
      <c r="Q224" s="242"/>
      <c r="R224" s="237"/>
      <c r="S224" s="21"/>
      <c r="T224" s="237"/>
      <c r="U224" s="237"/>
      <c r="V224" s="237"/>
      <c r="W224" s="237"/>
      <c r="X224" s="237"/>
      <c r="Y224" s="237"/>
      <c r="Z224" s="21"/>
      <c r="AA224" s="237"/>
      <c r="AB224" s="21"/>
      <c r="AC224" s="21"/>
      <c r="AD224" s="21"/>
      <c r="AE224" s="21"/>
      <c r="AF224" s="21"/>
      <c r="AG224" s="21"/>
      <c r="AH224" s="21"/>
      <c r="AI224" s="9"/>
      <c r="AJ224" s="225" t="str">
        <f>IF(ISBLANK(Mentor_Connect[[#This Row],[Meeting Date]]),"",Mentor_Connect[[#This Row],[Meeting Date]]-WEEKDAY(Mentor_Connect[[#This Row],[Meeting Date]],2)+1)</f>
        <v/>
      </c>
      <c r="AK224" s="222" t="str">
        <f>IF(ISBLANK(Mentor_Connect[[#This Row],[Preferred Mentor Selected On]]),"",Mentor_Connect[[#This Row],[Preferred Mentor Selected On]]-WEEKDAY(Mentor_Connect[[#This Row],[Preferred Mentor Selected On]],2)+1)</f>
        <v/>
      </c>
    </row>
    <row r="225" spans="1:37" ht="24.6" customHeight="1" x14ac:dyDescent="0.3">
      <c r="A225" s="537" t="s">
        <v>276</v>
      </c>
      <c r="B225" s="273" t="str">
        <f>VLOOKUP(Mentor_Connect[[#This Row],[Venture Name]],[1]!VenturesList[#All],2,FALSE)</f>
        <v>Accelerate Core</v>
      </c>
      <c r="C225" s="274">
        <f>VLOOKUP(Mentor_Connect[[#This Row],[Venture Name]],[1]!VenturesList[#All],3,FALSE)</f>
        <v>45962</v>
      </c>
      <c r="D225" s="8" t="str">
        <f>VLOOKUP(Mentor_Connect[[#This Row],[Venture Name]],[1]!VenturesList[#All],5,FALSE)</f>
        <v>Jigar</v>
      </c>
      <c r="E225" s="216" t="s">
        <v>492</v>
      </c>
      <c r="F225" s="216" t="s">
        <v>446</v>
      </c>
      <c r="G225" s="217">
        <v>46015</v>
      </c>
      <c r="H225" s="538">
        <v>46024</v>
      </c>
      <c r="I225" s="448">
        <v>46027</v>
      </c>
      <c r="J225" s="225"/>
      <c r="K225" s="225"/>
      <c r="L225" s="217" t="s">
        <v>345</v>
      </c>
      <c r="M225" s="217">
        <v>45962</v>
      </c>
      <c r="N225" s="20"/>
      <c r="O225" s="159" t="s">
        <v>1306</v>
      </c>
      <c r="P225" s="9"/>
      <c r="Q225" s="129"/>
      <c r="R225" s="2" t="s">
        <v>989</v>
      </c>
      <c r="S225" s="344" t="s">
        <v>1307</v>
      </c>
      <c r="T225" s="344" t="s">
        <v>1308</v>
      </c>
      <c r="U225" s="344">
        <v>7798310444</v>
      </c>
      <c r="V225" s="2" t="s">
        <v>1309</v>
      </c>
      <c r="W225" s="2"/>
      <c r="X225" s="2"/>
      <c r="Y225" s="2"/>
      <c r="Z225" s="9" t="s">
        <v>943</v>
      </c>
      <c r="AA225" s="8"/>
      <c r="AB225" s="9"/>
      <c r="AC225" s="9"/>
      <c r="AD225" s="9"/>
      <c r="AE225" s="9"/>
      <c r="AF225" s="9"/>
      <c r="AG225" s="9"/>
      <c r="AH225" s="9"/>
      <c r="AI225" s="9" t="s">
        <v>916</v>
      </c>
      <c r="AJ225" s="225" t="str">
        <f>IF(ISBLANK(Mentor_Connect[[#This Row],[Meeting Date]]),"",Mentor_Connect[[#This Row],[Meeting Date]]-WEEKDAY(Mentor_Connect[[#This Row],[Meeting Date]],2)+1)</f>
        <v/>
      </c>
      <c r="AK225" s="222" t="str">
        <f>IF(ISBLANK(Mentor_Connect[[#This Row],[Preferred Mentor Selected On]]),"",Mentor_Connect[[#This Row],[Preferred Mentor Selected On]]-WEEKDAY(Mentor_Connect[[#This Row],[Preferred Mentor Selected On]],2)+1)</f>
        <v/>
      </c>
    </row>
    <row r="226" spans="1:37" ht="24.6" customHeight="1" x14ac:dyDescent="0.3">
      <c r="A226" s="273" t="s">
        <v>276</v>
      </c>
      <c r="B226" s="8" t="str">
        <f>VLOOKUP(Mentor_Connect[[#This Row],[Venture Name]],[1]!VenturesList[#All],2,FALSE)</f>
        <v>Accelerate Core</v>
      </c>
      <c r="C226" s="223">
        <f>VLOOKUP(Mentor_Connect[[#This Row],[Venture Name]],[1]!VenturesList[#All],3,FALSE)</f>
        <v>45962</v>
      </c>
      <c r="D226" s="8" t="str">
        <f>VLOOKUP(Mentor_Connect[[#This Row],[Venture Name]],[1]!VenturesList[#All],5,FALSE)</f>
        <v>Jigar</v>
      </c>
      <c r="E226" s="216" t="s">
        <v>493</v>
      </c>
      <c r="F226" s="216" t="s">
        <v>446</v>
      </c>
      <c r="G226" s="217">
        <v>46015</v>
      </c>
      <c r="H226" s="538">
        <v>46024</v>
      </c>
      <c r="I226" s="448">
        <v>46027</v>
      </c>
      <c r="J226" s="225"/>
      <c r="K226" s="225"/>
      <c r="L226" s="217" t="s">
        <v>345</v>
      </c>
      <c r="M226" s="217">
        <v>45962</v>
      </c>
      <c r="N226" s="20"/>
      <c r="O226" s="6" t="s">
        <v>1310</v>
      </c>
      <c r="P226" s="9"/>
      <c r="Q226" s="129"/>
      <c r="R226" s="8"/>
      <c r="S226" s="9"/>
      <c r="T226" s="8"/>
      <c r="U226" s="8"/>
      <c r="V226" s="8"/>
      <c r="W226" s="8"/>
      <c r="X226" s="8"/>
      <c r="Y226" s="8"/>
      <c r="Z226" s="9" t="s">
        <v>966</v>
      </c>
      <c r="AA226" s="8"/>
      <c r="AB226" s="9"/>
      <c r="AC226" s="9"/>
      <c r="AD226" s="9"/>
      <c r="AE226" s="9"/>
      <c r="AF226" s="9"/>
      <c r="AG226" s="9"/>
      <c r="AH226" s="9"/>
      <c r="AI226" s="9"/>
      <c r="AJ226" s="225" t="str">
        <f>IF(ISBLANK(Mentor_Connect[[#This Row],[Meeting Date]]),"",Mentor_Connect[[#This Row],[Meeting Date]]-WEEKDAY(Mentor_Connect[[#This Row],[Meeting Date]],2)+1)</f>
        <v/>
      </c>
      <c r="AK226" s="222" t="str">
        <f>IF(ISBLANK(Mentor_Connect[[#This Row],[Preferred Mentor Selected On]]),"",Mentor_Connect[[#This Row],[Preferred Mentor Selected On]]-WEEKDAY(Mentor_Connect[[#This Row],[Preferred Mentor Selected On]],2)+1)</f>
        <v/>
      </c>
    </row>
    <row r="227" spans="1:37" ht="24.6" customHeight="1" x14ac:dyDescent="0.3">
      <c r="A227" s="273" t="s">
        <v>276</v>
      </c>
      <c r="B227" s="8" t="str">
        <f>VLOOKUP(Mentor_Connect[[#This Row],[Venture Name]],[1]!VenturesList[#All],2,FALSE)</f>
        <v>Accelerate Core</v>
      </c>
      <c r="C227" s="223">
        <f>VLOOKUP(Mentor_Connect[[#This Row],[Venture Name]],[1]!VenturesList[#All],3,FALSE)</f>
        <v>45962</v>
      </c>
      <c r="D227" s="8" t="str">
        <f>VLOOKUP(Mentor_Connect[[#This Row],[Venture Name]],[1]!VenturesList[#All],5,FALSE)</f>
        <v>Jigar</v>
      </c>
      <c r="E227" s="60" t="s">
        <v>494</v>
      </c>
      <c r="F227" s="216" t="s">
        <v>444</v>
      </c>
      <c r="G227" s="217">
        <v>46015</v>
      </c>
      <c r="H227" s="538">
        <v>46024</v>
      </c>
      <c r="I227" s="448">
        <v>46027</v>
      </c>
      <c r="J227" s="225">
        <v>46059</v>
      </c>
      <c r="K227" s="225"/>
      <c r="L227" s="217" t="s">
        <v>345</v>
      </c>
      <c r="M227" s="217">
        <v>45962</v>
      </c>
      <c r="N227" s="20"/>
      <c r="O227" s="6" t="s">
        <v>1311</v>
      </c>
      <c r="P227" s="9"/>
      <c r="Q227" s="129"/>
      <c r="R227" s="8"/>
      <c r="S227" s="9"/>
      <c r="T227" s="8"/>
      <c r="U227" s="8"/>
      <c r="V227" s="8"/>
      <c r="W227" s="8"/>
      <c r="X227" s="8"/>
      <c r="Y227" s="8"/>
      <c r="Z227" s="9" t="s">
        <v>966</v>
      </c>
      <c r="AA227" s="8"/>
      <c r="AB227" s="9"/>
      <c r="AC227" s="9"/>
      <c r="AD227" s="9"/>
      <c r="AE227" s="9"/>
      <c r="AF227" s="9"/>
      <c r="AG227" s="9"/>
      <c r="AH227" s="9"/>
      <c r="AI227" s="9"/>
      <c r="AJ227" s="225" t="str">
        <f>IF(ISBLANK(Mentor_Connect[[#This Row],[Meeting Date]]),"",Mentor_Connect[[#This Row],[Meeting Date]]-WEEKDAY(Mentor_Connect[[#This Row],[Meeting Date]],2)+1)</f>
        <v/>
      </c>
      <c r="AK227" s="222">
        <f>IF(ISBLANK(Mentor_Connect[[#This Row],[Preferred Mentor Selected On]]),"",Mentor_Connect[[#This Row],[Preferred Mentor Selected On]]-WEEKDAY(Mentor_Connect[[#This Row],[Preferred Mentor Selected On]],2)+1)</f>
        <v>46055</v>
      </c>
    </row>
    <row r="228" spans="1:37" ht="24.6" customHeight="1" x14ac:dyDescent="0.3">
      <c r="A228" s="231" t="s">
        <v>65</v>
      </c>
      <c r="B228" s="231" t="str">
        <f>VLOOKUP(Mentor_Connect[[#This Row],[Venture Name]],[1]!VenturesList[#All],2,FALSE)</f>
        <v>Accelerate Prime</v>
      </c>
      <c r="C228" s="274">
        <f>VLOOKUP(Mentor_Connect[[#This Row],[Venture Name]],[1]!VenturesList[#All],3,FALSE)</f>
        <v>45962</v>
      </c>
      <c r="D228" s="8" t="str">
        <f>VLOOKUP(Mentor_Connect[[#This Row],[Venture Name]],[1]!VenturesList[#All],5,FALSE)</f>
        <v>Shruti Modi</v>
      </c>
      <c r="E228" s="216" t="s">
        <v>124</v>
      </c>
      <c r="F228" s="216" t="s">
        <v>18</v>
      </c>
      <c r="G228" s="217">
        <v>46015</v>
      </c>
      <c r="H228" s="217">
        <v>46022</v>
      </c>
      <c r="I228" s="217">
        <v>46022</v>
      </c>
      <c r="J228" s="261">
        <v>46035</v>
      </c>
      <c r="K228" s="225">
        <v>46038</v>
      </c>
      <c r="L228" s="217" t="s">
        <v>345</v>
      </c>
      <c r="M228" s="217">
        <v>45962</v>
      </c>
      <c r="N228" s="20"/>
      <c r="O228" s="6" t="s">
        <v>1312</v>
      </c>
      <c r="P228" s="9"/>
      <c r="Q228" s="129">
        <v>115025880088</v>
      </c>
      <c r="R228" s="231" t="s">
        <v>913</v>
      </c>
      <c r="S228" s="51" t="s">
        <v>495</v>
      </c>
      <c r="T228" s="539" t="s">
        <v>496</v>
      </c>
      <c r="U228" s="51">
        <v>7623072273</v>
      </c>
      <c r="V228" s="2" t="s">
        <v>1313</v>
      </c>
      <c r="W228" s="2"/>
      <c r="X228" s="53" t="s">
        <v>1314</v>
      </c>
      <c r="Y228" s="53" t="s">
        <v>1315</v>
      </c>
      <c r="Z228" s="9" t="s">
        <v>943</v>
      </c>
      <c r="AA228" s="8"/>
      <c r="AB228" s="9"/>
      <c r="AC228" s="9"/>
      <c r="AD228" s="9"/>
      <c r="AE228" s="9"/>
      <c r="AF228" s="9"/>
      <c r="AG228" s="9"/>
      <c r="AH228" s="9"/>
      <c r="AI228" s="9" t="s">
        <v>916</v>
      </c>
      <c r="AJ228" s="225">
        <f>IF(ISBLANK(Mentor_Connect[[#This Row],[Meeting Date]]),"",Mentor_Connect[[#This Row],[Meeting Date]]-WEEKDAY(Mentor_Connect[[#This Row],[Meeting Date]],2)+1)</f>
        <v>46034</v>
      </c>
      <c r="AK228" s="222">
        <f>IF(ISBLANK(Mentor_Connect[[#This Row],[Preferred Mentor Selected On]]),"",Mentor_Connect[[#This Row],[Preferred Mentor Selected On]]-WEEKDAY(Mentor_Connect[[#This Row],[Preferred Mentor Selected On]],2)+1)</f>
        <v>46034</v>
      </c>
    </row>
    <row r="229" spans="1:37" ht="24.6" customHeight="1" x14ac:dyDescent="0.3">
      <c r="A229" s="373" t="s">
        <v>20</v>
      </c>
      <c r="B229" s="532" t="str">
        <f>VLOOKUP(Mentor_Connect[[#This Row],[Venture Name]],[1]!VenturesList[#All],2,FALSE)</f>
        <v>Accelerate Core</v>
      </c>
      <c r="C229" s="533">
        <f>VLOOKUP(Mentor_Connect[[#This Row],[Venture Name]],[1]!VenturesList[#All],3,FALSE)</f>
        <v>45962</v>
      </c>
      <c r="D229" s="279" t="str">
        <f>VLOOKUP(Mentor_Connect[[#This Row],[Venture Name]],[1]!VenturesList[#All],5,FALSE)</f>
        <v>Jigar</v>
      </c>
      <c r="E229" s="505" t="s">
        <v>122</v>
      </c>
      <c r="F229" s="288" t="s">
        <v>446</v>
      </c>
      <c r="G229" s="217">
        <v>46015</v>
      </c>
      <c r="H229" s="217">
        <v>46020</v>
      </c>
      <c r="I229" s="217">
        <v>46020</v>
      </c>
      <c r="J229" s="219">
        <v>46041</v>
      </c>
      <c r="K229" s="219"/>
      <c r="L229" s="218" t="s">
        <v>345</v>
      </c>
      <c r="M229" s="218">
        <v>45962</v>
      </c>
      <c r="N229" s="347"/>
      <c r="O229" s="290" t="s">
        <v>1316</v>
      </c>
      <c r="P229" s="36"/>
      <c r="Q229" s="149"/>
      <c r="R229" s="279"/>
      <c r="S229" s="36"/>
      <c r="T229" s="279"/>
      <c r="U229" s="279"/>
      <c r="V229" s="279"/>
      <c r="W229" s="279"/>
      <c r="X229" s="279"/>
      <c r="Y229" s="279"/>
      <c r="Z229" s="36" t="s">
        <v>966</v>
      </c>
      <c r="AA229" s="279"/>
      <c r="AB229" s="36"/>
      <c r="AC229" s="36"/>
      <c r="AD229" s="36"/>
      <c r="AE229" s="36"/>
      <c r="AF229" s="36"/>
      <c r="AG229" s="36"/>
      <c r="AH229" s="36"/>
      <c r="AI229" s="9"/>
      <c r="AJ229" s="225" t="str">
        <f>IF(ISBLANK(Mentor_Connect[[#This Row],[Meeting Date]]),"",Mentor_Connect[[#This Row],[Meeting Date]]-WEEKDAY(Mentor_Connect[[#This Row],[Meeting Date]],2)+1)</f>
        <v/>
      </c>
      <c r="AK229" s="222">
        <f>IF(ISBLANK(Mentor_Connect[[#This Row],[Preferred Mentor Selected On]]),"",Mentor_Connect[[#This Row],[Preferred Mentor Selected On]]-WEEKDAY(Mentor_Connect[[#This Row],[Preferred Mentor Selected On]],2)+1)</f>
        <v>46041</v>
      </c>
    </row>
    <row r="230" spans="1:37" ht="24.6" customHeight="1" x14ac:dyDescent="0.3">
      <c r="A230" s="231" t="s">
        <v>20</v>
      </c>
      <c r="B230" s="507" t="str">
        <f>VLOOKUP(Mentor_Connect[[#This Row],[Venture Name]],[1]!VenturesList[#All],2,FALSE)</f>
        <v>Accelerate Core</v>
      </c>
      <c r="C230" s="526">
        <f>VLOOKUP(Mentor_Connect[[#This Row],[Venture Name]],[1]!VenturesList[#All],3,FALSE)</f>
        <v>45962</v>
      </c>
      <c r="D230" s="8" t="str">
        <f>VLOOKUP(Mentor_Connect[[#This Row],[Venture Name]],[1]!VenturesList[#All],5,FALSE)</f>
        <v>Jigar</v>
      </c>
      <c r="E230" s="509" t="s">
        <v>122</v>
      </c>
      <c r="F230" s="216" t="s">
        <v>18</v>
      </c>
      <c r="G230" s="217">
        <v>46015</v>
      </c>
      <c r="H230" s="447">
        <v>46020</v>
      </c>
      <c r="I230" s="448">
        <v>46020</v>
      </c>
      <c r="J230" s="225">
        <v>46041</v>
      </c>
      <c r="K230" s="225">
        <v>46056</v>
      </c>
      <c r="L230" s="218" t="s">
        <v>345</v>
      </c>
      <c r="M230" s="217">
        <v>45962</v>
      </c>
      <c r="N230" s="20"/>
      <c r="O230" s="6" t="s">
        <v>1317</v>
      </c>
      <c r="P230" s="9"/>
      <c r="Q230" s="129">
        <v>115056188745</v>
      </c>
      <c r="R230" s="231" t="s">
        <v>913</v>
      </c>
      <c r="S230" s="9" t="s">
        <v>497</v>
      </c>
      <c r="T230" s="540" t="s">
        <v>498</v>
      </c>
      <c r="U230" s="9">
        <v>9879060300</v>
      </c>
      <c r="V230" s="2" t="s">
        <v>1318</v>
      </c>
      <c r="W230" s="2"/>
      <c r="X230" s="53" t="s">
        <v>1319</v>
      </c>
      <c r="Y230" s="53" t="s">
        <v>1320</v>
      </c>
      <c r="Z230" s="9" t="s">
        <v>943</v>
      </c>
      <c r="AA230" s="8"/>
      <c r="AB230" s="9"/>
      <c r="AC230" s="9"/>
      <c r="AD230" s="9"/>
      <c r="AE230" s="9"/>
      <c r="AF230" s="9"/>
      <c r="AG230" s="9"/>
      <c r="AH230" s="9"/>
      <c r="AI230" s="9" t="s">
        <v>916</v>
      </c>
      <c r="AJ230" s="225">
        <f>IF(ISBLANK(Mentor_Connect[[#This Row],[Meeting Date]]),"",Mentor_Connect[[#This Row],[Meeting Date]]-WEEKDAY(Mentor_Connect[[#This Row],[Meeting Date]],2)+1)</f>
        <v>46055</v>
      </c>
      <c r="AK230" s="222">
        <f>IF(ISBLANK(Mentor_Connect[[#This Row],[Preferred Mentor Selected On]]),"",Mentor_Connect[[#This Row],[Preferred Mentor Selected On]]-WEEKDAY(Mentor_Connect[[#This Row],[Preferred Mentor Selected On]],2)+1)</f>
        <v>46041</v>
      </c>
    </row>
    <row r="231" spans="1:37" ht="24.6" customHeight="1" x14ac:dyDescent="0.3">
      <c r="A231" s="541" t="s">
        <v>20</v>
      </c>
      <c r="B231" s="510" t="str">
        <f>VLOOKUP(Mentor_Connect[[#This Row],[Venture Name]],[1]!VenturesList[#All],2,FALSE)</f>
        <v>Accelerate Core</v>
      </c>
      <c r="C231" s="511">
        <f>VLOOKUP(Mentor_Connect[[#This Row],[Venture Name]],[1]!VenturesList[#All],3,FALSE)</f>
        <v>45962</v>
      </c>
      <c r="D231" s="8" t="str">
        <f>VLOOKUP(Mentor_Connect[[#This Row],[Venture Name]],[1]!VenturesList[#All],5,FALSE)</f>
        <v>Jigar</v>
      </c>
      <c r="E231" s="509" t="s">
        <v>129</v>
      </c>
      <c r="F231" s="216" t="s">
        <v>18</v>
      </c>
      <c r="G231" s="217">
        <v>46015</v>
      </c>
      <c r="H231" s="447">
        <v>46020</v>
      </c>
      <c r="I231" s="448">
        <v>46020</v>
      </c>
      <c r="J231" s="225">
        <v>46041</v>
      </c>
      <c r="K231" s="225">
        <v>46072</v>
      </c>
      <c r="L231" s="218" t="s">
        <v>345</v>
      </c>
      <c r="M231" s="217">
        <v>45962</v>
      </c>
      <c r="N231" s="20"/>
      <c r="O231" s="6" t="s">
        <v>1321</v>
      </c>
      <c r="P231" s="9"/>
      <c r="Q231" s="129">
        <v>115056185661</v>
      </c>
      <c r="R231" s="2" t="s">
        <v>913</v>
      </c>
      <c r="S231" s="51" t="s">
        <v>497</v>
      </c>
      <c r="T231" s="246" t="s">
        <v>498</v>
      </c>
      <c r="U231" s="51">
        <v>9879060300</v>
      </c>
      <c r="V231" s="2" t="s">
        <v>1322</v>
      </c>
      <c r="W231" s="2"/>
      <c r="X231" s="2" t="s">
        <v>1176</v>
      </c>
      <c r="Y231" s="2" t="s">
        <v>1176</v>
      </c>
      <c r="Z231" s="9" t="s">
        <v>966</v>
      </c>
      <c r="AA231" s="8"/>
      <c r="AB231" s="9"/>
      <c r="AC231" s="9"/>
      <c r="AD231" s="9"/>
      <c r="AE231" s="9"/>
      <c r="AF231" s="9"/>
      <c r="AG231" s="9"/>
      <c r="AH231" s="9"/>
      <c r="AI231" s="9" t="s">
        <v>937</v>
      </c>
      <c r="AJ231" s="225">
        <f>IF(ISBLANK(Mentor_Connect[[#This Row],[Meeting Date]]),"",Mentor_Connect[[#This Row],[Meeting Date]]-WEEKDAY(Mentor_Connect[[#This Row],[Meeting Date]],2)+1)</f>
        <v>46069</v>
      </c>
      <c r="AK231" s="222">
        <f>IF(ISBLANK(Mentor_Connect[[#This Row],[Preferred Mentor Selected On]]),"",Mentor_Connect[[#This Row],[Preferred Mentor Selected On]]-WEEKDAY(Mentor_Connect[[#This Row],[Preferred Mentor Selected On]],2)+1)</f>
        <v>46041</v>
      </c>
    </row>
    <row r="232" spans="1:37" ht="24.6" customHeight="1" x14ac:dyDescent="0.3">
      <c r="A232" s="231" t="s">
        <v>20</v>
      </c>
      <c r="B232" s="507" t="str">
        <f>VLOOKUP(Mentor_Connect[[#This Row],[Venture Name]],[1]!VenturesList[#All],2,FALSE)</f>
        <v>Accelerate Core</v>
      </c>
      <c r="C232" s="526">
        <f>VLOOKUP(Mentor_Connect[[#This Row],[Venture Name]],[1]!VenturesList[#All],3,FALSE)</f>
        <v>45962</v>
      </c>
      <c r="D232" s="8" t="str">
        <f>VLOOKUP(Mentor_Connect[[#This Row],[Venture Name]],[1]!VenturesList[#All],5,FALSE)</f>
        <v>Jigar</v>
      </c>
      <c r="E232" s="509" t="s">
        <v>101</v>
      </c>
      <c r="F232" s="542" t="s">
        <v>18</v>
      </c>
      <c r="G232" s="217">
        <v>46015</v>
      </c>
      <c r="H232" s="447">
        <v>46020</v>
      </c>
      <c r="I232" s="448">
        <v>46020</v>
      </c>
      <c r="J232" s="225">
        <v>46041</v>
      </c>
      <c r="K232" s="225">
        <v>46069</v>
      </c>
      <c r="L232" s="218" t="s">
        <v>345</v>
      </c>
      <c r="M232" s="217">
        <v>45962</v>
      </c>
      <c r="N232" s="20"/>
      <c r="O232" s="6" t="s">
        <v>1323</v>
      </c>
      <c r="P232" s="9"/>
      <c r="Q232" s="129">
        <v>115056187584</v>
      </c>
      <c r="R232" s="2" t="s">
        <v>913</v>
      </c>
      <c r="S232" s="51" t="s">
        <v>497</v>
      </c>
      <c r="T232" s="535" t="s">
        <v>498</v>
      </c>
      <c r="U232" s="51">
        <v>9879060300</v>
      </c>
      <c r="V232" s="2" t="s">
        <v>1322</v>
      </c>
      <c r="W232" s="2"/>
      <c r="X232" s="53" t="s">
        <v>1324</v>
      </c>
      <c r="Y232" s="53" t="s">
        <v>1325</v>
      </c>
      <c r="Z232" s="9" t="s">
        <v>966</v>
      </c>
      <c r="AA232" s="8"/>
      <c r="AB232" s="9"/>
      <c r="AC232" s="9"/>
      <c r="AD232" s="9"/>
      <c r="AE232" s="9"/>
      <c r="AF232" s="9"/>
      <c r="AG232" s="9"/>
      <c r="AH232" s="9"/>
      <c r="AI232" s="9" t="s">
        <v>916</v>
      </c>
      <c r="AJ232" s="225">
        <f>IF(ISBLANK(Mentor_Connect[[#This Row],[Meeting Date]]),"",Mentor_Connect[[#This Row],[Meeting Date]]-WEEKDAY(Mentor_Connect[[#This Row],[Meeting Date]],2)+1)</f>
        <v>46069</v>
      </c>
      <c r="AK232" s="222">
        <f>IF(ISBLANK(Mentor_Connect[[#This Row],[Preferred Mentor Selected On]]),"",Mentor_Connect[[#This Row],[Preferred Mentor Selected On]]-WEEKDAY(Mentor_Connect[[#This Row],[Preferred Mentor Selected On]],2)+1)</f>
        <v>46041</v>
      </c>
    </row>
    <row r="233" spans="1:37" ht="24.6" customHeight="1" x14ac:dyDescent="0.3">
      <c r="A233" s="243" t="s">
        <v>20</v>
      </c>
      <c r="B233" s="528" t="str">
        <f>VLOOKUP(Mentor_Connect[[#This Row],[Venture Name]],[1]!VenturesList[#All],2,FALSE)</f>
        <v>Accelerate Core</v>
      </c>
      <c r="C233" s="529">
        <f>VLOOKUP(Mentor_Connect[[#This Row],[Venture Name]],[1]!VenturesList[#All],3,FALSE)</f>
        <v>45962</v>
      </c>
      <c r="D233" s="237" t="str">
        <f>VLOOKUP(Mentor_Connect[[#This Row],[Venture Name]],[1]!VenturesList[#All],5,FALSE)</f>
        <v>Jigar</v>
      </c>
      <c r="E233" s="543" t="s">
        <v>123</v>
      </c>
      <c r="F233" s="238" t="s">
        <v>18</v>
      </c>
      <c r="G233" s="239">
        <v>46015</v>
      </c>
      <c r="H233" s="514">
        <v>46020</v>
      </c>
      <c r="I233" s="515">
        <v>46020</v>
      </c>
      <c r="J233" s="240">
        <v>46041</v>
      </c>
      <c r="K233" s="240">
        <v>46070</v>
      </c>
      <c r="L233" s="239" t="s">
        <v>345</v>
      </c>
      <c r="M233" s="239">
        <v>45962</v>
      </c>
      <c r="N233" s="241"/>
      <c r="O233" s="22" t="s">
        <v>1326</v>
      </c>
      <c r="P233" s="21"/>
      <c r="Q233" s="242">
        <v>115056187941</v>
      </c>
      <c r="R233" s="38" t="s">
        <v>913</v>
      </c>
      <c r="S233" s="544" t="s">
        <v>497</v>
      </c>
      <c r="T233" s="545" t="s">
        <v>498</v>
      </c>
      <c r="U233" s="544">
        <v>9879060300</v>
      </c>
      <c r="V233" s="38" t="s">
        <v>1322</v>
      </c>
      <c r="W233" s="38"/>
      <c r="X233" s="415" t="s">
        <v>1327</v>
      </c>
      <c r="Y233" s="415" t="s">
        <v>1328</v>
      </c>
      <c r="Z233" s="21" t="s">
        <v>966</v>
      </c>
      <c r="AA233" s="237"/>
      <c r="AB233" s="21"/>
      <c r="AC233" s="21"/>
      <c r="AD233" s="21"/>
      <c r="AE233" s="21"/>
      <c r="AF233" s="21"/>
      <c r="AG233" s="21"/>
      <c r="AH233" s="21"/>
      <c r="AI233" s="9" t="s">
        <v>916</v>
      </c>
      <c r="AJ233" s="225">
        <f>IF(ISBLANK(Mentor_Connect[[#This Row],[Meeting Date]]),"",Mentor_Connect[[#This Row],[Meeting Date]]-WEEKDAY(Mentor_Connect[[#This Row],[Meeting Date]],2)+1)</f>
        <v>46069</v>
      </c>
      <c r="AK233" s="222">
        <f>IF(ISBLANK(Mentor_Connect[[#This Row],[Preferred Mentor Selected On]]),"",Mentor_Connect[[#This Row],[Preferred Mentor Selected On]]-WEEKDAY(Mentor_Connect[[#This Row],[Preferred Mentor Selected On]],2)+1)</f>
        <v>46041</v>
      </c>
    </row>
    <row r="234" spans="1:37" ht="24.6" customHeight="1" x14ac:dyDescent="0.3">
      <c r="A234" s="231" t="s">
        <v>203</v>
      </c>
      <c r="B234" s="231" t="str">
        <f>VLOOKUP(Mentor_Connect[[#This Row],[Venture Name]],[1]!VenturesList[#All],2,FALSE)</f>
        <v>Accelerate Prime</v>
      </c>
      <c r="C234" s="274">
        <f>VLOOKUP(Mentor_Connect[[#This Row],[Venture Name]],[1]!VenturesList[#All],3,FALSE)</f>
        <v>45962</v>
      </c>
      <c r="D234" s="8" t="str">
        <f>VLOOKUP(Mentor_Connect[[#This Row],[Venture Name]],[1]!VenturesList[#All],5,FALSE)</f>
        <v>Shruti Modi</v>
      </c>
      <c r="E234" s="216"/>
      <c r="F234" s="216" t="s">
        <v>434</v>
      </c>
      <c r="G234" s="9"/>
      <c r="H234" s="9"/>
      <c r="I234" s="9"/>
      <c r="J234" s="217">
        <v>45962</v>
      </c>
      <c r="K234" s="225"/>
      <c r="L234" s="217" t="s">
        <v>358</v>
      </c>
      <c r="M234" s="217">
        <v>45962</v>
      </c>
      <c r="N234" s="20"/>
      <c r="O234" s="44" t="s">
        <v>925</v>
      </c>
      <c r="P234" s="9"/>
      <c r="Q234" s="129"/>
      <c r="R234" s="8"/>
      <c r="S234" s="9"/>
      <c r="T234" s="8"/>
      <c r="U234" s="8"/>
      <c r="V234" s="8"/>
      <c r="W234" s="8"/>
      <c r="X234" s="8"/>
      <c r="Y234" s="8"/>
      <c r="Z234" s="9"/>
      <c r="AA234" s="8"/>
      <c r="AB234" s="9"/>
      <c r="AC234" s="9"/>
      <c r="AD234" s="9"/>
      <c r="AE234" s="9"/>
      <c r="AF234" s="9"/>
      <c r="AG234" s="9"/>
      <c r="AH234" s="9"/>
      <c r="AI234" s="9"/>
      <c r="AJ234" s="225" t="str">
        <f>IF(ISBLANK(Mentor_Connect[[#This Row],[Meeting Date]]),"",Mentor_Connect[[#This Row],[Meeting Date]]-WEEKDAY(Mentor_Connect[[#This Row],[Meeting Date]],2)+1)</f>
        <v/>
      </c>
      <c r="AK234" s="222">
        <f>IF(ISBLANK(Mentor_Connect[[#This Row],[Preferred Mentor Selected On]]),"",Mentor_Connect[[#This Row],[Preferred Mentor Selected On]]-WEEKDAY(Mentor_Connect[[#This Row],[Preferred Mentor Selected On]],2)+1)</f>
        <v>45957</v>
      </c>
    </row>
    <row r="235" spans="1:37" ht="24.6" customHeight="1" x14ac:dyDescent="0.3">
      <c r="A235" s="231" t="s">
        <v>20</v>
      </c>
      <c r="B235" s="231" t="str">
        <f>VLOOKUP(Mentor_Connect[[#This Row],[Venture Name]],[1]!VenturesList[#All],2,FALSE)</f>
        <v>Accelerate Core</v>
      </c>
      <c r="C235" s="274">
        <f>VLOOKUP(Mentor_Connect[[#This Row],[Venture Name]],[1]!VenturesList[#All],3,FALSE)</f>
        <v>45962</v>
      </c>
      <c r="D235" s="8" t="str">
        <f>VLOOKUP(Mentor_Connect[[#This Row],[Venture Name]],[1]!VenturesList[#All],5,FALSE)</f>
        <v>Jigar</v>
      </c>
      <c r="E235" s="216" t="s">
        <v>129</v>
      </c>
      <c r="F235" s="542" t="s">
        <v>18</v>
      </c>
      <c r="G235" s="217">
        <v>46015</v>
      </c>
      <c r="H235" s="447">
        <v>46020</v>
      </c>
      <c r="I235" s="448">
        <v>46020</v>
      </c>
      <c r="J235" s="225">
        <v>46041</v>
      </c>
      <c r="K235" s="225">
        <v>46065</v>
      </c>
      <c r="L235" s="217" t="s">
        <v>345</v>
      </c>
      <c r="M235" s="217">
        <v>45962</v>
      </c>
      <c r="N235" s="20"/>
      <c r="O235" s="6" t="s">
        <v>1329</v>
      </c>
      <c r="P235" s="9"/>
      <c r="Q235" s="129">
        <v>115056185661</v>
      </c>
      <c r="R235" s="2" t="s">
        <v>913</v>
      </c>
      <c r="S235" s="51" t="s">
        <v>497</v>
      </c>
      <c r="T235" s="546" t="s">
        <v>498</v>
      </c>
      <c r="U235" s="51">
        <v>9879060300</v>
      </c>
      <c r="V235" s="2" t="s">
        <v>1322</v>
      </c>
      <c r="W235" s="2"/>
      <c r="X235" s="53" t="s">
        <v>1330</v>
      </c>
      <c r="Y235" s="53" t="s">
        <v>1331</v>
      </c>
      <c r="Z235" s="9" t="s">
        <v>966</v>
      </c>
      <c r="AA235" s="8"/>
      <c r="AB235" s="9"/>
      <c r="AC235" s="9"/>
      <c r="AD235" s="9"/>
      <c r="AE235" s="9"/>
      <c r="AF235" s="9"/>
      <c r="AG235" s="9"/>
      <c r="AH235" s="9"/>
      <c r="AI235" s="9" t="s">
        <v>937</v>
      </c>
      <c r="AJ235" s="225">
        <f>IF(ISBLANK(Mentor_Connect[[#This Row],[Meeting Date]]),"",Mentor_Connect[[#This Row],[Meeting Date]]-WEEKDAY(Mentor_Connect[[#This Row],[Meeting Date]],2)+1)</f>
        <v>46062</v>
      </c>
      <c r="AK235" s="222">
        <f>IF(ISBLANK(Mentor_Connect[[#This Row],[Preferred Mentor Selected On]]),"",Mentor_Connect[[#This Row],[Preferred Mentor Selected On]]-WEEKDAY(Mentor_Connect[[#This Row],[Preferred Mentor Selected On]],2)+1)</f>
        <v>46041</v>
      </c>
    </row>
    <row r="236" spans="1:37" ht="24.6" customHeight="1" x14ac:dyDescent="0.3">
      <c r="A236" s="231" t="s">
        <v>58</v>
      </c>
      <c r="B236" s="243" t="str">
        <f>VLOOKUP(Mentor_Connect[[#This Row],[Venture Name]],[1]!VenturesList[#All],2,FALSE)</f>
        <v>Accelerate Core</v>
      </c>
      <c r="C236" s="274">
        <f>VLOOKUP(Mentor_Connect[[#This Row],[Venture Name]],[1]!VenturesList[#All],3,FALSE)</f>
        <v>45962</v>
      </c>
      <c r="D236" s="8" t="str">
        <f>VLOOKUP(Mentor_Connect[[#This Row],[Venture Name]],[1]!VenturesList[#All],5,FALSE)</f>
        <v>Jigar</v>
      </c>
      <c r="E236" s="288" t="s">
        <v>5</v>
      </c>
      <c r="F236" s="216" t="s">
        <v>18</v>
      </c>
      <c r="G236" s="217"/>
      <c r="H236" s="217">
        <v>45992</v>
      </c>
      <c r="I236" s="217">
        <v>46027</v>
      </c>
      <c r="J236" s="217"/>
      <c r="K236" s="240">
        <v>46092</v>
      </c>
      <c r="L236" s="217"/>
      <c r="M236" s="217"/>
      <c r="N236" s="20"/>
      <c r="O236" s="20"/>
      <c r="P236" s="9"/>
      <c r="Q236" s="242"/>
      <c r="R236" s="8" t="s">
        <v>913</v>
      </c>
      <c r="S236" s="5" t="s">
        <v>1332</v>
      </c>
      <c r="T236" s="23" t="s">
        <v>1333</v>
      </c>
      <c r="U236" s="5">
        <v>7383635420</v>
      </c>
      <c r="V236" s="8"/>
      <c r="W236" s="237"/>
      <c r="X236" s="323" t="s">
        <v>1176</v>
      </c>
      <c r="Y236" s="323" t="s">
        <v>1176</v>
      </c>
      <c r="Z236" s="9"/>
      <c r="AA236" s="8"/>
      <c r="AB236" s="9"/>
      <c r="AC236" s="21"/>
      <c r="AD236" s="21"/>
      <c r="AE236" s="21"/>
      <c r="AF236" s="21"/>
      <c r="AG236" s="21"/>
      <c r="AH236" s="8" t="s">
        <v>433</v>
      </c>
      <c r="AI236" s="9"/>
      <c r="AJ236" s="225">
        <f>IF(ISBLANK(Mentor_Connect[[#This Row],[Meeting Date]]),"",Mentor_Connect[[#This Row],[Meeting Date]]-WEEKDAY(Mentor_Connect[[#This Row],[Meeting Date]],2)+1)</f>
        <v>46090</v>
      </c>
      <c r="AK236" s="222" t="str">
        <f>IF(ISBLANK(Mentor_Connect[[#This Row],[Preferred Mentor Selected On]]),"",Mentor_Connect[[#This Row],[Preferred Mentor Selected On]]-WEEKDAY(Mentor_Connect[[#This Row],[Preferred Mentor Selected On]],2)+1)</f>
        <v/>
      </c>
    </row>
    <row r="237" spans="1:37" ht="24.6" customHeight="1" x14ac:dyDescent="0.3">
      <c r="A237" s="231" t="s">
        <v>58</v>
      </c>
      <c r="B237" s="231" t="str">
        <f>VLOOKUP(Mentor_Connect[[#This Row],[Venture Name]],[1]!VenturesList[#All],2,FALSE)</f>
        <v>Accelerate Core</v>
      </c>
      <c r="C237" s="274">
        <f>VLOOKUP(Mentor_Connect[[#This Row],[Venture Name]],[1]!VenturesList[#All],3,FALSE)</f>
        <v>45962</v>
      </c>
      <c r="D237" s="8" t="str">
        <f>VLOOKUP(Mentor_Connect[[#This Row],[Venture Name]],[1]!VenturesList[#All],5,FALSE)</f>
        <v>Jigar</v>
      </c>
      <c r="E237" s="216"/>
      <c r="F237" s="216" t="s">
        <v>440</v>
      </c>
      <c r="G237" s="217">
        <v>46015</v>
      </c>
      <c r="H237" s="447">
        <v>46027</v>
      </c>
      <c r="I237" s="448">
        <v>46027</v>
      </c>
      <c r="J237" s="225">
        <v>45962</v>
      </c>
      <c r="K237" s="225"/>
      <c r="L237" s="217" t="s">
        <v>358</v>
      </c>
      <c r="M237" s="217">
        <v>45962</v>
      </c>
      <c r="N237" s="20"/>
      <c r="O237" s="6" t="s">
        <v>1334</v>
      </c>
      <c r="P237" s="9"/>
      <c r="Q237" s="129"/>
      <c r="R237" s="8"/>
      <c r="S237" s="9"/>
      <c r="T237" s="8"/>
      <c r="U237" s="8"/>
      <c r="V237" s="8"/>
      <c r="W237" s="8"/>
      <c r="X237" s="8"/>
      <c r="Y237" s="8"/>
      <c r="Z237" s="9"/>
      <c r="AA237" s="8"/>
      <c r="AB237" s="9"/>
      <c r="AC237" s="9"/>
      <c r="AD237" s="9"/>
      <c r="AE237" s="9"/>
      <c r="AF237" s="9"/>
      <c r="AG237" s="9"/>
      <c r="AH237" s="9"/>
      <c r="AI237" s="9"/>
      <c r="AJ237" s="225" t="str">
        <f>IF(ISBLANK(Mentor_Connect[[#This Row],[Meeting Date]]),"",Mentor_Connect[[#This Row],[Meeting Date]]-WEEKDAY(Mentor_Connect[[#This Row],[Meeting Date]],2)+1)</f>
        <v/>
      </c>
      <c r="AK237" s="222">
        <f>IF(ISBLANK(Mentor_Connect[[#This Row],[Preferred Mentor Selected On]]),"",Mentor_Connect[[#This Row],[Preferred Mentor Selected On]]-WEEKDAY(Mentor_Connect[[#This Row],[Preferred Mentor Selected On]],2)+1)</f>
        <v>45957</v>
      </c>
    </row>
    <row r="238" spans="1:37" ht="24.6" customHeight="1" x14ac:dyDescent="0.3">
      <c r="A238" s="231" t="s">
        <v>41</v>
      </c>
      <c r="B238" s="231" t="str">
        <f>VLOOKUP(Mentor_Connect[[#This Row],[Venture Name]],[1]!VenturesList[#All],2,FALSE)</f>
        <v>Accelerate Prime</v>
      </c>
      <c r="C238" s="274">
        <f>VLOOKUP(Mentor_Connect[[#This Row],[Venture Name]],[1]!VenturesList[#All],3,FALSE)</f>
        <v>45962</v>
      </c>
      <c r="D238" s="8" t="str">
        <f>VLOOKUP(Mentor_Connect[[#This Row],[Venture Name]],[1]!VenturesList[#All],5,FALSE)</f>
        <v>Shruti Modi</v>
      </c>
      <c r="E238" s="216" t="s">
        <v>130</v>
      </c>
      <c r="F238" s="216" t="s">
        <v>18</v>
      </c>
      <c r="G238" s="217">
        <v>46015</v>
      </c>
      <c r="H238" s="447">
        <v>46027</v>
      </c>
      <c r="I238" s="448">
        <v>46027</v>
      </c>
      <c r="J238" s="225">
        <v>46055</v>
      </c>
      <c r="K238" s="225">
        <v>46066</v>
      </c>
      <c r="L238" s="217" t="s">
        <v>345</v>
      </c>
      <c r="M238" s="217">
        <v>45962</v>
      </c>
      <c r="N238" s="20"/>
      <c r="O238" s="159" t="s">
        <v>1335</v>
      </c>
      <c r="P238" s="9"/>
      <c r="Q238" s="129"/>
      <c r="R238" s="8" t="s">
        <v>1114</v>
      </c>
      <c r="S238" s="9"/>
      <c r="T238" s="8"/>
      <c r="U238">
        <v>8849498178</v>
      </c>
      <c r="V238" s="2" t="s">
        <v>1336</v>
      </c>
      <c r="W238" s="2"/>
      <c r="X238" s="53" t="s">
        <v>1337</v>
      </c>
      <c r="Y238" s="53" t="s">
        <v>1338</v>
      </c>
      <c r="Z238" s="9" t="s">
        <v>966</v>
      </c>
      <c r="AA238" s="8"/>
      <c r="AB238" s="9"/>
      <c r="AC238" s="9"/>
      <c r="AD238" s="9"/>
      <c r="AE238" s="9"/>
      <c r="AF238" s="9"/>
      <c r="AG238" s="9"/>
      <c r="AH238" s="9"/>
      <c r="AI238" s="9" t="s">
        <v>916</v>
      </c>
      <c r="AJ238" s="225">
        <f>IF(ISBLANK(Mentor_Connect[[#This Row],[Meeting Date]]),"",Mentor_Connect[[#This Row],[Meeting Date]]-WEEKDAY(Mentor_Connect[[#This Row],[Meeting Date]],2)+1)</f>
        <v>46062</v>
      </c>
      <c r="AK238" s="222">
        <f>IF(ISBLANK(Mentor_Connect[[#This Row],[Preferred Mentor Selected On]]),"",Mentor_Connect[[#This Row],[Preferred Mentor Selected On]]-WEEKDAY(Mentor_Connect[[#This Row],[Preferred Mentor Selected On]],2)+1)</f>
        <v>46055</v>
      </c>
    </row>
    <row r="239" spans="1:37" ht="24.6" customHeight="1" x14ac:dyDescent="0.3">
      <c r="A239" s="231" t="s">
        <v>41</v>
      </c>
      <c r="B239" s="231" t="str">
        <f>VLOOKUP(Mentor_Connect[[#This Row],[Venture Name]],[1]!VenturesList[#All],2,FALSE)</f>
        <v>Accelerate Prime</v>
      </c>
      <c r="C239" s="274">
        <f>VLOOKUP(Mentor_Connect[[#This Row],[Venture Name]],[1]!VenturesList[#All],3,FALSE)</f>
        <v>45962</v>
      </c>
      <c r="D239" s="8" t="str">
        <f>VLOOKUP(Mentor_Connect[[#This Row],[Venture Name]],[1]!VenturesList[#All],5,FALSE)</f>
        <v>Shruti Modi</v>
      </c>
      <c r="E239" s="216" t="s">
        <v>499</v>
      </c>
      <c r="F239" s="216" t="s">
        <v>439</v>
      </c>
      <c r="G239" s="217">
        <v>46015</v>
      </c>
      <c r="H239" s="447">
        <v>46027</v>
      </c>
      <c r="I239" s="448">
        <v>46027</v>
      </c>
      <c r="J239" s="225">
        <v>46055</v>
      </c>
      <c r="K239" s="225"/>
      <c r="L239" s="217" t="s">
        <v>345</v>
      </c>
      <c r="M239" s="217">
        <v>45962</v>
      </c>
      <c r="N239" s="20"/>
      <c r="O239" s="6" t="s">
        <v>1339</v>
      </c>
      <c r="P239" s="9"/>
      <c r="Q239" s="129"/>
      <c r="R239" s="8"/>
      <c r="S239" s="9"/>
      <c r="T239" s="8"/>
      <c r="U239" s="8"/>
      <c r="V239" s="8"/>
      <c r="W239" s="8"/>
      <c r="X239" s="8"/>
      <c r="Y239" s="8"/>
      <c r="Z239" s="9" t="s">
        <v>966</v>
      </c>
      <c r="AA239" s="8"/>
      <c r="AB239" s="9"/>
      <c r="AC239" s="9"/>
      <c r="AD239" s="9"/>
      <c r="AE239" s="9"/>
      <c r="AF239" s="9"/>
      <c r="AG239" s="9"/>
      <c r="AH239" s="9"/>
      <c r="AI239" s="9"/>
      <c r="AJ239" s="225" t="str">
        <f>IF(ISBLANK(Mentor_Connect[[#This Row],[Meeting Date]]),"",Mentor_Connect[[#This Row],[Meeting Date]]-WEEKDAY(Mentor_Connect[[#This Row],[Meeting Date]],2)+1)</f>
        <v/>
      </c>
      <c r="AK239" s="222">
        <f>IF(ISBLANK(Mentor_Connect[[#This Row],[Preferred Mentor Selected On]]),"",Mentor_Connect[[#This Row],[Preferred Mentor Selected On]]-WEEKDAY(Mentor_Connect[[#This Row],[Preferred Mentor Selected On]],2)+1)</f>
        <v>46055</v>
      </c>
    </row>
    <row r="240" spans="1:37" ht="24.6" customHeight="1" x14ac:dyDescent="0.3">
      <c r="A240" s="231" t="s">
        <v>41</v>
      </c>
      <c r="B240" s="231" t="str">
        <f>VLOOKUP(Mentor_Connect[[#This Row],[Venture Name]],[1]!VenturesList[#All],2,FALSE)</f>
        <v>Accelerate Prime</v>
      </c>
      <c r="C240" s="274">
        <f>VLOOKUP(Mentor_Connect[[#This Row],[Venture Name]],[1]!VenturesList[#All],3,FALSE)</f>
        <v>45962</v>
      </c>
      <c r="D240" s="8" t="str">
        <f>VLOOKUP(Mentor_Connect[[#This Row],[Venture Name]],[1]!VenturesList[#All],5,FALSE)</f>
        <v>Shruti Modi</v>
      </c>
      <c r="E240" s="338" t="s">
        <v>500</v>
      </c>
      <c r="F240" s="216" t="s">
        <v>439</v>
      </c>
      <c r="G240" s="217">
        <v>46015</v>
      </c>
      <c r="H240" s="447">
        <v>46027</v>
      </c>
      <c r="I240" s="448">
        <v>46027</v>
      </c>
      <c r="J240" s="225">
        <v>46055</v>
      </c>
      <c r="K240" s="225"/>
      <c r="L240" s="217" t="s">
        <v>345</v>
      </c>
      <c r="M240" s="217">
        <v>45962</v>
      </c>
      <c r="N240" s="20"/>
      <c r="O240" s="6" t="s">
        <v>1340</v>
      </c>
      <c r="P240" s="9"/>
      <c r="Q240" s="129"/>
      <c r="R240" s="8"/>
      <c r="S240" s="9"/>
      <c r="T240" s="8"/>
      <c r="U240" s="8"/>
      <c r="V240" s="8"/>
      <c r="W240" s="8"/>
      <c r="X240" s="8"/>
      <c r="Y240" s="8"/>
      <c r="Z240" s="9" t="s">
        <v>966</v>
      </c>
      <c r="AA240" s="8"/>
      <c r="AB240" s="9"/>
      <c r="AC240" s="9"/>
      <c r="AD240" s="9"/>
      <c r="AE240" s="9"/>
      <c r="AF240" s="9"/>
      <c r="AG240" s="9"/>
      <c r="AH240" s="9"/>
      <c r="AI240" s="9"/>
      <c r="AJ240" s="225" t="str">
        <f>IF(ISBLANK(Mentor_Connect[[#This Row],[Meeting Date]]),"",Mentor_Connect[[#This Row],[Meeting Date]]-WEEKDAY(Mentor_Connect[[#This Row],[Meeting Date]],2)+1)</f>
        <v/>
      </c>
      <c r="AK240" s="222">
        <f>IF(ISBLANK(Mentor_Connect[[#This Row],[Preferred Mentor Selected On]]),"",Mentor_Connect[[#This Row],[Preferred Mentor Selected On]]-WEEKDAY(Mentor_Connect[[#This Row],[Preferred Mentor Selected On]],2)+1)</f>
        <v>46055</v>
      </c>
    </row>
    <row r="241" spans="1:37" ht="24.6" customHeight="1" x14ac:dyDescent="0.3">
      <c r="A241" s="231" t="s">
        <v>41</v>
      </c>
      <c r="B241" s="231" t="str">
        <f>VLOOKUP(Mentor_Connect[[#This Row],[Venture Name]],[1]!VenturesList[#All],2,FALSE)</f>
        <v>Accelerate Prime</v>
      </c>
      <c r="C241" s="274">
        <f>VLOOKUP(Mentor_Connect[[#This Row],[Venture Name]],[1]!VenturesList[#All],3,FALSE)</f>
        <v>45962</v>
      </c>
      <c r="D241" s="8" t="str">
        <f>VLOOKUP(Mentor_Connect[[#This Row],[Venture Name]],[1]!VenturesList[#All],5,FALSE)</f>
        <v>Shruti Modi</v>
      </c>
      <c r="E241" s="216" t="s">
        <v>101</v>
      </c>
      <c r="F241" s="216" t="s">
        <v>18</v>
      </c>
      <c r="G241" s="217">
        <v>46015</v>
      </c>
      <c r="H241" s="447">
        <v>46027</v>
      </c>
      <c r="I241" s="448">
        <v>46027</v>
      </c>
      <c r="J241" s="225">
        <v>46055</v>
      </c>
      <c r="K241" s="225">
        <v>46066</v>
      </c>
      <c r="L241" s="217" t="s">
        <v>345</v>
      </c>
      <c r="M241" s="217">
        <v>45962</v>
      </c>
      <c r="N241" s="20"/>
      <c r="O241" s="6" t="s">
        <v>1341</v>
      </c>
      <c r="P241" s="9"/>
      <c r="Q241" s="129"/>
      <c r="R241" s="8" t="s">
        <v>1114</v>
      </c>
      <c r="S241" s="9"/>
      <c r="T241" s="8"/>
      <c r="U241">
        <v>8849498178</v>
      </c>
      <c r="V241" s="2" t="s">
        <v>1336</v>
      </c>
      <c r="W241" s="2"/>
      <c r="X241" s="53" t="s">
        <v>1342</v>
      </c>
      <c r="Y241" s="53" t="s">
        <v>1343</v>
      </c>
      <c r="Z241" s="9" t="s">
        <v>966</v>
      </c>
      <c r="AA241" s="8"/>
      <c r="AB241" s="9"/>
      <c r="AC241" s="9"/>
      <c r="AD241" s="9"/>
      <c r="AE241" s="9"/>
      <c r="AF241" s="9"/>
      <c r="AG241" s="9"/>
      <c r="AH241" s="9"/>
      <c r="AI241" s="9" t="s">
        <v>916</v>
      </c>
      <c r="AJ241" s="225">
        <f>IF(ISBLANK(Mentor_Connect[[#This Row],[Meeting Date]]),"",Mentor_Connect[[#This Row],[Meeting Date]]-WEEKDAY(Mentor_Connect[[#This Row],[Meeting Date]],2)+1)</f>
        <v>46062</v>
      </c>
      <c r="AK241" s="222">
        <f>IF(ISBLANK(Mentor_Connect[[#This Row],[Preferred Mentor Selected On]]),"",Mentor_Connect[[#This Row],[Preferred Mentor Selected On]]-WEEKDAY(Mentor_Connect[[#This Row],[Preferred Mentor Selected On]],2)+1)</f>
        <v>46055</v>
      </c>
    </row>
    <row r="242" spans="1:37" ht="24.6" customHeight="1" x14ac:dyDescent="0.3">
      <c r="A242" s="231" t="s">
        <v>41</v>
      </c>
      <c r="B242" s="231" t="str">
        <f>VLOOKUP(Mentor_Connect[[#This Row],[Venture Name]],[1]!VenturesList[#All],2,FALSE)</f>
        <v>Accelerate Prime</v>
      </c>
      <c r="C242" s="274">
        <f>VLOOKUP(Mentor_Connect[[#This Row],[Venture Name]],[1]!VenturesList[#All],3,FALSE)</f>
        <v>45962</v>
      </c>
      <c r="D242" s="8" t="str">
        <f>VLOOKUP(Mentor_Connect[[#This Row],[Venture Name]],[1]!VenturesList[#All],5,FALSE)</f>
        <v>Shruti Modi</v>
      </c>
      <c r="E242" s="216" t="s">
        <v>501</v>
      </c>
      <c r="F242" s="216" t="s">
        <v>439</v>
      </c>
      <c r="G242" s="217">
        <v>46015</v>
      </c>
      <c r="H242" s="447">
        <v>46027</v>
      </c>
      <c r="I242" s="448">
        <v>46027</v>
      </c>
      <c r="J242" s="225">
        <v>46055</v>
      </c>
      <c r="K242" s="225"/>
      <c r="L242" s="217" t="s">
        <v>345</v>
      </c>
      <c r="M242" s="217">
        <v>45962</v>
      </c>
      <c r="N242" s="20"/>
      <c r="O242" s="159" t="s">
        <v>1344</v>
      </c>
      <c r="P242" s="9"/>
      <c r="Q242" s="129"/>
      <c r="R242" s="8"/>
      <c r="S242" s="9"/>
      <c r="T242" s="8"/>
      <c r="U242" s="8"/>
      <c r="V242" s="8"/>
      <c r="W242" s="8"/>
      <c r="X242" s="8"/>
      <c r="Y242" s="8"/>
      <c r="Z242" s="9" t="s">
        <v>966</v>
      </c>
      <c r="AA242" s="8"/>
      <c r="AB242" s="9"/>
      <c r="AC242" s="9"/>
      <c r="AD242" s="9"/>
      <c r="AE242" s="9"/>
      <c r="AF242" s="9"/>
      <c r="AG242" s="9"/>
      <c r="AH242" s="9"/>
      <c r="AI242" s="9"/>
      <c r="AJ242" s="225" t="str">
        <f>IF(ISBLANK(Mentor_Connect[[#This Row],[Meeting Date]]),"",Mentor_Connect[[#This Row],[Meeting Date]]-WEEKDAY(Mentor_Connect[[#This Row],[Meeting Date]],2)+1)</f>
        <v/>
      </c>
      <c r="AK242" s="222">
        <f>IF(ISBLANK(Mentor_Connect[[#This Row],[Preferred Mentor Selected On]]),"",Mentor_Connect[[#This Row],[Preferred Mentor Selected On]]-WEEKDAY(Mentor_Connect[[#This Row],[Preferred Mentor Selected On]],2)+1)</f>
        <v>46055</v>
      </c>
    </row>
    <row r="243" spans="1:37" ht="24.6" customHeight="1" x14ac:dyDescent="0.3">
      <c r="A243" s="8" t="s">
        <v>329</v>
      </c>
      <c r="B243" s="8" t="str">
        <f>VLOOKUP(Mentor_Connect[[#This Row],[Venture Name]],[1]!VenturesList[#All],2,FALSE)</f>
        <v>Accelerate Core</v>
      </c>
      <c r="C243" s="223">
        <f>VLOOKUP(Mentor_Connect[[#This Row],[Venture Name]],[1]!VenturesList[#All],3,FALSE)</f>
        <v>45901</v>
      </c>
      <c r="D243" s="8" t="str">
        <f>VLOOKUP(Mentor_Connect[[#This Row],[Venture Name]],[1]!VenturesList[#All],5,FALSE)</f>
        <v xml:space="preserve">Kedar </v>
      </c>
      <c r="E243" s="216" t="s">
        <v>950</v>
      </c>
      <c r="F243" s="216" t="s">
        <v>440</v>
      </c>
      <c r="G243" s="45">
        <v>46028</v>
      </c>
      <c r="H243" s="45">
        <v>46028</v>
      </c>
      <c r="I243" s="217">
        <v>46030</v>
      </c>
      <c r="J243" s="225">
        <v>45901</v>
      </c>
      <c r="K243" s="225"/>
      <c r="L243" s="217" t="s">
        <v>358</v>
      </c>
      <c r="M243" s="217">
        <v>45901</v>
      </c>
      <c r="N243" s="20"/>
      <c r="O243" s="6" t="s">
        <v>1345</v>
      </c>
      <c r="P243" s="9"/>
      <c r="Q243" s="129"/>
      <c r="R243" s="8"/>
      <c r="S243" s="9"/>
      <c r="T243" s="8"/>
      <c r="U243" s="8"/>
      <c r="V243" s="8"/>
      <c r="W243" s="8"/>
      <c r="X243" s="8"/>
      <c r="Y243" s="8"/>
      <c r="Z243" s="9"/>
      <c r="AA243" s="8"/>
      <c r="AB243" s="9"/>
      <c r="AC243" s="9"/>
      <c r="AD243" s="9"/>
      <c r="AE243" s="9"/>
      <c r="AF243" s="9"/>
      <c r="AG243" s="9"/>
      <c r="AH243" s="9"/>
      <c r="AI243" s="9"/>
      <c r="AJ243" s="225" t="str">
        <f>IF(ISBLANK(Mentor_Connect[[#This Row],[Meeting Date]]),"",Mentor_Connect[[#This Row],[Meeting Date]]-WEEKDAY(Mentor_Connect[[#This Row],[Meeting Date]],2)+1)</f>
        <v/>
      </c>
      <c r="AK243" s="222">
        <f>IF(ISBLANK(Mentor_Connect[[#This Row],[Preferred Mentor Selected On]]),"",Mentor_Connect[[#This Row],[Preferred Mentor Selected On]]-WEEKDAY(Mentor_Connect[[#This Row],[Preferred Mentor Selected On]],2)+1)</f>
        <v>45901</v>
      </c>
    </row>
    <row r="244" spans="1:37" ht="24.6" customHeight="1" x14ac:dyDescent="0.3">
      <c r="A244" s="373" t="s">
        <v>247</v>
      </c>
      <c r="B244" s="373" t="str">
        <f>VLOOKUP(Mentor_Connect[[#This Row],[Venture Name]],[1]!VenturesList[#All],2,FALSE)</f>
        <v>Dropped</v>
      </c>
      <c r="C244" s="377">
        <f>VLOOKUP(Mentor_Connect[[#This Row],[Venture Name]],[1]!VenturesList[#All],3,FALSE)</f>
        <v>45901</v>
      </c>
      <c r="D244" s="279" t="str">
        <f>VLOOKUP(Mentor_Connect[[#This Row],[Venture Name]],[1]!VenturesList[#All],5,FALSE)</f>
        <v>Ankit Makwana</v>
      </c>
      <c r="E244" s="288"/>
      <c r="F244" s="252" t="s">
        <v>434</v>
      </c>
      <c r="G244" s="36"/>
      <c r="H244" s="36"/>
      <c r="I244" s="9"/>
      <c r="J244" s="36"/>
      <c r="K244" s="219"/>
      <c r="L244" s="218"/>
      <c r="M244" s="218"/>
      <c r="N244" s="284"/>
      <c r="O244" s="20"/>
      <c r="P244" s="36"/>
      <c r="Q244" s="149"/>
      <c r="R244" s="279"/>
      <c r="S244" s="36"/>
      <c r="T244" s="279"/>
      <c r="U244" s="279"/>
      <c r="V244" s="279"/>
      <c r="W244" s="279"/>
      <c r="X244" s="279"/>
      <c r="Y244" s="279"/>
      <c r="Z244" s="36"/>
      <c r="AA244" s="279"/>
      <c r="AB244" s="36"/>
      <c r="AC244" s="36"/>
      <c r="AD244" s="36"/>
      <c r="AE244" s="36"/>
      <c r="AF244" s="36"/>
      <c r="AG244" s="36"/>
      <c r="AH244" s="36"/>
      <c r="AI244" s="9"/>
      <c r="AJ244" s="225" t="str">
        <f>IF(ISBLANK(Mentor_Connect[[#This Row],[Meeting Date]]),"",Mentor_Connect[[#This Row],[Meeting Date]]-WEEKDAY(Mentor_Connect[[#This Row],[Meeting Date]],2)+1)</f>
        <v/>
      </c>
      <c r="AK244" s="222" t="str">
        <f>IF(ISBLANK(Mentor_Connect[[#This Row],[Preferred Mentor Selected On]]),"",Mentor_Connect[[#This Row],[Preferred Mentor Selected On]]-WEEKDAY(Mentor_Connect[[#This Row],[Preferred Mentor Selected On]],2)+1)</f>
        <v/>
      </c>
    </row>
    <row r="245" spans="1:37" ht="24.6" customHeight="1" x14ac:dyDescent="0.3">
      <c r="A245" s="237" t="s">
        <v>67</v>
      </c>
      <c r="B245" s="237" t="str">
        <f>VLOOKUP(Mentor_Connect[[#This Row],[Venture Name]],[1]!VenturesList[#All],2,FALSE)</f>
        <v>Accelerate Core</v>
      </c>
      <c r="C245" s="339">
        <f>VLOOKUP(Mentor_Connect[[#This Row],[Venture Name]],[1]!VenturesList[#All],3,FALSE)</f>
        <v>45931</v>
      </c>
      <c r="D245" s="237" t="str">
        <f>VLOOKUP(Mentor_Connect[[#This Row],[Venture Name]],[1]!VenturesList[#All],5,FALSE)</f>
        <v xml:space="preserve">Kedar </v>
      </c>
      <c r="E245" s="238" t="s">
        <v>131</v>
      </c>
      <c r="F245" s="238" t="s">
        <v>18</v>
      </c>
      <c r="G245" s="35">
        <v>46029</v>
      </c>
      <c r="H245" s="35">
        <v>46029</v>
      </c>
      <c r="I245" s="239">
        <v>46038</v>
      </c>
      <c r="J245" s="240">
        <v>46041</v>
      </c>
      <c r="K245" s="240">
        <v>46044</v>
      </c>
      <c r="L245" s="253" t="s">
        <v>345</v>
      </c>
      <c r="M245" s="239">
        <v>45931</v>
      </c>
      <c r="N245" s="340"/>
      <c r="O245" s="22" t="s">
        <v>1346</v>
      </c>
      <c r="P245" s="21"/>
      <c r="Q245" s="269">
        <v>115030546274</v>
      </c>
      <c r="R245" s="366" t="s">
        <v>913</v>
      </c>
      <c r="S245" s="30" t="s">
        <v>1347</v>
      </c>
      <c r="T245" s="233" t="s">
        <v>1348</v>
      </c>
      <c r="U245" s="30">
        <v>7758036651</v>
      </c>
      <c r="V245" s="2" t="s">
        <v>1349</v>
      </c>
      <c r="W245" s="38"/>
      <c r="X245" s="415" t="s">
        <v>1350</v>
      </c>
      <c r="Y245" s="415" t="s">
        <v>1351</v>
      </c>
      <c r="Z245" s="21" t="s">
        <v>943</v>
      </c>
      <c r="AA245" s="237"/>
      <c r="AB245" s="21"/>
      <c r="AC245" s="21"/>
      <c r="AD245" s="21"/>
      <c r="AE245" s="21"/>
      <c r="AF245" s="21"/>
      <c r="AG245" s="21"/>
      <c r="AH245" s="21"/>
      <c r="AI245" s="9" t="s">
        <v>916</v>
      </c>
      <c r="AJ245" s="225">
        <f>IF(ISBLANK(Mentor_Connect[[#This Row],[Meeting Date]]),"",Mentor_Connect[[#This Row],[Meeting Date]]-WEEKDAY(Mentor_Connect[[#This Row],[Meeting Date]],2)+1)</f>
        <v>46041</v>
      </c>
      <c r="AK245" s="222">
        <f>IF(ISBLANK(Mentor_Connect[[#This Row],[Preferred Mentor Selected On]]),"",Mentor_Connect[[#This Row],[Preferred Mentor Selected On]]-WEEKDAY(Mentor_Connect[[#This Row],[Preferred Mentor Selected On]],2)+1)</f>
        <v>46041</v>
      </c>
    </row>
    <row r="246" spans="1:37" ht="24.6" customHeight="1" x14ac:dyDescent="0.3">
      <c r="A246" s="273" t="s">
        <v>320</v>
      </c>
      <c r="B246" s="273" t="str">
        <f>VLOOKUP(Mentor_Connect[[#This Row],[Venture Name]],[1]!VenturesList[#All],2,FALSE)</f>
        <v>Accelerate Core</v>
      </c>
      <c r="C246" s="274">
        <f>VLOOKUP(Mentor_Connect[[#This Row],[Venture Name]],[1]!VenturesList[#All],3,FALSE)</f>
        <v>45962</v>
      </c>
      <c r="D246" s="8" t="str">
        <f>VLOOKUP(Mentor_Connect[[#This Row],[Venture Name]],[1]!VenturesList[#All],5,FALSE)</f>
        <v xml:space="preserve">Kedar </v>
      </c>
      <c r="E246" s="216"/>
      <c r="F246" s="216" t="s">
        <v>440</v>
      </c>
      <c r="G246" s="217">
        <v>46031</v>
      </c>
      <c r="H246" s="45">
        <v>46034</v>
      </c>
      <c r="I246" s="45">
        <v>46036</v>
      </c>
      <c r="J246" s="225">
        <v>45962</v>
      </c>
      <c r="K246" s="225"/>
      <c r="L246" s="217" t="s">
        <v>358</v>
      </c>
      <c r="M246" s="217">
        <v>45962</v>
      </c>
      <c r="N246" s="20"/>
      <c r="O246" s="6" t="s">
        <v>1352</v>
      </c>
      <c r="P246" s="9"/>
      <c r="Q246" s="129"/>
      <c r="R246" s="8"/>
      <c r="S246" s="9"/>
      <c r="T246" s="8"/>
      <c r="U246" s="8"/>
      <c r="V246" s="8"/>
      <c r="W246" s="8"/>
      <c r="X246" s="8"/>
      <c r="Y246" s="8"/>
      <c r="Z246" s="9"/>
      <c r="AA246" s="8"/>
      <c r="AB246" s="9"/>
      <c r="AC246" s="9"/>
      <c r="AD246" s="9"/>
      <c r="AE246" s="9"/>
      <c r="AF246" s="9"/>
      <c r="AG246" s="9"/>
      <c r="AH246" s="9"/>
      <c r="AI246" s="9"/>
      <c r="AJ246" s="225" t="str">
        <f>IF(ISBLANK(Mentor_Connect[[#This Row],[Meeting Date]]),"",Mentor_Connect[[#This Row],[Meeting Date]]-WEEKDAY(Mentor_Connect[[#This Row],[Meeting Date]],2)+1)</f>
        <v/>
      </c>
      <c r="AK246" s="222">
        <f>IF(ISBLANK(Mentor_Connect[[#This Row],[Preferred Mentor Selected On]]),"",Mentor_Connect[[#This Row],[Preferred Mentor Selected On]]-WEEKDAY(Mentor_Connect[[#This Row],[Preferred Mentor Selected On]],2)+1)</f>
        <v>45957</v>
      </c>
    </row>
    <row r="247" spans="1:37" ht="24.6" customHeight="1" x14ac:dyDescent="0.3">
      <c r="A247" s="327" t="s">
        <v>208</v>
      </c>
      <c r="B247" s="327" t="str">
        <f>VLOOKUP(Mentor_Connect[[#This Row],[Venture Name]],[1]!VenturesList[#All],2,FALSE)</f>
        <v>Accelerate Prime</v>
      </c>
      <c r="C247" s="402">
        <f>VLOOKUP(Mentor_Connect[[#This Row],[Venture Name]],[1]!VenturesList[#All],3,FALSE)</f>
        <v>45962</v>
      </c>
      <c r="D247" s="279" t="str">
        <f>VLOOKUP(Mentor_Connect[[#This Row],[Venture Name]],[1]!VenturesList[#All],5,FALSE)</f>
        <v>Kedar</v>
      </c>
      <c r="E247" s="288"/>
      <c r="F247" s="288" t="s">
        <v>436</v>
      </c>
      <c r="G247" s="218">
        <v>46031</v>
      </c>
      <c r="H247" s="48">
        <v>46035</v>
      </c>
      <c r="I247" s="48">
        <v>46036</v>
      </c>
      <c r="J247" s="219">
        <v>45962</v>
      </c>
      <c r="K247" s="219"/>
      <c r="L247" s="218" t="s">
        <v>358</v>
      </c>
      <c r="M247" s="218">
        <v>45962</v>
      </c>
      <c r="N247" s="284"/>
      <c r="O247" s="290" t="s">
        <v>1353</v>
      </c>
      <c r="P247" s="36"/>
      <c r="Q247" s="149"/>
      <c r="R247" s="279"/>
      <c r="S247" s="336"/>
      <c r="T247" s="295"/>
      <c r="U247" s="295"/>
      <c r="V247" s="279"/>
      <c r="W247" s="279"/>
      <c r="X247" s="279"/>
      <c r="Y247" s="279"/>
      <c r="Z247" s="36"/>
      <c r="AA247" s="279"/>
      <c r="AB247" s="36"/>
      <c r="AC247" s="36"/>
      <c r="AD247" s="36"/>
      <c r="AE247" s="36"/>
      <c r="AF247" s="36"/>
      <c r="AG247" s="36"/>
      <c r="AH247" s="36"/>
      <c r="AI247" s="9"/>
      <c r="AJ247" s="225" t="str">
        <f>IF(ISBLANK(Mentor_Connect[[#This Row],[Meeting Date]]),"",Mentor_Connect[[#This Row],[Meeting Date]]-WEEKDAY(Mentor_Connect[[#This Row],[Meeting Date]],2)+1)</f>
        <v/>
      </c>
      <c r="AK247" s="222">
        <f>IF(ISBLANK(Mentor_Connect[[#This Row],[Preferred Mentor Selected On]]),"",Mentor_Connect[[#This Row],[Preferred Mentor Selected On]]-WEEKDAY(Mentor_Connect[[#This Row],[Preferred Mentor Selected On]],2)+1)</f>
        <v>45957</v>
      </c>
    </row>
    <row r="248" spans="1:37" ht="24.6" customHeight="1" x14ac:dyDescent="0.3">
      <c r="A248" s="251" t="s">
        <v>176</v>
      </c>
      <c r="B248" s="251" t="str">
        <f>VLOOKUP(Mentor_Connect[[#This Row],[Venture Name]],[1]!VenturesList[#All],2,FALSE)</f>
        <v>Accelerate Prime</v>
      </c>
      <c r="C248" s="282">
        <f>VLOOKUP(Mentor_Connect[[#This Row],[Venture Name]],[1]!VenturesList[#All],3,FALSE)</f>
        <v>45931</v>
      </c>
      <c r="D248" s="251" t="str">
        <f>VLOOKUP(Mentor_Connect[[#This Row],[Venture Name]],[1]!VenturesList[#All],5,FALSE)</f>
        <v>Kedar</v>
      </c>
      <c r="E248" s="252" t="s">
        <v>119</v>
      </c>
      <c r="F248" s="288" t="s">
        <v>18</v>
      </c>
      <c r="G248" s="253">
        <v>46035</v>
      </c>
      <c r="H248" s="407">
        <v>46030</v>
      </c>
      <c r="I248" s="218">
        <v>46035</v>
      </c>
      <c r="J248" s="219">
        <v>46059</v>
      </c>
      <c r="K248" s="283">
        <v>46064</v>
      </c>
      <c r="L248" s="217" t="s">
        <v>345</v>
      </c>
      <c r="M248" s="217">
        <v>45931</v>
      </c>
      <c r="N248" s="241"/>
      <c r="O248" s="547" t="s">
        <v>1354</v>
      </c>
      <c r="P248" s="260"/>
      <c r="Q248" s="269"/>
      <c r="R248" s="8" t="s">
        <v>1355</v>
      </c>
      <c r="S248" s="548" t="s">
        <v>1356</v>
      </c>
      <c r="T248" s="549" t="s">
        <v>1357</v>
      </c>
      <c r="U248" s="260"/>
      <c r="V248" s="550" t="s">
        <v>1358</v>
      </c>
      <c r="W248" s="550"/>
      <c r="X248" s="551" t="s">
        <v>1359</v>
      </c>
      <c r="Y248" s="551" t="s">
        <v>1360</v>
      </c>
      <c r="Z248" s="260" t="s">
        <v>943</v>
      </c>
      <c r="AA248" s="251"/>
      <c r="AB248" s="260"/>
      <c r="AC248" s="260"/>
      <c r="AD248" s="260"/>
      <c r="AE248" s="260"/>
      <c r="AF248" s="260"/>
      <c r="AG248" s="260"/>
      <c r="AH248" s="260"/>
      <c r="AI248" s="9" t="s">
        <v>916</v>
      </c>
      <c r="AJ248" s="225">
        <f>IF(ISBLANK(Mentor_Connect[[#This Row],[Meeting Date]]),"",Mentor_Connect[[#This Row],[Meeting Date]]-WEEKDAY(Mentor_Connect[[#This Row],[Meeting Date]],2)+1)</f>
        <v>46062</v>
      </c>
      <c r="AK248" s="222">
        <f>IF(ISBLANK(Mentor_Connect[[#This Row],[Preferred Mentor Selected On]]),"",Mentor_Connect[[#This Row],[Preferred Mentor Selected On]]-WEEKDAY(Mentor_Connect[[#This Row],[Preferred Mentor Selected On]],2)+1)</f>
        <v>46055</v>
      </c>
    </row>
    <row r="249" spans="1:37" ht="24.6" customHeight="1" x14ac:dyDescent="0.3">
      <c r="A249" s="237" t="s">
        <v>176</v>
      </c>
      <c r="B249" s="237" t="str">
        <f>VLOOKUP(Mentor_Connect[[#This Row],[Venture Name]],[1]!VenturesList[#All],2,FALSE)</f>
        <v>Accelerate Prime</v>
      </c>
      <c r="C249" s="339">
        <f>VLOOKUP(Mentor_Connect[[#This Row],[Venture Name]],[1]!VenturesList[#All],3,FALSE)</f>
        <v>45931</v>
      </c>
      <c r="D249" s="237" t="str">
        <f>VLOOKUP(Mentor_Connect[[#This Row],[Venture Name]],[1]!VenturesList[#All],5,FALSE)</f>
        <v>Kedar</v>
      </c>
      <c r="E249" s="238" t="s">
        <v>94</v>
      </c>
      <c r="F249" s="238" t="s">
        <v>439</v>
      </c>
      <c r="G249" s="239">
        <v>46035</v>
      </c>
      <c r="H249" s="45">
        <v>46030</v>
      </c>
      <c r="I249" s="217">
        <v>46035</v>
      </c>
      <c r="J249" s="225">
        <v>46059</v>
      </c>
      <c r="K249" s="240"/>
      <c r="L249" s="217" t="s">
        <v>345</v>
      </c>
      <c r="M249" s="217">
        <v>45931</v>
      </c>
      <c r="N249" s="241"/>
      <c r="O249" s="22" t="s">
        <v>1361</v>
      </c>
      <c r="P249" s="21"/>
      <c r="Q249" s="242"/>
      <c r="R249" s="237"/>
      <c r="S249" s="21"/>
      <c r="T249" s="237"/>
      <c r="U249" s="237"/>
      <c r="V249" s="237"/>
      <c r="W249" s="237"/>
      <c r="X249" s="237"/>
      <c r="Y249" s="237"/>
      <c r="Z249" s="21" t="s">
        <v>943</v>
      </c>
      <c r="AA249" s="237"/>
      <c r="AB249" s="21"/>
      <c r="AC249" s="21"/>
      <c r="AD249" s="21"/>
      <c r="AE249" s="21"/>
      <c r="AF249" s="21"/>
      <c r="AG249" s="21"/>
      <c r="AH249" s="21"/>
      <c r="AI249" s="9"/>
      <c r="AJ249" s="225" t="str">
        <f>IF(ISBLANK(Mentor_Connect[[#This Row],[Meeting Date]]),"",Mentor_Connect[[#This Row],[Meeting Date]]-WEEKDAY(Mentor_Connect[[#This Row],[Meeting Date]],2)+1)</f>
        <v/>
      </c>
      <c r="AK249" s="222">
        <f>IF(ISBLANK(Mentor_Connect[[#This Row],[Preferred Mentor Selected On]]),"",Mentor_Connect[[#This Row],[Preferred Mentor Selected On]]-WEEKDAY(Mentor_Connect[[#This Row],[Preferred Mentor Selected On]],2)+1)</f>
        <v>46055</v>
      </c>
    </row>
    <row r="250" spans="1:37" ht="24.6" customHeight="1" x14ac:dyDescent="0.3">
      <c r="A250" s="552" t="s">
        <v>322</v>
      </c>
      <c r="B250" s="552" t="str">
        <f>VLOOKUP(Mentor_Connect[[#This Row],[Venture Name]],[1]!VenturesList[#All],2,FALSE)</f>
        <v>Accelerate Core</v>
      </c>
      <c r="C250" s="274">
        <f>VLOOKUP(Mentor_Connect[[#This Row],[Venture Name]],[1]!VenturesList[#All],3,FALSE)</f>
        <v>45962</v>
      </c>
      <c r="D250" s="277" t="str">
        <f>VLOOKUP(Mentor_Connect[[#This Row],[Venture Name]],[1]!VenturesList[#All],5,FALSE)</f>
        <v xml:space="preserve">Kedar </v>
      </c>
      <c r="E250" s="216"/>
      <c r="F250" s="216" t="s">
        <v>434</v>
      </c>
      <c r="G250" s="9"/>
      <c r="H250" s="9"/>
      <c r="I250" s="9"/>
      <c r="J250" s="217">
        <v>45962</v>
      </c>
      <c r="K250" s="225"/>
      <c r="L250" s="217" t="s">
        <v>358</v>
      </c>
      <c r="M250" s="217">
        <v>45962</v>
      </c>
      <c r="N250" s="340"/>
      <c r="O250" s="6" t="s">
        <v>1051</v>
      </c>
      <c r="P250" s="9"/>
      <c r="Q250" s="129"/>
      <c r="R250" s="8"/>
      <c r="S250" s="9"/>
      <c r="T250" s="8"/>
      <c r="U250" s="8"/>
      <c r="V250" s="8"/>
      <c r="W250" s="8"/>
      <c r="X250" s="8"/>
      <c r="Y250" s="8"/>
      <c r="Z250" s="9"/>
      <c r="AA250" s="8"/>
      <c r="AB250" s="9"/>
      <c r="AC250" s="9"/>
      <c r="AD250" s="9"/>
      <c r="AE250" s="9"/>
      <c r="AF250" s="9"/>
      <c r="AG250" s="9"/>
      <c r="AH250" s="9"/>
      <c r="AI250" s="9"/>
      <c r="AJ250" s="225" t="str">
        <f>IF(ISBLANK(Mentor_Connect[[#This Row],[Meeting Date]]),"",Mentor_Connect[[#This Row],[Meeting Date]]-WEEKDAY(Mentor_Connect[[#This Row],[Meeting Date]],2)+1)</f>
        <v/>
      </c>
      <c r="AK250" s="222">
        <f>IF(ISBLANK(Mentor_Connect[[#This Row],[Preferred Mentor Selected On]]),"",Mentor_Connect[[#This Row],[Preferred Mentor Selected On]]-WEEKDAY(Mentor_Connect[[#This Row],[Preferred Mentor Selected On]],2)+1)</f>
        <v>45957</v>
      </c>
    </row>
    <row r="251" spans="1:37" ht="24.6" customHeight="1" x14ac:dyDescent="0.3">
      <c r="A251" s="273" t="s">
        <v>323</v>
      </c>
      <c r="B251" s="273" t="str">
        <f>VLOOKUP(Mentor_Connect[[#This Row],[Venture Name]],[1]!VenturesList[#All],2,FALSE)</f>
        <v>Accelerate Core</v>
      </c>
      <c r="C251" s="274">
        <f>VLOOKUP(Mentor_Connect[[#This Row],[Venture Name]],[1]!VenturesList[#All],3,FALSE)</f>
        <v>45962</v>
      </c>
      <c r="D251" s="8" t="str">
        <f>VLOOKUP(Mentor_Connect[[#This Row],[Venture Name]],[1]!VenturesList[#All],5,FALSE)</f>
        <v>Vignesh</v>
      </c>
      <c r="E251" s="216" t="s">
        <v>502</v>
      </c>
      <c r="F251" s="216" t="s">
        <v>439</v>
      </c>
      <c r="G251" s="217">
        <v>46036</v>
      </c>
      <c r="H251" s="35">
        <v>46041</v>
      </c>
      <c r="I251" s="35">
        <v>46044</v>
      </c>
      <c r="J251" s="225">
        <v>46111</v>
      </c>
      <c r="K251" s="225"/>
      <c r="L251" s="217" t="s">
        <v>358</v>
      </c>
      <c r="M251" s="217">
        <v>45962</v>
      </c>
      <c r="N251" s="9"/>
      <c r="O251" s="6" t="s">
        <v>1362</v>
      </c>
      <c r="P251" s="9"/>
      <c r="Q251" s="129"/>
      <c r="R251" s="8"/>
      <c r="S251" s="8"/>
      <c r="T251" s="8"/>
      <c r="U251" s="9"/>
      <c r="V251" s="9"/>
      <c r="W251" s="9"/>
      <c r="X251" s="9"/>
      <c r="Y251" s="9"/>
      <c r="Z251" s="9"/>
      <c r="AA251" s="8"/>
      <c r="AB251" s="9"/>
      <c r="AC251" s="9"/>
      <c r="AD251" s="9"/>
      <c r="AE251" s="9"/>
      <c r="AF251" s="9"/>
      <c r="AG251" s="21"/>
      <c r="AH251" s="21"/>
      <c r="AI251" s="9"/>
      <c r="AJ251" s="225" t="str">
        <f>IF(ISBLANK(Mentor_Connect[[#This Row],[Meeting Date]]),"",Mentor_Connect[[#This Row],[Meeting Date]]-WEEKDAY(Mentor_Connect[[#This Row],[Meeting Date]],2)+1)</f>
        <v/>
      </c>
      <c r="AK251" s="222">
        <f>IF(ISBLANK(Mentor_Connect[[#This Row],[Preferred Mentor Selected On]]),"",Mentor_Connect[[#This Row],[Preferred Mentor Selected On]]-WEEKDAY(Mentor_Connect[[#This Row],[Preferred Mentor Selected On]],2)+1)</f>
        <v>46111</v>
      </c>
    </row>
    <row r="252" spans="1:37" ht="24.6" customHeight="1" x14ac:dyDescent="0.3">
      <c r="A252" s="273" t="s">
        <v>323</v>
      </c>
      <c r="B252" s="273" t="str">
        <f>VLOOKUP(Mentor_Connect[[#This Row],[Venture Name]],[1]!VenturesList[#All],2,FALSE)</f>
        <v>Accelerate Core</v>
      </c>
      <c r="C252" s="274">
        <f>VLOOKUP(Mentor_Connect[[#This Row],[Venture Name]],[1]!VenturesList[#All],3,FALSE)</f>
        <v>45962</v>
      </c>
      <c r="D252" s="8" t="str">
        <f>VLOOKUP(Mentor_Connect[[#This Row],[Venture Name]],[1]!VenturesList[#All],5,FALSE)</f>
        <v>Vignesh</v>
      </c>
      <c r="E252" s="216" t="s">
        <v>503</v>
      </c>
      <c r="F252" s="216" t="s">
        <v>439</v>
      </c>
      <c r="G252" s="217">
        <v>46036</v>
      </c>
      <c r="H252" s="35">
        <v>46041</v>
      </c>
      <c r="I252" s="35">
        <v>46044</v>
      </c>
      <c r="J252" s="225">
        <v>46111</v>
      </c>
      <c r="K252" s="225"/>
      <c r="L252" s="217" t="s">
        <v>358</v>
      </c>
      <c r="M252" s="217">
        <v>45962</v>
      </c>
      <c r="N252" s="340"/>
      <c r="O252" s="6" t="s">
        <v>1363</v>
      </c>
      <c r="P252" s="9"/>
      <c r="Q252" s="129"/>
      <c r="R252" s="8"/>
      <c r="S252" s="9"/>
      <c r="T252" s="8"/>
      <c r="U252" s="8"/>
      <c r="V252" s="8"/>
      <c r="W252" s="8"/>
      <c r="X252" s="8"/>
      <c r="Y252" s="8"/>
      <c r="Z252" s="9"/>
      <c r="AA252" s="8"/>
      <c r="AB252" s="9"/>
      <c r="AC252" s="9"/>
      <c r="AD252" s="9"/>
      <c r="AE252" s="9"/>
      <c r="AF252" s="9"/>
      <c r="AG252" s="9"/>
      <c r="AH252" s="9"/>
      <c r="AI252" s="9"/>
      <c r="AJ252" s="225" t="str">
        <f>IF(ISBLANK(Mentor_Connect[[#This Row],[Meeting Date]]),"",Mentor_Connect[[#This Row],[Meeting Date]]-WEEKDAY(Mentor_Connect[[#This Row],[Meeting Date]],2)+1)</f>
        <v/>
      </c>
      <c r="AK252" s="222">
        <f>IF(ISBLANK(Mentor_Connect[[#This Row],[Preferred Mentor Selected On]]),"",Mentor_Connect[[#This Row],[Preferred Mentor Selected On]]-WEEKDAY(Mentor_Connect[[#This Row],[Preferred Mentor Selected On]],2)+1)</f>
        <v>46111</v>
      </c>
    </row>
    <row r="253" spans="1:37" ht="24.6" customHeight="1" x14ac:dyDescent="0.3">
      <c r="A253" s="273" t="s">
        <v>334</v>
      </c>
      <c r="B253" s="273" t="str">
        <f>VLOOKUP(Mentor_Connect[[#This Row],[Venture Name]],[1]!VenturesList[#All],2,FALSE)</f>
        <v>Accelerate Core</v>
      </c>
      <c r="C253" s="274">
        <f>VLOOKUP(Mentor_Connect[[#This Row],[Venture Name]],[1]!VenturesList[#All],3,FALSE)</f>
        <v>45962</v>
      </c>
      <c r="D253" s="8" t="str">
        <f>VLOOKUP(Mentor_Connect[[#This Row],[Venture Name]],[1]!VenturesList[#All],5,FALSE)</f>
        <v>Vignesh</v>
      </c>
      <c r="E253" s="216"/>
      <c r="F253" s="216" t="s">
        <v>440</v>
      </c>
      <c r="G253" s="217">
        <v>46036</v>
      </c>
      <c r="H253" s="407">
        <v>46041</v>
      </c>
      <c r="I253" s="407">
        <v>46042</v>
      </c>
      <c r="J253" s="225">
        <v>45962</v>
      </c>
      <c r="K253" s="225"/>
      <c r="L253" s="218" t="s">
        <v>358</v>
      </c>
      <c r="M253" s="217">
        <v>45962</v>
      </c>
      <c r="N253" s="340"/>
      <c r="O253" s="20" t="s">
        <v>1364</v>
      </c>
      <c r="P253" s="9"/>
      <c r="Q253" s="129"/>
      <c r="R253" s="8"/>
      <c r="S253" s="9"/>
      <c r="T253" s="8"/>
      <c r="U253" s="8"/>
      <c r="V253" s="8"/>
      <c r="W253" s="8"/>
      <c r="X253" s="8"/>
      <c r="Y253" s="8"/>
      <c r="Z253" s="9"/>
      <c r="AA253" s="8"/>
      <c r="AB253" s="9"/>
      <c r="AC253" s="9"/>
      <c r="AD253" s="9"/>
      <c r="AE253" s="9"/>
      <c r="AF253" s="9"/>
      <c r="AG253" s="9"/>
      <c r="AH253" s="9"/>
      <c r="AI253" s="9"/>
      <c r="AJ253" s="225" t="str">
        <f>IF(ISBLANK(Mentor_Connect[[#This Row],[Meeting Date]]),"",Mentor_Connect[[#This Row],[Meeting Date]]-WEEKDAY(Mentor_Connect[[#This Row],[Meeting Date]],2)+1)</f>
        <v/>
      </c>
      <c r="AK253" s="222">
        <f>IF(ISBLANK(Mentor_Connect[[#This Row],[Preferred Mentor Selected On]]),"",Mentor_Connect[[#This Row],[Preferred Mentor Selected On]]-WEEKDAY(Mentor_Connect[[#This Row],[Preferred Mentor Selected On]],2)+1)</f>
        <v>45957</v>
      </c>
    </row>
    <row r="254" spans="1:37" ht="24.6" customHeight="1" x14ac:dyDescent="0.3">
      <c r="A254" s="251" t="s">
        <v>45</v>
      </c>
      <c r="B254" s="251" t="str">
        <f>VLOOKUP(Mentor_Connect[[#This Row],[Venture Name]],[1]!VenturesList[#All],2,FALSE)</f>
        <v>Accelerate Core</v>
      </c>
      <c r="C254" s="282">
        <f>VLOOKUP(Mentor_Connect[[#This Row],[Venture Name]],[1]!VenturesList[#All],3,FALSE)</f>
        <v>45931</v>
      </c>
      <c r="D254" s="251" t="str">
        <f>VLOOKUP(Mentor_Connect[[#This Row],[Venture Name]],[1]!VenturesList[#All],5,FALSE)</f>
        <v xml:space="preserve">Kedar </v>
      </c>
      <c r="E254" s="252" t="s">
        <v>132</v>
      </c>
      <c r="F254" s="252" t="s">
        <v>18</v>
      </c>
      <c r="G254" s="218">
        <v>46038</v>
      </c>
      <c r="H254" s="407">
        <v>46035</v>
      </c>
      <c r="I254" s="218">
        <v>46038</v>
      </c>
      <c r="J254" s="225">
        <v>46045</v>
      </c>
      <c r="K254" s="283">
        <v>46048</v>
      </c>
      <c r="L254" s="218" t="s">
        <v>345</v>
      </c>
      <c r="M254" s="217">
        <v>45931</v>
      </c>
      <c r="N254" s="241"/>
      <c r="O254" s="258" t="s">
        <v>1365</v>
      </c>
      <c r="P254" s="260"/>
      <c r="Q254" s="269">
        <v>115029759318</v>
      </c>
      <c r="R254" s="366" t="s">
        <v>913</v>
      </c>
      <c r="S254" s="479" t="s">
        <v>504</v>
      </c>
      <c r="T254" s="358" t="s">
        <v>505</v>
      </c>
      <c r="U254" s="479">
        <v>9881371770</v>
      </c>
      <c r="V254" s="251"/>
      <c r="W254" s="251"/>
      <c r="X254" s="271" t="s">
        <v>1366</v>
      </c>
      <c r="Y254" s="271" t="s">
        <v>1367</v>
      </c>
      <c r="Z254" s="260" t="s">
        <v>943</v>
      </c>
      <c r="AA254" s="251"/>
      <c r="AB254" s="260"/>
      <c r="AC254" s="260"/>
      <c r="AD254" s="260"/>
      <c r="AE254" s="260"/>
      <c r="AF254" s="260"/>
      <c r="AG254" s="260"/>
      <c r="AH254" s="260"/>
      <c r="AI254" s="9" t="s">
        <v>916</v>
      </c>
      <c r="AJ254" s="225">
        <f>IF(ISBLANK(Mentor_Connect[[#This Row],[Meeting Date]]),"",Mentor_Connect[[#This Row],[Meeting Date]]-WEEKDAY(Mentor_Connect[[#This Row],[Meeting Date]],2)+1)</f>
        <v>46048</v>
      </c>
      <c r="AK254" s="222">
        <f>IF(ISBLANK(Mentor_Connect[[#This Row],[Preferred Mentor Selected On]]),"",Mentor_Connect[[#This Row],[Preferred Mentor Selected On]]-WEEKDAY(Mentor_Connect[[#This Row],[Preferred Mentor Selected On]],2)+1)</f>
        <v>46041</v>
      </c>
    </row>
    <row r="255" spans="1:37" ht="24.6" customHeight="1" x14ac:dyDescent="0.3">
      <c r="A255" s="237" t="s">
        <v>45</v>
      </c>
      <c r="B255" s="237" t="str">
        <f>VLOOKUP(Mentor_Connect[[#This Row],[Venture Name]],[1]!VenturesList[#All],2,FALSE)</f>
        <v>Accelerate Core</v>
      </c>
      <c r="C255" s="339">
        <f>VLOOKUP(Mentor_Connect[[#This Row],[Venture Name]],[1]!VenturesList[#All],3,FALSE)</f>
        <v>45931</v>
      </c>
      <c r="D255" s="237" t="str">
        <f>VLOOKUP(Mentor_Connect[[#This Row],[Venture Name]],[1]!VenturesList[#All],5,FALSE)</f>
        <v xml:space="preserve">Kedar </v>
      </c>
      <c r="E255" s="238" t="s">
        <v>133</v>
      </c>
      <c r="F255" s="238" t="s">
        <v>18</v>
      </c>
      <c r="G255" s="239">
        <v>46038</v>
      </c>
      <c r="H255" s="35">
        <v>46035</v>
      </c>
      <c r="I255" s="239">
        <v>46038</v>
      </c>
      <c r="J255" s="240">
        <v>46045</v>
      </c>
      <c r="K255" s="240">
        <v>46059</v>
      </c>
      <c r="L255" s="253" t="s">
        <v>345</v>
      </c>
      <c r="M255" s="239">
        <v>45931</v>
      </c>
      <c r="N255" s="241"/>
      <c r="O255" s="22" t="s">
        <v>1368</v>
      </c>
      <c r="P255" s="21"/>
      <c r="Q255" s="386"/>
      <c r="R255" s="444" t="s">
        <v>913</v>
      </c>
      <c r="S255" s="430" t="s">
        <v>504</v>
      </c>
      <c r="T255" s="553" t="s">
        <v>505</v>
      </c>
      <c r="U255" s="430">
        <v>9881371770</v>
      </c>
      <c r="V255" s="554" t="s">
        <v>1104</v>
      </c>
      <c r="W255" s="554"/>
      <c r="X255" s="555" t="s">
        <v>1369</v>
      </c>
      <c r="Y255" s="555" t="s">
        <v>1370</v>
      </c>
      <c r="Z255" s="21" t="s">
        <v>966</v>
      </c>
      <c r="AA255" s="237"/>
      <c r="AB255" s="21"/>
      <c r="AC255" s="21"/>
      <c r="AD255" s="21"/>
      <c r="AE255" s="21"/>
      <c r="AF255" s="21"/>
      <c r="AG255" s="21"/>
      <c r="AH255" s="21"/>
      <c r="AI255" s="9" t="s">
        <v>916</v>
      </c>
      <c r="AJ255" s="225">
        <f>IF(ISBLANK(Mentor_Connect[[#This Row],[Meeting Date]]),"",Mentor_Connect[[#This Row],[Meeting Date]]-WEEKDAY(Mentor_Connect[[#This Row],[Meeting Date]],2)+1)</f>
        <v>46055</v>
      </c>
      <c r="AK255" s="222">
        <f>IF(ISBLANK(Mentor_Connect[[#This Row],[Preferred Mentor Selected On]]),"",Mentor_Connect[[#This Row],[Preferred Mentor Selected On]]-WEEKDAY(Mentor_Connect[[#This Row],[Preferred Mentor Selected On]],2)+1)</f>
        <v>46041</v>
      </c>
    </row>
    <row r="256" spans="1:37" ht="24.6" customHeight="1" x14ac:dyDescent="0.3">
      <c r="A256" s="8" t="s">
        <v>209</v>
      </c>
      <c r="B256" s="8" t="str">
        <f>VLOOKUP(Mentor_Connect[[#This Row],[Venture Name]],[1]!VenturesList[#All],2,FALSE)</f>
        <v>Accelerate Prime</v>
      </c>
      <c r="C256" s="223">
        <f>VLOOKUP(Mentor_Connect[[#This Row],[Venture Name]],[1]!VenturesList[#All],3,FALSE)</f>
        <v>45870</v>
      </c>
      <c r="D256" s="8" t="str">
        <f>VLOOKUP(Mentor_Connect[[#This Row],[Venture Name]],[1]!VenturesList[#All],5,FALSE)</f>
        <v>Shruti Modi</v>
      </c>
      <c r="E256" s="216" t="s">
        <v>950</v>
      </c>
      <c r="F256" s="216" t="s">
        <v>440</v>
      </c>
      <c r="G256" s="9"/>
      <c r="H256" s="9"/>
      <c r="I256" s="9"/>
      <c r="J256" s="223">
        <v>45870</v>
      </c>
      <c r="K256" s="225"/>
      <c r="L256" s="217" t="s">
        <v>358</v>
      </c>
      <c r="M256" s="217">
        <v>45870</v>
      </c>
      <c r="N256" s="20"/>
      <c r="O256" s="6" t="s">
        <v>1371</v>
      </c>
      <c r="P256" s="9"/>
      <c r="Q256" s="129"/>
      <c r="R256" s="8"/>
      <c r="S256" s="9"/>
      <c r="T256" s="8"/>
      <c r="U256" s="8"/>
      <c r="V256" s="8"/>
      <c r="W256" s="8"/>
      <c r="X256" s="8"/>
      <c r="Y256" s="8"/>
      <c r="Z256" s="9"/>
      <c r="AA256" s="8"/>
      <c r="AB256" s="9"/>
      <c r="AC256" s="9"/>
      <c r="AD256" s="9"/>
      <c r="AE256" s="9"/>
      <c r="AF256" s="9"/>
      <c r="AG256" s="9"/>
      <c r="AH256" s="9"/>
      <c r="AI256" s="9"/>
      <c r="AJ256" s="225" t="str">
        <f>IF(ISBLANK(Mentor_Connect[[#This Row],[Meeting Date]]),"",Mentor_Connect[[#This Row],[Meeting Date]]-WEEKDAY(Mentor_Connect[[#This Row],[Meeting Date]],2)+1)</f>
        <v/>
      </c>
      <c r="AK256" s="222">
        <f>IF(ISBLANK(Mentor_Connect[[#This Row],[Preferred Mentor Selected On]]),"",Mentor_Connect[[#This Row],[Preferred Mentor Selected On]]-WEEKDAY(Mentor_Connect[[#This Row],[Preferred Mentor Selected On]],2)+1)</f>
        <v>45866</v>
      </c>
    </row>
    <row r="257" spans="1:37" ht="24.6" customHeight="1" x14ac:dyDescent="0.3">
      <c r="A257" s="556" t="s">
        <v>24</v>
      </c>
      <c r="B257" s="251" t="str">
        <f>VLOOKUP(Mentor_Connect[[#This Row],[Venture Name]],[1]!VenturesList[#All],2,FALSE)</f>
        <v>Accelerate Core</v>
      </c>
      <c r="C257" s="282">
        <f>VLOOKUP(Mentor_Connect[[#This Row],[Venture Name]],[1]!VenturesList[#All],3,FALSE)</f>
        <v>45962</v>
      </c>
      <c r="D257" s="251" t="str">
        <f>VLOOKUP(Mentor_Connect[[#This Row],[Venture Name]],[1]!VenturesList[#All],5,FALSE)</f>
        <v>Vignesh</v>
      </c>
      <c r="E257" s="252" t="s">
        <v>134</v>
      </c>
      <c r="F257" s="252" t="s">
        <v>18</v>
      </c>
      <c r="G257" s="253">
        <v>46038</v>
      </c>
      <c r="H257" s="48">
        <v>46042</v>
      </c>
      <c r="I257" s="48">
        <v>46043</v>
      </c>
      <c r="J257" s="283">
        <v>46080</v>
      </c>
      <c r="K257" s="283">
        <v>46099</v>
      </c>
      <c r="L257" s="253"/>
      <c r="M257" s="253"/>
      <c r="N257" s="267"/>
      <c r="O257" s="258" t="s">
        <v>1372</v>
      </c>
      <c r="P257" s="28" t="s">
        <v>1373</v>
      </c>
      <c r="Q257" s="257">
        <v>115062696710</v>
      </c>
      <c r="R257" s="251" t="s">
        <v>913</v>
      </c>
      <c r="S257" s="557" t="s">
        <v>506</v>
      </c>
      <c r="T257" s="549" t="s">
        <v>507</v>
      </c>
      <c r="U257" s="557">
        <v>9884038585</v>
      </c>
      <c r="V257" s="251" t="s">
        <v>1374</v>
      </c>
      <c r="W257" s="251"/>
      <c r="X257" s="271" t="s">
        <v>1375</v>
      </c>
      <c r="Y257" s="271" t="s">
        <v>1376</v>
      </c>
      <c r="Z257" s="260" t="s">
        <v>966</v>
      </c>
      <c r="AA257" s="251"/>
      <c r="AB257" s="260"/>
      <c r="AC257" s="260"/>
      <c r="AD257" s="260"/>
      <c r="AE257" s="260"/>
      <c r="AF257" s="260"/>
      <c r="AG257" s="260"/>
      <c r="AH257" s="260"/>
      <c r="AI257" s="9" t="s">
        <v>916</v>
      </c>
      <c r="AJ257" s="225">
        <f>IF(ISBLANK(Mentor_Connect[[#This Row],[Meeting Date]]),"",Mentor_Connect[[#This Row],[Meeting Date]]-WEEKDAY(Mentor_Connect[[#This Row],[Meeting Date]],2)+1)</f>
        <v>46097</v>
      </c>
      <c r="AK257" s="222">
        <f>IF(ISBLANK(Mentor_Connect[[#This Row],[Preferred Mentor Selected On]]),"",Mentor_Connect[[#This Row],[Preferred Mentor Selected On]]-WEEKDAY(Mentor_Connect[[#This Row],[Preferred Mentor Selected On]],2)+1)</f>
        <v>46076</v>
      </c>
    </row>
    <row r="258" spans="1:37" ht="24.6" customHeight="1" x14ac:dyDescent="0.3">
      <c r="A258" s="37" t="s">
        <v>24</v>
      </c>
      <c r="B258" s="8" t="str">
        <f>VLOOKUP(Mentor_Connect[[#This Row],[Venture Name]],[1]!VenturesList[#All],2,FALSE)</f>
        <v>Accelerate Core</v>
      </c>
      <c r="C258" s="223">
        <f>VLOOKUP(Mentor_Connect[[#This Row],[Venture Name]],[1]!VenturesList[#All],3,FALSE)</f>
        <v>45962</v>
      </c>
      <c r="D258" s="8" t="str">
        <f>VLOOKUP(Mentor_Connect[[#This Row],[Venture Name]],[1]!VenturesList[#All],5,FALSE)</f>
        <v>Vignesh</v>
      </c>
      <c r="E258" s="216" t="s">
        <v>135</v>
      </c>
      <c r="F258" s="216" t="s">
        <v>18</v>
      </c>
      <c r="G258" s="217">
        <v>46038</v>
      </c>
      <c r="H258" s="45">
        <v>46042</v>
      </c>
      <c r="I258" s="45">
        <v>46043</v>
      </c>
      <c r="J258" s="225">
        <v>46080</v>
      </c>
      <c r="K258" s="225">
        <v>46101</v>
      </c>
      <c r="L258" s="217"/>
      <c r="M258" s="217"/>
      <c r="N258" s="20"/>
      <c r="O258" s="6" t="s">
        <v>1372</v>
      </c>
      <c r="P258" s="5" t="s">
        <v>1373</v>
      </c>
      <c r="Q258" s="10">
        <v>115063541396</v>
      </c>
      <c r="R258" s="8" t="s">
        <v>913</v>
      </c>
      <c r="S258" s="52" t="s">
        <v>506</v>
      </c>
      <c r="T258" s="425" t="s">
        <v>507</v>
      </c>
      <c r="U258" s="52">
        <v>9884038585</v>
      </c>
      <c r="V258" s="8" t="s">
        <v>1377</v>
      </c>
      <c r="W258" s="8"/>
      <c r="X258" s="53" t="s">
        <v>1378</v>
      </c>
      <c r="Y258" s="53" t="s">
        <v>1379</v>
      </c>
      <c r="Z258" s="9" t="s">
        <v>966</v>
      </c>
      <c r="AA258" s="8"/>
      <c r="AB258" s="9"/>
      <c r="AC258" s="9"/>
      <c r="AD258" s="9"/>
      <c r="AE258" s="9"/>
      <c r="AF258" s="9"/>
      <c r="AG258" s="9"/>
      <c r="AH258" s="9"/>
      <c r="AI258" s="9" t="s">
        <v>916</v>
      </c>
      <c r="AJ258" s="225">
        <f>IF(ISBLANK(Mentor_Connect[[#This Row],[Meeting Date]]),"",Mentor_Connect[[#This Row],[Meeting Date]]-WEEKDAY(Mentor_Connect[[#This Row],[Meeting Date]],2)+1)</f>
        <v>46097</v>
      </c>
      <c r="AK258" s="222">
        <f>IF(ISBLANK(Mentor_Connect[[#This Row],[Preferred Mentor Selected On]]),"",Mentor_Connect[[#This Row],[Preferred Mentor Selected On]]-WEEKDAY(Mentor_Connect[[#This Row],[Preferred Mentor Selected On]],2)+1)</f>
        <v>46076</v>
      </c>
    </row>
    <row r="259" spans="1:37" ht="24.6" customHeight="1" x14ac:dyDescent="0.3">
      <c r="A259" s="37" t="s">
        <v>24</v>
      </c>
      <c r="B259" s="273" t="str">
        <f>VLOOKUP(Mentor_Connect[[#This Row],[Venture Name]],[1]!VenturesList[#All],2,FALSE)</f>
        <v>Accelerate Core</v>
      </c>
      <c r="C259" s="274">
        <f>VLOOKUP(Mentor_Connect[[#This Row],[Venture Name]],[1]!VenturesList[#All],3,FALSE)</f>
        <v>45962</v>
      </c>
      <c r="D259" s="8" t="str">
        <f>VLOOKUP(Mentor_Connect[[#This Row],[Venture Name]],[1]!VenturesList[#All],5,FALSE)</f>
        <v>Vignesh</v>
      </c>
      <c r="E259" s="216" t="s">
        <v>94</v>
      </c>
      <c r="F259" s="216" t="s">
        <v>18</v>
      </c>
      <c r="G259" s="217">
        <v>46038</v>
      </c>
      <c r="H259" s="45">
        <v>46042</v>
      </c>
      <c r="I259" s="45">
        <v>46043</v>
      </c>
      <c r="J259" s="225">
        <v>46080</v>
      </c>
      <c r="K259" s="225">
        <v>46106</v>
      </c>
      <c r="L259" s="217" t="s">
        <v>358</v>
      </c>
      <c r="M259" s="217">
        <v>45962</v>
      </c>
      <c r="N259" s="20"/>
      <c r="O259" s="6" t="s">
        <v>1380</v>
      </c>
      <c r="P259" s="6" t="s">
        <v>508</v>
      </c>
      <c r="Q259" s="227">
        <v>115067302264</v>
      </c>
      <c r="R259" s="2" t="s">
        <v>913</v>
      </c>
      <c r="S259" s="52" t="s">
        <v>506</v>
      </c>
      <c r="T259" s="425" t="s">
        <v>507</v>
      </c>
      <c r="U259" s="52">
        <v>9884038585</v>
      </c>
      <c r="V259" s="2" t="s">
        <v>1381</v>
      </c>
      <c r="W259" s="2"/>
      <c r="X259" s="53" t="s">
        <v>1382</v>
      </c>
      <c r="Y259" s="53" t="s">
        <v>1383</v>
      </c>
      <c r="Z259" s="9" t="s">
        <v>966</v>
      </c>
      <c r="AA259" s="8"/>
      <c r="AB259" s="9"/>
      <c r="AC259" s="9"/>
      <c r="AD259" s="9"/>
      <c r="AE259" s="9"/>
      <c r="AF259" s="9"/>
      <c r="AG259" s="9"/>
      <c r="AH259" s="9"/>
      <c r="AI259" s="9" t="s">
        <v>916</v>
      </c>
      <c r="AJ259" s="225">
        <f>IF(ISBLANK(Mentor_Connect[[#This Row],[Meeting Date]]),"",Mentor_Connect[[#This Row],[Meeting Date]]-WEEKDAY(Mentor_Connect[[#This Row],[Meeting Date]],2)+1)</f>
        <v>46104</v>
      </c>
      <c r="AK259" s="222">
        <f>IF(ISBLANK(Mentor_Connect[[#This Row],[Preferred Mentor Selected On]]),"",Mentor_Connect[[#This Row],[Preferred Mentor Selected On]]-WEEKDAY(Mentor_Connect[[#This Row],[Preferred Mentor Selected On]],2)+1)</f>
        <v>46076</v>
      </c>
    </row>
    <row r="260" spans="1:37" ht="24.6" customHeight="1" x14ac:dyDescent="0.3">
      <c r="A260" s="273" t="s">
        <v>29</v>
      </c>
      <c r="B260" s="8" t="str">
        <f>VLOOKUP(Mentor_Connect[[#This Row],[Venture Name]],[1]!VenturesList[#All],2,FALSE)</f>
        <v>Accelerate Core</v>
      </c>
      <c r="C260" s="223">
        <f>VLOOKUP(Mentor_Connect[[#This Row],[Venture Name]],[1]!VenturesList[#All],3,FALSE)</f>
        <v>45992</v>
      </c>
      <c r="D260" s="8" t="str">
        <f>VLOOKUP(Mentor_Connect[[#This Row],[Venture Name]],[1]!VenturesList[#All],5,FALSE)</f>
        <v>Jigar</v>
      </c>
      <c r="E260" s="216"/>
      <c r="F260" s="216" t="s">
        <v>440</v>
      </c>
      <c r="G260" s="217">
        <v>46042</v>
      </c>
      <c r="H260" s="45">
        <v>46100</v>
      </c>
      <c r="I260" s="217">
        <v>46101</v>
      </c>
      <c r="J260" s="220"/>
      <c r="K260" s="225"/>
      <c r="L260" s="217"/>
      <c r="M260" s="217"/>
      <c r="N260" s="20"/>
      <c r="O260" s="6" t="s">
        <v>1384</v>
      </c>
      <c r="P260" s="9"/>
      <c r="Q260" s="129"/>
      <c r="R260" s="8"/>
      <c r="S260" s="9"/>
      <c r="T260" s="8"/>
      <c r="U260" s="8"/>
      <c r="V260" s="8"/>
      <c r="W260" s="8"/>
      <c r="X260" s="8"/>
      <c r="Y260" s="8"/>
      <c r="Z260" s="9"/>
      <c r="AA260" s="8"/>
      <c r="AB260" s="9"/>
      <c r="AC260" s="9"/>
      <c r="AD260" s="9"/>
      <c r="AE260" s="9"/>
      <c r="AF260" s="9"/>
      <c r="AG260" s="9"/>
      <c r="AH260" s="9"/>
      <c r="AI260" s="9"/>
      <c r="AJ260" s="225" t="str">
        <f>IF(ISBLANK(Mentor_Connect[[#This Row],[Meeting Date]]),"",Mentor_Connect[[#This Row],[Meeting Date]]-WEEKDAY(Mentor_Connect[[#This Row],[Meeting Date]],2)+1)</f>
        <v/>
      </c>
      <c r="AK260" s="222" t="str">
        <f>IF(ISBLANK(Mentor_Connect[[#This Row],[Preferred Mentor Selected On]]),"",Mentor_Connect[[#This Row],[Preferred Mentor Selected On]]-WEEKDAY(Mentor_Connect[[#This Row],[Preferred Mentor Selected On]],2)+1)</f>
        <v/>
      </c>
    </row>
    <row r="261" spans="1:37" ht="24.6" customHeight="1" x14ac:dyDescent="0.3">
      <c r="A261" s="273" t="s">
        <v>29</v>
      </c>
      <c r="B261" s="8" t="str">
        <f>VLOOKUP(Mentor_Connect[[#This Row],[Venture Name]],[1]!VenturesList[#All],2,FALSE)</f>
        <v>Accelerate Core</v>
      </c>
      <c r="C261" s="223">
        <f>VLOOKUP(Mentor_Connect[[#This Row],[Venture Name]],[1]!VenturesList[#All],3,FALSE)</f>
        <v>45992</v>
      </c>
      <c r="D261" s="8" t="str">
        <f>VLOOKUP(Mentor_Connect[[#This Row],[Venture Name]],[1]!VenturesList[#All],5,FALSE)</f>
        <v>Jigar</v>
      </c>
      <c r="E261" s="216"/>
      <c r="F261" s="216" t="s">
        <v>440</v>
      </c>
      <c r="G261" s="217">
        <v>46042</v>
      </c>
      <c r="H261" s="45">
        <v>46044</v>
      </c>
      <c r="I261" s="217">
        <v>46055</v>
      </c>
      <c r="J261" s="220">
        <v>46078</v>
      </c>
      <c r="K261" s="225"/>
      <c r="L261" s="217"/>
      <c r="M261" s="217"/>
      <c r="N261" s="20"/>
      <c r="O261" s="6" t="s">
        <v>1385</v>
      </c>
      <c r="P261" s="9"/>
      <c r="Q261" s="129"/>
      <c r="R261" s="8"/>
      <c r="S261" s="9"/>
      <c r="T261" s="8"/>
      <c r="U261" s="8"/>
      <c r="V261" s="8"/>
      <c r="W261" s="8"/>
      <c r="X261" s="8"/>
      <c r="Y261" s="8"/>
      <c r="Z261" s="9" t="s">
        <v>966</v>
      </c>
      <c r="AA261" s="8"/>
      <c r="AB261" s="9"/>
      <c r="AC261" s="9"/>
      <c r="AD261" s="9"/>
      <c r="AE261" s="9"/>
      <c r="AF261" s="9"/>
      <c r="AG261" s="9"/>
      <c r="AH261" s="9"/>
      <c r="AI261" s="9"/>
      <c r="AJ261" s="225" t="str">
        <f>IF(ISBLANK(Mentor_Connect[[#This Row],[Meeting Date]]),"",Mentor_Connect[[#This Row],[Meeting Date]]-WEEKDAY(Mentor_Connect[[#This Row],[Meeting Date]],2)+1)</f>
        <v/>
      </c>
      <c r="AK261" s="222">
        <f>IF(ISBLANK(Mentor_Connect[[#This Row],[Preferred Mentor Selected On]]),"",Mentor_Connect[[#This Row],[Preferred Mentor Selected On]]-WEEKDAY(Mentor_Connect[[#This Row],[Preferred Mentor Selected On]],2)+1)</f>
        <v>46076</v>
      </c>
    </row>
    <row r="262" spans="1:37" ht="24.6" customHeight="1" x14ac:dyDescent="0.3">
      <c r="A262" s="273" t="s">
        <v>29</v>
      </c>
      <c r="B262" s="273" t="str">
        <f>VLOOKUP(Mentor_Connect[[#This Row],[Venture Name]],[1]!VenturesList[#All],2,FALSE)</f>
        <v>Accelerate Core</v>
      </c>
      <c r="C262" s="274">
        <f>VLOOKUP(Mentor_Connect[[#This Row],[Venture Name]],[1]!VenturesList[#All],3,FALSE)</f>
        <v>45992</v>
      </c>
      <c r="D262" s="8" t="str">
        <f>VLOOKUP(Mentor_Connect[[#This Row],[Venture Name]],[1]!VenturesList[#All],5,FALSE)</f>
        <v>Jigar</v>
      </c>
      <c r="E262" s="338" t="s">
        <v>136</v>
      </c>
      <c r="F262" s="216" t="s">
        <v>18</v>
      </c>
      <c r="G262" s="217">
        <v>46042</v>
      </c>
      <c r="H262" s="45">
        <v>46044</v>
      </c>
      <c r="I262" s="217">
        <v>46055</v>
      </c>
      <c r="J262" s="220">
        <v>46078</v>
      </c>
      <c r="K262" s="225">
        <v>46088</v>
      </c>
      <c r="L262" s="217" t="s">
        <v>358</v>
      </c>
      <c r="M262" s="217">
        <v>45992</v>
      </c>
      <c r="N262" s="20"/>
      <c r="O262" s="6" t="s">
        <v>1386</v>
      </c>
      <c r="P262" s="5" t="s">
        <v>1387</v>
      </c>
      <c r="Q262" s="10">
        <v>115056976367</v>
      </c>
      <c r="R262" s="231" t="s">
        <v>913</v>
      </c>
      <c r="S262" s="353" t="s">
        <v>260</v>
      </c>
      <c r="T262" s="18" t="s">
        <v>261</v>
      </c>
      <c r="U262" s="353">
        <v>9712377798</v>
      </c>
      <c r="V262" s="2" t="s">
        <v>1388</v>
      </c>
      <c r="W262" s="2"/>
      <c r="X262" s="53" t="s">
        <v>1389</v>
      </c>
      <c r="Y262" s="53" t="s">
        <v>1390</v>
      </c>
      <c r="Z262" s="9" t="s">
        <v>966</v>
      </c>
      <c r="AA262" s="8"/>
      <c r="AB262" s="9"/>
      <c r="AC262" s="9"/>
      <c r="AD262" s="9"/>
      <c r="AE262" s="9"/>
      <c r="AF262" s="9"/>
      <c r="AG262" s="9"/>
      <c r="AH262" s="9"/>
      <c r="AI262" s="9" t="s">
        <v>916</v>
      </c>
      <c r="AJ262" s="225">
        <f>IF(ISBLANK(Mentor_Connect[[#This Row],[Meeting Date]]),"",Mentor_Connect[[#This Row],[Meeting Date]]-WEEKDAY(Mentor_Connect[[#This Row],[Meeting Date]],2)+1)</f>
        <v>46083</v>
      </c>
      <c r="AK262" s="222">
        <f>IF(ISBLANK(Mentor_Connect[[#This Row],[Preferred Mentor Selected On]]),"",Mentor_Connect[[#This Row],[Preferred Mentor Selected On]]-WEEKDAY(Mentor_Connect[[#This Row],[Preferred Mentor Selected On]],2)+1)</f>
        <v>46076</v>
      </c>
    </row>
    <row r="263" spans="1:37" ht="24.6" customHeight="1" x14ac:dyDescent="0.3">
      <c r="A263" s="558" t="s">
        <v>29</v>
      </c>
      <c r="B263" s="251" t="str">
        <f>VLOOKUP(Mentor_Connect[[#This Row],[Venture Name]],[1]!VenturesList[#All],2,FALSE)</f>
        <v>Accelerate Core</v>
      </c>
      <c r="C263" s="282">
        <f>VLOOKUP(Mentor_Connect[[#This Row],[Venture Name]],[1]!VenturesList[#All],3,FALSE)</f>
        <v>45992</v>
      </c>
      <c r="D263" s="251" t="str">
        <f>VLOOKUP(Mentor_Connect[[#This Row],[Venture Name]],[1]!VenturesList[#All],5,FALSE)</f>
        <v>Jigar</v>
      </c>
      <c r="E263" s="252" t="s">
        <v>137</v>
      </c>
      <c r="F263" s="252" t="s">
        <v>18</v>
      </c>
      <c r="G263" s="217">
        <v>46042</v>
      </c>
      <c r="H263" s="407">
        <v>46044</v>
      </c>
      <c r="I263" s="217">
        <v>46055</v>
      </c>
      <c r="J263" s="439">
        <v>46078</v>
      </c>
      <c r="K263" s="283">
        <v>46091</v>
      </c>
      <c r="L263" s="218"/>
      <c r="M263" s="218"/>
      <c r="N263" s="267"/>
      <c r="O263" s="258" t="s">
        <v>1391</v>
      </c>
      <c r="P263" s="260"/>
      <c r="Q263" s="269">
        <v>115056975802</v>
      </c>
      <c r="R263" s="366" t="s">
        <v>913</v>
      </c>
      <c r="S263" s="479" t="s">
        <v>260</v>
      </c>
      <c r="T263" s="349" t="s">
        <v>261</v>
      </c>
      <c r="U263" s="479">
        <v>9712377798</v>
      </c>
      <c r="V263" s="251"/>
      <c r="W263" s="251"/>
      <c r="X263" s="271" t="s">
        <v>1392</v>
      </c>
      <c r="Y263" s="271" t="s">
        <v>1393</v>
      </c>
      <c r="Z263" s="260" t="s">
        <v>966</v>
      </c>
      <c r="AA263" s="251"/>
      <c r="AB263" s="260"/>
      <c r="AC263" s="260"/>
      <c r="AD263" s="260"/>
      <c r="AE263" s="260"/>
      <c r="AF263" s="260"/>
      <c r="AG263" s="260"/>
      <c r="AH263" s="260"/>
      <c r="AI263" s="9" t="s">
        <v>916</v>
      </c>
      <c r="AJ263" s="225">
        <f>IF(ISBLANK(Mentor_Connect[[#This Row],[Meeting Date]]),"",Mentor_Connect[[#This Row],[Meeting Date]]-WEEKDAY(Mentor_Connect[[#This Row],[Meeting Date]],2)+1)</f>
        <v>46090</v>
      </c>
      <c r="AK263" s="222">
        <f>IF(ISBLANK(Mentor_Connect[[#This Row],[Preferred Mentor Selected On]]),"",Mentor_Connect[[#This Row],[Preferred Mentor Selected On]]-WEEKDAY(Mentor_Connect[[#This Row],[Preferred Mentor Selected On]],2)+1)</f>
        <v>46076</v>
      </c>
    </row>
    <row r="264" spans="1:37" ht="24.6" customHeight="1" x14ac:dyDescent="0.3">
      <c r="A264" s="382" t="s">
        <v>29</v>
      </c>
      <c r="B264" s="237" t="str">
        <f>VLOOKUP(Mentor_Connect[[#This Row],[Venture Name]],[1]!VenturesList[#All],2,FALSE)</f>
        <v>Accelerate Core</v>
      </c>
      <c r="C264" s="339">
        <f>VLOOKUP(Mentor_Connect[[#This Row],[Venture Name]],[1]!VenturesList[#All],3,FALSE)</f>
        <v>45992</v>
      </c>
      <c r="D264" s="237" t="str">
        <f>VLOOKUP(Mentor_Connect[[#This Row],[Venture Name]],[1]!VenturesList[#All],5,FALSE)</f>
        <v>Jigar</v>
      </c>
      <c r="E264" s="486" t="s">
        <v>136</v>
      </c>
      <c r="F264" s="238" t="s">
        <v>18</v>
      </c>
      <c r="G264" s="217">
        <v>46042</v>
      </c>
      <c r="H264" s="407">
        <v>46044</v>
      </c>
      <c r="I264" s="217">
        <v>46055</v>
      </c>
      <c r="J264" s="220">
        <v>46078</v>
      </c>
      <c r="K264" s="240">
        <v>46095</v>
      </c>
      <c r="L264" s="218"/>
      <c r="M264" s="217"/>
      <c r="N264" s="241"/>
      <c r="O264" s="241"/>
      <c r="P264" s="25" t="s">
        <v>1394</v>
      </c>
      <c r="Q264" s="322">
        <v>115060369534</v>
      </c>
      <c r="R264" s="237" t="s">
        <v>913</v>
      </c>
      <c r="S264" s="416" t="s">
        <v>260</v>
      </c>
      <c r="T264" s="559" t="s">
        <v>261</v>
      </c>
      <c r="U264" s="416">
        <v>9712377798</v>
      </c>
      <c r="V264" s="38" t="s">
        <v>1395</v>
      </c>
      <c r="W264" s="38"/>
      <c r="X264" s="415" t="s">
        <v>1396</v>
      </c>
      <c r="Y264" s="415" t="s">
        <v>1397</v>
      </c>
      <c r="Z264" s="9" t="s">
        <v>966</v>
      </c>
      <c r="AA264" s="237" t="s">
        <v>437</v>
      </c>
      <c r="AB264" s="239">
        <v>46098</v>
      </c>
      <c r="AC264" s="239"/>
      <c r="AD264" s="239"/>
      <c r="AE264" s="239"/>
      <c r="AF264" s="21"/>
      <c r="AG264" s="21"/>
      <c r="AH264" s="237"/>
      <c r="AI264" s="9" t="s">
        <v>937</v>
      </c>
      <c r="AJ264" s="225">
        <f>IF(ISBLANK(Mentor_Connect[[#This Row],[Meeting Date]]),"",Mentor_Connect[[#This Row],[Meeting Date]]-WEEKDAY(Mentor_Connect[[#This Row],[Meeting Date]],2)+1)</f>
        <v>46090</v>
      </c>
      <c r="AK264" s="222">
        <f>IF(ISBLANK(Mentor_Connect[[#This Row],[Preferred Mentor Selected On]]),"",Mentor_Connect[[#This Row],[Preferred Mentor Selected On]]-WEEKDAY(Mentor_Connect[[#This Row],[Preferred Mentor Selected On]],2)+1)</f>
        <v>46076</v>
      </c>
    </row>
    <row r="265" spans="1:37" ht="24.6" customHeight="1" x14ac:dyDescent="0.3">
      <c r="A265" s="382" t="s">
        <v>38</v>
      </c>
      <c r="B265" s="382" t="str">
        <f>VLOOKUP(Mentor_Connect[[#This Row],[Venture Name]],[1]!VenturesList[#All],2,FALSE)</f>
        <v>Accelerate Core</v>
      </c>
      <c r="C265" s="383">
        <f>VLOOKUP(Mentor_Connect[[#This Row],[Venture Name]],[1]!VenturesList[#All],3,FALSE)</f>
        <v>45992</v>
      </c>
      <c r="D265" s="237" t="str">
        <f>VLOOKUP(Mentor_Connect[[#This Row],[Venture Name]],[1]!VenturesList[#All],5,FALSE)</f>
        <v>Jigar</v>
      </c>
      <c r="E265" s="238" t="s">
        <v>5</v>
      </c>
      <c r="F265" s="238" t="s">
        <v>18</v>
      </c>
      <c r="G265" s="217">
        <v>46042</v>
      </c>
      <c r="H265" s="407">
        <v>46044</v>
      </c>
      <c r="I265" s="217">
        <v>46045</v>
      </c>
      <c r="J265" s="261">
        <v>46026</v>
      </c>
      <c r="K265" s="240">
        <v>46029</v>
      </c>
      <c r="L265" s="218" t="s">
        <v>345</v>
      </c>
      <c r="M265" s="217">
        <v>45992</v>
      </c>
      <c r="N265" s="241"/>
      <c r="O265" s="22" t="s">
        <v>1398</v>
      </c>
      <c r="P265" s="21"/>
      <c r="Q265" s="242">
        <v>115016986081</v>
      </c>
      <c r="R265" s="237" t="s">
        <v>913</v>
      </c>
      <c r="S265" s="560" t="s">
        <v>279</v>
      </c>
      <c r="T265" s="244" t="s">
        <v>280</v>
      </c>
      <c r="U265" s="560" t="s">
        <v>1046</v>
      </c>
      <c r="V265" s="237"/>
      <c r="W265" s="237"/>
      <c r="X265" s="415" t="s">
        <v>1399</v>
      </c>
      <c r="Y265" s="415" t="s">
        <v>1400</v>
      </c>
      <c r="Z265" s="9" t="s">
        <v>966</v>
      </c>
      <c r="AA265" s="8"/>
      <c r="AB265" s="21"/>
      <c r="AC265" s="21"/>
      <c r="AD265" s="21"/>
      <c r="AE265" s="21"/>
      <c r="AF265" s="21"/>
      <c r="AG265" s="21"/>
      <c r="AH265" s="8" t="s">
        <v>433</v>
      </c>
      <c r="AI265" s="9" t="s">
        <v>916</v>
      </c>
      <c r="AJ265" s="225">
        <f>IF(ISBLANK(Mentor_Connect[[#This Row],[Meeting Date]]),"",Mentor_Connect[[#This Row],[Meeting Date]]-WEEKDAY(Mentor_Connect[[#This Row],[Meeting Date]],2)+1)</f>
        <v>46027</v>
      </c>
      <c r="AK265" s="222">
        <f>IF(ISBLANK(Mentor_Connect[[#This Row],[Preferred Mentor Selected On]]),"",Mentor_Connect[[#This Row],[Preferred Mentor Selected On]]-WEEKDAY(Mentor_Connect[[#This Row],[Preferred Mentor Selected On]],2)+1)</f>
        <v>46020</v>
      </c>
    </row>
    <row r="266" spans="1:37" ht="24.6" customHeight="1" x14ac:dyDescent="0.3">
      <c r="A266" s="237" t="s">
        <v>38</v>
      </c>
      <c r="B266" s="237" t="str">
        <f>VLOOKUP(Mentor_Connect[[#This Row],[Venture Name]],[1]!VenturesList[#All],2,FALSE)</f>
        <v>Accelerate Core</v>
      </c>
      <c r="C266" s="223">
        <f>VLOOKUP(Mentor_Connect[[#This Row],[Venture Name]],[1]!VenturesList[#All],3,FALSE)</f>
        <v>45992</v>
      </c>
      <c r="D266" s="8" t="str">
        <f>VLOOKUP(Mentor_Connect[[#This Row],[Venture Name]],[1]!VenturesList[#All],5,FALSE)</f>
        <v>Jigar</v>
      </c>
      <c r="E266" s="238" t="s">
        <v>138</v>
      </c>
      <c r="F266" s="238" t="s">
        <v>18</v>
      </c>
      <c r="G266" s="217">
        <v>46042</v>
      </c>
      <c r="H266" s="407">
        <v>46044</v>
      </c>
      <c r="I266" s="217">
        <v>46045</v>
      </c>
      <c r="J266" s="225">
        <v>46101</v>
      </c>
      <c r="K266" s="225">
        <v>46116</v>
      </c>
      <c r="L266" s="218"/>
      <c r="M266" s="217"/>
      <c r="N266" s="20"/>
      <c r="O266" s="6" t="s">
        <v>1401</v>
      </c>
      <c r="P266" s="5" t="s">
        <v>1402</v>
      </c>
      <c r="Q266" s="10"/>
      <c r="R266" s="279" t="s">
        <v>1166</v>
      </c>
      <c r="S266" s="30" t="s">
        <v>279</v>
      </c>
      <c r="T266" s="233" t="s">
        <v>280</v>
      </c>
      <c r="U266" s="30" t="s">
        <v>1046</v>
      </c>
      <c r="V266" s="2" t="s">
        <v>1403</v>
      </c>
      <c r="W266" s="2"/>
      <c r="X266" s="53" t="s">
        <v>1404</v>
      </c>
      <c r="Y266" s="53" t="s">
        <v>1400</v>
      </c>
      <c r="Z266" s="9" t="s">
        <v>966</v>
      </c>
      <c r="AA266" s="8"/>
      <c r="AB266" s="9"/>
      <c r="AC266" s="9"/>
      <c r="AD266" s="9"/>
      <c r="AE266" s="9"/>
      <c r="AF266" s="9"/>
      <c r="AG266" s="9"/>
      <c r="AH266" s="9"/>
      <c r="AI266" s="9" t="s">
        <v>916</v>
      </c>
      <c r="AJ266" s="225">
        <f>IF(ISBLANK(Mentor_Connect[[#This Row],[Meeting Date]]),"",Mentor_Connect[[#This Row],[Meeting Date]]-WEEKDAY(Mentor_Connect[[#This Row],[Meeting Date]],2)+1)</f>
        <v>46111</v>
      </c>
      <c r="AK266" s="222">
        <f>IF(ISBLANK(Mentor_Connect[[#This Row],[Preferred Mentor Selected On]]),"",Mentor_Connect[[#This Row],[Preferred Mentor Selected On]]-WEEKDAY(Mentor_Connect[[#This Row],[Preferred Mentor Selected On]],2)+1)</f>
        <v>46097</v>
      </c>
    </row>
    <row r="267" spans="1:37" ht="24.6" customHeight="1" x14ac:dyDescent="0.3">
      <c r="A267" s="243" t="s">
        <v>70</v>
      </c>
      <c r="B267" s="237" t="str">
        <f>VLOOKUP(Mentor_Connect[[#This Row],[Venture Name]],[1]!VenturesList[#All],2,FALSE)</f>
        <v>Accelerate Prime</v>
      </c>
      <c r="C267" s="223">
        <f>VLOOKUP(Mentor_Connect[[#This Row],[Venture Name]],[1]!VenturesList[#All],3,FALSE)</f>
        <v>45962</v>
      </c>
      <c r="D267" s="8" t="str">
        <f>VLOOKUP(Mentor_Connect[[#This Row],[Venture Name]],[1]!VenturesList[#All],5,FALSE)</f>
        <v>Shruti Modi</v>
      </c>
      <c r="E267" t="s">
        <v>116</v>
      </c>
      <c r="F267" s="216" t="s">
        <v>18</v>
      </c>
      <c r="G267" s="217"/>
      <c r="H267" s="217"/>
      <c r="I267" s="217"/>
      <c r="J267" s="217"/>
      <c r="K267" s="240">
        <v>46009</v>
      </c>
      <c r="L267" s="217"/>
      <c r="M267" s="217"/>
      <c r="N267" s="20"/>
      <c r="O267" s="20"/>
      <c r="P267" s="9"/>
      <c r="Q267" s="242"/>
      <c r="R267" s="8" t="s">
        <v>1114</v>
      </c>
      <c r="S267" s="561" t="s">
        <v>1405</v>
      </c>
      <c r="T267" s="562" t="s">
        <v>1406</v>
      </c>
      <c r="U267" s="561">
        <v>9825068683</v>
      </c>
      <c r="V267" s="8" t="s">
        <v>1407</v>
      </c>
      <c r="W267" s="237"/>
      <c r="X267" s="237" t="s">
        <v>1176</v>
      </c>
      <c r="Y267" s="237" t="s">
        <v>1176</v>
      </c>
      <c r="Z267" s="9"/>
      <c r="AA267" s="8"/>
      <c r="AB267" s="9"/>
      <c r="AC267" s="21"/>
      <c r="AD267" s="21"/>
      <c r="AE267" s="21"/>
      <c r="AF267" s="21"/>
      <c r="AG267" s="21"/>
      <c r="AH267" s="21"/>
      <c r="AI267" s="9"/>
      <c r="AJ267" s="225">
        <f>IF(ISBLANK(Mentor_Connect[[#This Row],[Meeting Date]]),"",Mentor_Connect[[#This Row],[Meeting Date]]-WEEKDAY(Mentor_Connect[[#This Row],[Meeting Date]],2)+1)</f>
        <v>46006</v>
      </c>
      <c r="AK267" s="222" t="str">
        <f>IF(ISBLANK(Mentor_Connect[[#This Row],[Preferred Mentor Selected On]]),"",Mentor_Connect[[#This Row],[Preferred Mentor Selected On]]-WEEKDAY(Mentor_Connect[[#This Row],[Preferred Mentor Selected On]],2)+1)</f>
        <v/>
      </c>
    </row>
    <row r="268" spans="1:37" ht="24.6" customHeight="1" x14ac:dyDescent="0.3">
      <c r="A268" s="243" t="s">
        <v>70</v>
      </c>
      <c r="B268" s="243" t="str">
        <f>VLOOKUP(Mentor_Connect[[#This Row],[Venture Name]],[1]!VenturesList[#All],2,FALSE)</f>
        <v>Accelerate Prime</v>
      </c>
      <c r="C268" s="274">
        <f>VLOOKUP(Mentor_Connect[[#This Row],[Venture Name]],[1]!VenturesList[#All],3,FALSE)</f>
        <v>45962</v>
      </c>
      <c r="D268" s="8" t="str">
        <f>VLOOKUP(Mentor_Connect[[#This Row],[Venture Name]],[1]!VenturesList[#All],5,FALSE)</f>
        <v>Shruti Modi</v>
      </c>
      <c r="E268" s="216"/>
      <c r="F268" s="280" t="s">
        <v>440</v>
      </c>
      <c r="G268" s="217">
        <v>46042</v>
      </c>
      <c r="H268" s="407">
        <v>46043</v>
      </c>
      <c r="I268" s="217">
        <v>46044</v>
      </c>
      <c r="J268" s="225">
        <v>45962</v>
      </c>
      <c r="K268" s="225"/>
      <c r="L268" s="218" t="s">
        <v>358</v>
      </c>
      <c r="M268" s="217">
        <v>45962</v>
      </c>
      <c r="N268" s="20"/>
      <c r="O268" s="6" t="s">
        <v>1408</v>
      </c>
      <c r="P268" s="9"/>
      <c r="Q268" s="386"/>
      <c r="R268" s="456"/>
      <c r="S268" s="9"/>
      <c r="T268" s="8"/>
      <c r="U268" s="8"/>
      <c r="V268" s="8"/>
      <c r="W268" s="8"/>
      <c r="X268" s="8"/>
      <c r="Y268" s="8"/>
      <c r="Z268" s="9"/>
      <c r="AA268" s="8"/>
      <c r="AB268" s="9"/>
      <c r="AC268" s="9"/>
      <c r="AD268" s="9"/>
      <c r="AE268" s="9"/>
      <c r="AF268" s="9"/>
      <c r="AG268" s="9"/>
      <c r="AH268" s="9"/>
      <c r="AI268" s="9"/>
      <c r="AJ268" s="225" t="str">
        <f>IF(ISBLANK(Mentor_Connect[[#This Row],[Meeting Date]]),"",Mentor_Connect[[#This Row],[Meeting Date]]-WEEKDAY(Mentor_Connect[[#This Row],[Meeting Date]],2)+1)</f>
        <v/>
      </c>
      <c r="AK268" s="222">
        <f>IF(ISBLANK(Mentor_Connect[[#This Row],[Preferred Mentor Selected On]]),"",Mentor_Connect[[#This Row],[Preferred Mentor Selected On]]-WEEKDAY(Mentor_Connect[[#This Row],[Preferred Mentor Selected On]],2)+1)</f>
        <v>45957</v>
      </c>
    </row>
    <row r="269" spans="1:37" ht="24.6" customHeight="1" x14ac:dyDescent="0.3">
      <c r="A269" s="382" t="s">
        <v>319</v>
      </c>
      <c r="B269" s="243" t="str">
        <f>VLOOKUP(Mentor_Connect[[#This Row],[Venture Name]],[1]!VenturesList[#All],2,FALSE)</f>
        <v>Accelerate Core</v>
      </c>
      <c r="C269" s="339">
        <f>VLOOKUP(Mentor_Connect[[#This Row],[Venture Name]],[1]!VenturesList[#All],3,FALSE)</f>
        <v>45962</v>
      </c>
      <c r="D269" s="237" t="str">
        <f>VLOOKUP(Mentor_Connect[[#This Row],[Venture Name]],[1]!VenturesList[#All],5,FALSE)</f>
        <v>Jigar</v>
      </c>
      <c r="E269" s="238" t="s">
        <v>502</v>
      </c>
      <c r="F269" s="238" t="s">
        <v>444</v>
      </c>
      <c r="G269" s="239">
        <v>46042</v>
      </c>
      <c r="H269" s="35">
        <v>46065</v>
      </c>
      <c r="I269" s="239">
        <v>46083</v>
      </c>
      <c r="J269" s="240">
        <v>46091</v>
      </c>
      <c r="K269" s="240"/>
      <c r="L269" s="239"/>
      <c r="M269" s="239"/>
      <c r="N269" s="241"/>
      <c r="O269" s="563" t="s">
        <v>1409</v>
      </c>
      <c r="P269" s="21"/>
      <c r="Q269" s="386"/>
      <c r="R269" s="456"/>
      <c r="S269" s="21"/>
      <c r="T269" s="237"/>
      <c r="U269" s="237"/>
      <c r="V269" s="237"/>
      <c r="W269" s="237"/>
      <c r="X269" s="237"/>
      <c r="Y269" s="237"/>
      <c r="Z269" s="21"/>
      <c r="AA269" s="237"/>
      <c r="AB269" s="21"/>
      <c r="AC269" s="21"/>
      <c r="AD269" s="21"/>
      <c r="AE269" s="21"/>
      <c r="AF269" s="21"/>
      <c r="AG269" s="21"/>
      <c r="AH269" s="21"/>
      <c r="AI269" s="9"/>
      <c r="AJ269" s="225" t="str">
        <f>IF(ISBLANK(Mentor_Connect[[#This Row],[Meeting Date]]),"",Mentor_Connect[[#This Row],[Meeting Date]]-WEEKDAY(Mentor_Connect[[#This Row],[Meeting Date]],2)+1)</f>
        <v/>
      </c>
      <c r="AK269" s="222">
        <f>IF(ISBLANK(Mentor_Connect[[#This Row],[Preferred Mentor Selected On]]),"",Mentor_Connect[[#This Row],[Preferred Mentor Selected On]]-WEEKDAY(Mentor_Connect[[#This Row],[Preferred Mentor Selected On]],2)+1)</f>
        <v>46090</v>
      </c>
    </row>
    <row r="270" spans="1:37" ht="24.6" customHeight="1" x14ac:dyDescent="0.3">
      <c r="A270" s="273" t="s">
        <v>319</v>
      </c>
      <c r="B270" s="273" t="str">
        <f>VLOOKUP(Mentor_Connect[[#This Row],[Venture Name]],[1]!VenturesList[#All],2,FALSE)</f>
        <v>Accelerate Core</v>
      </c>
      <c r="C270" s="274">
        <f>VLOOKUP(Mentor_Connect[[#This Row],[Venture Name]],[1]!VenturesList[#All],3,FALSE)</f>
        <v>45962</v>
      </c>
      <c r="D270" s="8" t="str">
        <f>VLOOKUP(Mentor_Connect[[#This Row],[Venture Name]],[1]!VenturesList[#All],5,FALSE)</f>
        <v>Jigar</v>
      </c>
      <c r="E270" s="216"/>
      <c r="F270" s="216" t="s">
        <v>440</v>
      </c>
      <c r="G270" s="217">
        <v>46042</v>
      </c>
      <c r="H270" s="45">
        <v>46065</v>
      </c>
      <c r="I270" s="217">
        <v>46083</v>
      </c>
      <c r="J270" s="225">
        <v>45962</v>
      </c>
      <c r="K270" s="225"/>
      <c r="L270" s="217" t="s">
        <v>358</v>
      </c>
      <c r="M270" s="217">
        <v>45962</v>
      </c>
      <c r="N270" s="20"/>
      <c r="O270" s="6" t="s">
        <v>1410</v>
      </c>
      <c r="P270" s="9"/>
      <c r="Q270" s="129"/>
      <c r="R270" s="8"/>
      <c r="S270" s="9"/>
      <c r="T270" s="8"/>
      <c r="U270" s="8"/>
      <c r="V270" s="8"/>
      <c r="W270" s="8"/>
      <c r="X270" s="8"/>
      <c r="Y270" s="8"/>
      <c r="Z270" s="9"/>
      <c r="AA270" s="8"/>
      <c r="AB270" s="9"/>
      <c r="AC270" s="9"/>
      <c r="AD270" s="9"/>
      <c r="AE270" s="9"/>
      <c r="AF270" s="9"/>
      <c r="AG270" s="9"/>
      <c r="AH270" s="9"/>
      <c r="AI270" s="9"/>
      <c r="AJ270" s="225" t="str">
        <f>IF(ISBLANK(Mentor_Connect[[#This Row],[Meeting Date]]),"",Mentor_Connect[[#This Row],[Meeting Date]]-WEEKDAY(Mentor_Connect[[#This Row],[Meeting Date]],2)+1)</f>
        <v/>
      </c>
      <c r="AK270" s="222">
        <f>IF(ISBLANK(Mentor_Connect[[#This Row],[Preferred Mentor Selected On]]),"",Mentor_Connect[[#This Row],[Preferred Mentor Selected On]]-WEEKDAY(Mentor_Connect[[#This Row],[Preferred Mentor Selected On]],2)+1)</f>
        <v>45957</v>
      </c>
    </row>
    <row r="271" spans="1:37" ht="24.6" customHeight="1" x14ac:dyDescent="0.3">
      <c r="A271" s="273" t="s">
        <v>321</v>
      </c>
      <c r="B271" s="273" t="str">
        <f>VLOOKUP(Mentor_Connect[[#This Row],[Venture Name]],[1]!VenturesList[#All],2,FALSE)</f>
        <v>Accelerate Core</v>
      </c>
      <c r="C271" s="274">
        <f>VLOOKUP(Mentor_Connect[[#This Row],[Venture Name]],[1]!VenturesList[#All],3,FALSE)</f>
        <v>45962</v>
      </c>
      <c r="D271" s="8" t="str">
        <f>VLOOKUP(Mentor_Connect[[#This Row],[Venture Name]],[1]!VenturesList[#All],5,FALSE)</f>
        <v xml:space="preserve">Kedar </v>
      </c>
      <c r="E271" s="216"/>
      <c r="F271" s="216" t="s">
        <v>440</v>
      </c>
      <c r="G271" s="217">
        <v>46042</v>
      </c>
      <c r="H271" s="45">
        <v>46042</v>
      </c>
      <c r="I271" s="45">
        <v>46043</v>
      </c>
      <c r="J271" s="225">
        <v>45962</v>
      </c>
      <c r="K271" s="225"/>
      <c r="L271" s="217" t="s">
        <v>358</v>
      </c>
      <c r="M271" s="217">
        <v>45962</v>
      </c>
      <c r="N271" s="20"/>
      <c r="O271" s="159" t="s">
        <v>1411</v>
      </c>
      <c r="P271" s="9"/>
      <c r="Q271" s="129"/>
      <c r="R271" s="8"/>
      <c r="S271" s="9"/>
      <c r="T271" s="8"/>
      <c r="U271" s="8"/>
      <c r="V271" s="8"/>
      <c r="W271" s="8"/>
      <c r="X271" s="8"/>
      <c r="Y271" s="8"/>
      <c r="Z271" s="9"/>
      <c r="AA271" s="8"/>
      <c r="AB271" s="9"/>
      <c r="AC271" s="9"/>
      <c r="AD271" s="9"/>
      <c r="AE271" s="9"/>
      <c r="AF271" s="9"/>
      <c r="AG271" s="9"/>
      <c r="AH271" s="9"/>
      <c r="AI271" s="9"/>
      <c r="AJ271" s="225" t="str">
        <f>IF(ISBLANK(Mentor_Connect[[#This Row],[Meeting Date]]),"",Mentor_Connect[[#This Row],[Meeting Date]]-WEEKDAY(Mentor_Connect[[#This Row],[Meeting Date]],2)+1)</f>
        <v/>
      </c>
      <c r="AK271" s="222">
        <f>IF(ISBLANK(Mentor_Connect[[#This Row],[Preferred Mentor Selected On]]),"",Mentor_Connect[[#This Row],[Preferred Mentor Selected On]]-WEEKDAY(Mentor_Connect[[#This Row],[Preferred Mentor Selected On]],2)+1)</f>
        <v>45957</v>
      </c>
    </row>
    <row r="272" spans="1:37" ht="24.6" customHeight="1" x14ac:dyDescent="0.3">
      <c r="A272" s="273" t="s">
        <v>157</v>
      </c>
      <c r="B272" s="273" t="str">
        <f>VLOOKUP(Mentor_Connect[[#This Row],[Venture Name]],[1]!VenturesList[#All],2,FALSE)</f>
        <v>Accelerate Prime</v>
      </c>
      <c r="C272" s="274">
        <f>VLOOKUP(Mentor_Connect[[#This Row],[Venture Name]],[1]!VenturesList[#All],3,FALSE)</f>
        <v>45992</v>
      </c>
      <c r="D272" s="8" t="str">
        <f>VLOOKUP(Mentor_Connect[[#This Row],[Venture Name]],[1]!VenturesList[#All],5,FALSE)</f>
        <v>Ramya</v>
      </c>
      <c r="E272" s="216"/>
      <c r="F272" s="216" t="s">
        <v>440</v>
      </c>
      <c r="G272" s="217">
        <v>46052</v>
      </c>
      <c r="H272" s="45">
        <v>46055</v>
      </c>
      <c r="I272" s="217">
        <v>46056</v>
      </c>
      <c r="J272" s="225">
        <v>45992</v>
      </c>
      <c r="K272" s="225"/>
      <c r="L272" s="217" t="s">
        <v>358</v>
      </c>
      <c r="M272" s="217">
        <v>45992</v>
      </c>
      <c r="N272" s="20"/>
      <c r="O272" s="6" t="s">
        <v>1412</v>
      </c>
      <c r="P272" s="9"/>
      <c r="Q272" s="129"/>
      <c r="R272" s="8"/>
      <c r="S272" s="9"/>
      <c r="T272" s="8"/>
      <c r="U272" s="8"/>
      <c r="V272" s="8"/>
      <c r="W272" s="8"/>
      <c r="X272" s="8"/>
      <c r="Y272" s="8"/>
      <c r="Z272" s="9"/>
      <c r="AA272" s="8"/>
      <c r="AB272" s="9"/>
      <c r="AC272" s="9"/>
      <c r="AD272" s="9"/>
      <c r="AE272" s="9"/>
      <c r="AF272" s="9"/>
      <c r="AG272" s="9"/>
      <c r="AH272" s="9"/>
      <c r="AI272" s="9"/>
      <c r="AJ272" s="225" t="str">
        <f>IF(ISBLANK(Mentor_Connect[[#This Row],[Meeting Date]]),"",Mentor_Connect[[#This Row],[Meeting Date]]-WEEKDAY(Mentor_Connect[[#This Row],[Meeting Date]],2)+1)</f>
        <v/>
      </c>
      <c r="AK272" s="222">
        <f>IF(ISBLANK(Mentor_Connect[[#This Row],[Preferred Mentor Selected On]]),"",Mentor_Connect[[#This Row],[Preferred Mentor Selected On]]-WEEKDAY(Mentor_Connect[[#This Row],[Preferred Mentor Selected On]],2)+1)</f>
        <v>45992</v>
      </c>
    </row>
    <row r="273" spans="1:37" ht="24.6" customHeight="1" x14ac:dyDescent="0.3">
      <c r="A273" s="251" t="s">
        <v>170</v>
      </c>
      <c r="B273" s="251" t="str">
        <f>VLOOKUP(Mentor_Connect[[#This Row],[Venture Name]],[1]!VenturesList[#All],2,FALSE)</f>
        <v>Accelerate Prime</v>
      </c>
      <c r="C273" s="282">
        <f>VLOOKUP(Mentor_Connect[[#This Row],[Venture Name]],[1]!VenturesList[#All],3,FALSE)</f>
        <v>45992</v>
      </c>
      <c r="D273" s="251" t="str">
        <f>VLOOKUP(Mentor_Connect[[#This Row],[Venture Name]],[1]!VenturesList[#All],5,FALSE)</f>
        <v>Ramya</v>
      </c>
      <c r="E273" s="252"/>
      <c r="F273" s="252" t="s">
        <v>440</v>
      </c>
      <c r="G273" s="218">
        <v>46052</v>
      </c>
      <c r="H273" s="217">
        <v>46056</v>
      </c>
      <c r="I273" s="217">
        <v>46056</v>
      </c>
      <c r="J273" s="219">
        <v>45992</v>
      </c>
      <c r="K273" s="283"/>
      <c r="L273" s="218" t="s">
        <v>358</v>
      </c>
      <c r="M273" s="218">
        <v>45992</v>
      </c>
      <c r="N273" s="267"/>
      <c r="O273" s="258" t="s">
        <v>1413</v>
      </c>
      <c r="P273" s="260"/>
      <c r="Q273" s="269"/>
      <c r="R273" s="251"/>
      <c r="S273" s="260"/>
      <c r="T273" s="251"/>
      <c r="U273" s="251"/>
      <c r="V273" s="251"/>
      <c r="W273" s="251"/>
      <c r="X273" s="251"/>
      <c r="Y273" s="251"/>
      <c r="Z273" s="260"/>
      <c r="AA273" s="251"/>
      <c r="AB273" s="260"/>
      <c r="AC273" s="260"/>
      <c r="AD273" s="260"/>
      <c r="AE273" s="260"/>
      <c r="AF273" s="260"/>
      <c r="AG273" s="260"/>
      <c r="AH273" s="260"/>
      <c r="AI273" s="9"/>
      <c r="AJ273" s="225" t="str">
        <f>IF(ISBLANK(Mentor_Connect[[#This Row],[Meeting Date]]),"",Mentor_Connect[[#This Row],[Meeting Date]]-WEEKDAY(Mentor_Connect[[#This Row],[Meeting Date]],2)+1)</f>
        <v/>
      </c>
      <c r="AK273" s="222">
        <f>IF(ISBLANK(Mentor_Connect[[#This Row],[Preferred Mentor Selected On]]),"",Mentor_Connect[[#This Row],[Preferred Mentor Selected On]]-WEEKDAY(Mentor_Connect[[#This Row],[Preferred Mentor Selected On]],2)+1)</f>
        <v>45992</v>
      </c>
    </row>
    <row r="274" spans="1:37" ht="24.6" customHeight="1" x14ac:dyDescent="0.3">
      <c r="A274" s="382" t="s">
        <v>291</v>
      </c>
      <c r="B274" s="382" t="str">
        <f>VLOOKUP(Mentor_Connect[[#This Row],[Venture Name]],[1]!VenturesList[#All],2,FALSE)</f>
        <v>Accelerate Core</v>
      </c>
      <c r="C274" s="383">
        <f>VLOOKUP(Mentor_Connect[[#This Row],[Venture Name]],[1]!VenturesList[#All],3,FALSE)</f>
        <v>45992</v>
      </c>
      <c r="D274" s="237" t="str">
        <f>VLOOKUP(Mentor_Connect[[#This Row],[Venture Name]],[1]!VenturesList[#All],5,FALSE)</f>
        <v>Vignesh</v>
      </c>
      <c r="E274" s="238"/>
      <c r="F274" s="238" t="s">
        <v>440</v>
      </c>
      <c r="G274" s="217">
        <v>46052</v>
      </c>
      <c r="H274" s="45">
        <v>46055</v>
      </c>
      <c r="I274" s="45">
        <v>46056</v>
      </c>
      <c r="J274" s="225">
        <v>45992</v>
      </c>
      <c r="K274" s="240"/>
      <c r="L274" s="218" t="s">
        <v>358</v>
      </c>
      <c r="M274" s="217">
        <v>45992</v>
      </c>
      <c r="N274" s="241"/>
      <c r="O274" s="22" t="s">
        <v>1414</v>
      </c>
      <c r="P274" s="21"/>
      <c r="Q274" s="242"/>
      <c r="R274" s="237"/>
      <c r="S274" s="21"/>
      <c r="T274" s="237"/>
      <c r="U274" s="237"/>
      <c r="V274" s="237"/>
      <c r="W274" s="237"/>
      <c r="X274" s="237"/>
      <c r="Y274" s="237"/>
      <c r="Z274" s="21"/>
      <c r="AA274" s="237"/>
      <c r="AB274" s="21"/>
      <c r="AC274" s="21"/>
      <c r="AD274" s="21"/>
      <c r="AE274" s="21"/>
      <c r="AF274" s="21"/>
      <c r="AG274" s="21"/>
      <c r="AH274" s="21"/>
      <c r="AI274" s="9"/>
      <c r="AJ274" s="225" t="str">
        <f>IF(ISBLANK(Mentor_Connect[[#This Row],[Meeting Date]]),"",Mentor_Connect[[#This Row],[Meeting Date]]-WEEKDAY(Mentor_Connect[[#This Row],[Meeting Date]],2)+1)</f>
        <v/>
      </c>
      <c r="AK274" s="222">
        <f>IF(ISBLANK(Mentor_Connect[[#This Row],[Preferred Mentor Selected On]]),"",Mentor_Connect[[#This Row],[Preferred Mentor Selected On]]-WEEKDAY(Mentor_Connect[[#This Row],[Preferred Mentor Selected On]],2)+1)</f>
        <v>45992</v>
      </c>
    </row>
    <row r="275" spans="1:37" ht="24.6" customHeight="1" x14ac:dyDescent="0.3">
      <c r="A275" s="243" t="s">
        <v>241</v>
      </c>
      <c r="B275" s="237" t="str">
        <f>VLOOKUP(Mentor_Connect[[#This Row],[Venture Name]],[1]!VenturesList[#All],2,FALSE)</f>
        <v>Accelerate Core</v>
      </c>
      <c r="C275" s="339">
        <f>VLOOKUP(Mentor_Connect[[#This Row],[Venture Name]],[1]!VenturesList[#All],3,FALSE)</f>
        <v>45992</v>
      </c>
      <c r="D275" s="237" t="str">
        <f>VLOOKUP(Mentor_Connect[[#This Row],[Venture Name]],[1]!VenturesList[#All],5,FALSE)</f>
        <v>Satabdi Pratikshya</v>
      </c>
      <c r="E275" s="238"/>
      <c r="F275" s="238" t="s">
        <v>440</v>
      </c>
      <c r="G275" s="239">
        <v>46055</v>
      </c>
      <c r="H275" s="9"/>
      <c r="I275" s="217">
        <v>46097</v>
      </c>
      <c r="J275" s="240"/>
      <c r="K275" s="240"/>
      <c r="L275" s="253"/>
      <c r="M275" s="239"/>
      <c r="N275" s="241"/>
      <c r="O275" s="22" t="s">
        <v>1415</v>
      </c>
      <c r="P275" s="21"/>
      <c r="Q275" s="242"/>
      <c r="R275" s="237"/>
      <c r="S275" s="21"/>
      <c r="T275" s="237"/>
      <c r="U275" s="237"/>
      <c r="V275" s="237"/>
      <c r="W275" s="237"/>
      <c r="X275" s="237"/>
      <c r="Y275" s="237"/>
      <c r="Z275" s="21"/>
      <c r="AA275" s="237"/>
      <c r="AB275" s="21"/>
      <c r="AC275" s="21"/>
      <c r="AD275" s="21"/>
      <c r="AE275" s="21"/>
      <c r="AF275" s="21"/>
      <c r="AG275" s="21"/>
      <c r="AH275" s="21"/>
      <c r="AI275" s="9"/>
      <c r="AJ275" s="225" t="str">
        <f>IF(ISBLANK(Mentor_Connect[[#This Row],[Meeting Date]]),"",Mentor_Connect[[#This Row],[Meeting Date]]-WEEKDAY(Mentor_Connect[[#This Row],[Meeting Date]],2)+1)</f>
        <v/>
      </c>
      <c r="AK275" s="222" t="str">
        <f>IF(ISBLANK(Mentor_Connect[[#This Row],[Preferred Mentor Selected On]]),"",Mentor_Connect[[#This Row],[Preferred Mentor Selected On]]-WEEKDAY(Mentor_Connect[[#This Row],[Preferred Mentor Selected On]],2)+1)</f>
        <v/>
      </c>
    </row>
    <row r="276" spans="1:37" ht="24.6" customHeight="1" x14ac:dyDescent="0.3">
      <c r="A276" s="231" t="s">
        <v>249</v>
      </c>
      <c r="B276" s="8" t="str">
        <f>VLOOKUP(Mentor_Connect[[#This Row],[Venture Name]],[1]!VenturesList[#All],2,FALSE)</f>
        <v>Accelerate Core</v>
      </c>
      <c r="C276" s="223">
        <f>VLOOKUP(Mentor_Connect[[#This Row],[Venture Name]],[1]!VenturesList[#All],3,FALSE)</f>
        <v>45992</v>
      </c>
      <c r="D276" s="8" t="str">
        <f>VLOOKUP(Mentor_Connect[[#This Row],[Venture Name]],[1]!VenturesList[#All],5,FALSE)</f>
        <v>Satabdi Pratikshya</v>
      </c>
      <c r="E276" s="216"/>
      <c r="F276" s="216" t="s">
        <v>440</v>
      </c>
      <c r="G276" s="217">
        <v>46055</v>
      </c>
      <c r="H276" s="9"/>
      <c r="I276" s="217">
        <v>46097</v>
      </c>
      <c r="J276" s="225"/>
      <c r="K276" s="225"/>
      <c r="L276" s="217"/>
      <c r="M276" s="217"/>
      <c r="N276" s="20"/>
      <c r="O276" s="6" t="s">
        <v>1415</v>
      </c>
      <c r="P276" s="9"/>
      <c r="Q276" s="129"/>
      <c r="R276" s="8"/>
      <c r="S276" s="9"/>
      <c r="T276" s="8"/>
      <c r="U276" s="8"/>
      <c r="V276" s="8"/>
      <c r="W276" s="8"/>
      <c r="X276" s="8"/>
      <c r="Y276" s="8"/>
      <c r="Z276" s="9"/>
      <c r="AA276" s="8"/>
      <c r="AB276" s="9"/>
      <c r="AC276" s="9"/>
      <c r="AD276" s="9"/>
      <c r="AE276" s="9"/>
      <c r="AF276" s="9"/>
      <c r="AG276" s="9"/>
      <c r="AH276" s="9"/>
      <c r="AI276" s="9"/>
      <c r="AJ276" s="225" t="str">
        <f>IF(ISBLANK(Mentor_Connect[[#This Row],[Meeting Date]]),"",Mentor_Connect[[#This Row],[Meeting Date]]-WEEKDAY(Mentor_Connect[[#This Row],[Meeting Date]],2)+1)</f>
        <v/>
      </c>
      <c r="AK276" s="222" t="str">
        <f>IF(ISBLANK(Mentor_Connect[[#This Row],[Preferred Mentor Selected On]]),"",Mentor_Connect[[#This Row],[Preferred Mentor Selected On]]-WEEKDAY(Mentor_Connect[[#This Row],[Preferred Mentor Selected On]],2)+1)</f>
        <v/>
      </c>
    </row>
    <row r="277" spans="1:37" ht="24.6" customHeight="1" x14ac:dyDescent="0.3">
      <c r="A277" s="327" t="s">
        <v>333</v>
      </c>
      <c r="B277" s="327" t="str">
        <f>VLOOKUP(Mentor_Connect[[#This Row],[Venture Name]],[1]!VenturesList[#All],2,FALSE)</f>
        <v>Accelerate Core</v>
      </c>
      <c r="C277" s="402">
        <f>VLOOKUP(Mentor_Connect[[#This Row],[Venture Name]],[1]!VenturesList[#All],3,FALSE)</f>
        <v>45992</v>
      </c>
      <c r="D277" s="279" t="str">
        <f>VLOOKUP(Mentor_Connect[[#This Row],[Venture Name]],[1]!VenturesList[#All],5,FALSE)</f>
        <v xml:space="preserve">Kedar </v>
      </c>
      <c r="E277" s="288"/>
      <c r="F277" s="288" t="s">
        <v>434</v>
      </c>
      <c r="G277" s="36"/>
      <c r="H277" s="36"/>
      <c r="I277" s="36"/>
      <c r="J277" s="328">
        <v>45992</v>
      </c>
      <c r="K277" s="219"/>
      <c r="L277" s="218" t="s">
        <v>358</v>
      </c>
      <c r="M277" s="218">
        <v>45992</v>
      </c>
      <c r="N277" s="284"/>
      <c r="O277" s="290" t="s">
        <v>1051</v>
      </c>
      <c r="P277" s="36"/>
      <c r="Q277" s="149"/>
      <c r="R277" s="279"/>
      <c r="S277" s="36"/>
      <c r="T277" s="279"/>
      <c r="U277" s="279"/>
      <c r="V277" s="279"/>
      <c r="W277" s="279"/>
      <c r="X277" s="279"/>
      <c r="Y277" s="279"/>
      <c r="Z277" s="36"/>
      <c r="AA277" s="279"/>
      <c r="AB277" s="36"/>
      <c r="AC277" s="36"/>
      <c r="AD277" s="36"/>
      <c r="AE277" s="36"/>
      <c r="AF277" s="36"/>
      <c r="AG277" s="36"/>
      <c r="AH277" s="36"/>
      <c r="AI277" s="9"/>
      <c r="AJ277" s="225" t="str">
        <f>IF(ISBLANK(Mentor_Connect[[#This Row],[Meeting Date]]),"",Mentor_Connect[[#This Row],[Meeting Date]]-WEEKDAY(Mentor_Connect[[#This Row],[Meeting Date]],2)+1)</f>
        <v/>
      </c>
      <c r="AK277" s="222">
        <f>IF(ISBLANK(Mentor_Connect[[#This Row],[Preferred Mentor Selected On]]),"",Mentor_Connect[[#This Row],[Preferred Mentor Selected On]]-WEEKDAY(Mentor_Connect[[#This Row],[Preferred Mentor Selected On]],2)+1)</f>
        <v>45992</v>
      </c>
    </row>
    <row r="278" spans="1:37" ht="24.6" customHeight="1" x14ac:dyDescent="0.3">
      <c r="A278" s="366" t="s">
        <v>250</v>
      </c>
      <c r="B278" s="366" t="str">
        <f>VLOOKUP(Mentor_Connect[[#This Row],[Venture Name]],[1]!VenturesList[#All],2,FALSE)</f>
        <v>Dropped</v>
      </c>
      <c r="C278" s="367">
        <f>VLOOKUP(Mentor_Connect[[#This Row],[Venture Name]],[1]!VenturesList[#All],3,FALSE)</f>
        <v>45870</v>
      </c>
      <c r="D278" s="251" t="str">
        <f>VLOOKUP(Mentor_Connect[[#This Row],[Venture Name]],[1]!VenturesList[#All],5,FALSE)</f>
        <v>Hardeepsinh Jhala</v>
      </c>
      <c r="E278" s="252"/>
      <c r="F278" s="252" t="s">
        <v>434</v>
      </c>
      <c r="G278" s="260"/>
      <c r="H278" s="260"/>
      <c r="I278" s="260"/>
      <c r="J278" s="21"/>
      <c r="K278" s="283"/>
      <c r="L278" s="239"/>
      <c r="M278" s="239"/>
      <c r="N278" s="241"/>
      <c r="O278" s="267"/>
      <c r="P278" s="260"/>
      <c r="Q278" s="269"/>
      <c r="R278" s="251"/>
      <c r="S278" s="260"/>
      <c r="T278" s="251"/>
      <c r="U278" s="251"/>
      <c r="V278" s="251"/>
      <c r="W278" s="251"/>
      <c r="X278" s="251"/>
      <c r="Y278" s="251"/>
      <c r="Z278" s="260"/>
      <c r="AA278" s="251"/>
      <c r="AB278" s="260"/>
      <c r="AC278" s="260"/>
      <c r="AD278" s="260"/>
      <c r="AE278" s="260"/>
      <c r="AF278" s="260"/>
      <c r="AG278" s="260"/>
      <c r="AH278" s="260"/>
      <c r="AI278" s="9"/>
      <c r="AJ278" s="225" t="str">
        <f>IF(ISBLANK(Mentor_Connect[[#This Row],[Meeting Date]]),"",Mentor_Connect[[#This Row],[Meeting Date]]-WEEKDAY(Mentor_Connect[[#This Row],[Meeting Date]],2)+1)</f>
        <v/>
      </c>
      <c r="AK278" s="222" t="str">
        <f>IF(ISBLANK(Mentor_Connect[[#This Row],[Preferred Mentor Selected On]]),"",Mentor_Connect[[#This Row],[Preferred Mentor Selected On]]-WEEKDAY(Mentor_Connect[[#This Row],[Preferred Mentor Selected On]],2)+1)</f>
        <v/>
      </c>
    </row>
    <row r="279" spans="1:37" ht="24.6" customHeight="1" x14ac:dyDescent="0.3">
      <c r="A279" s="38" t="s">
        <v>270</v>
      </c>
      <c r="B279" s="237" t="str">
        <f>VLOOKUP(Mentor_Connect[[#This Row],[Venture Name]],[1]!VenturesList[#All],2,FALSE)</f>
        <v>Accelerate Core</v>
      </c>
      <c r="C279" s="339">
        <f>VLOOKUP(Mentor_Connect[[#This Row],[Venture Name]],[1]!VenturesList[#All],3,FALSE)</f>
        <v>45839</v>
      </c>
      <c r="D279" s="564" t="str">
        <f>VLOOKUP(Mentor_Connect[[#This Row],[Venture Name]],[1]!VenturesList[#All],5,FALSE)</f>
        <v>Vignesh</v>
      </c>
      <c r="E279" s="238"/>
      <c r="F279" s="238" t="s">
        <v>440</v>
      </c>
      <c r="G279" s="239">
        <v>46059</v>
      </c>
      <c r="H279" s="35">
        <v>46079</v>
      </c>
      <c r="I279" s="239">
        <v>46083</v>
      </c>
      <c r="J279" s="240"/>
      <c r="K279" s="240"/>
      <c r="L279" s="239"/>
      <c r="M279" s="239"/>
      <c r="N279" s="565"/>
      <c r="O279" s="340" t="s">
        <v>1416</v>
      </c>
      <c r="P279" s="21"/>
      <c r="Q279" s="242"/>
      <c r="R279" s="237"/>
      <c r="S279" s="21"/>
      <c r="T279" s="237"/>
      <c r="U279" s="237"/>
      <c r="V279" s="237"/>
      <c r="W279" s="237"/>
      <c r="X279" s="237"/>
      <c r="Y279" s="237"/>
      <c r="Z279" s="21"/>
      <c r="AA279" s="237"/>
      <c r="AB279" s="21"/>
      <c r="AC279" s="21"/>
      <c r="AD279" s="21"/>
      <c r="AE279" s="21"/>
      <c r="AF279" s="21"/>
      <c r="AG279" s="21"/>
      <c r="AH279" s="21"/>
      <c r="AI279" s="9"/>
      <c r="AJ279" s="225" t="str">
        <f>IF(ISBLANK(Mentor_Connect[[#This Row],[Meeting Date]]),"",Mentor_Connect[[#This Row],[Meeting Date]]-WEEKDAY(Mentor_Connect[[#This Row],[Meeting Date]],2)+1)</f>
        <v/>
      </c>
      <c r="AK279" s="222" t="str">
        <f>IF(ISBLANK(Mentor_Connect[[#This Row],[Preferred Mentor Selected On]]),"",Mentor_Connect[[#This Row],[Preferred Mentor Selected On]]-WEEKDAY(Mentor_Connect[[#This Row],[Preferred Mentor Selected On]],2)+1)</f>
        <v/>
      </c>
    </row>
    <row r="280" spans="1:37" ht="24.6" customHeight="1" x14ac:dyDescent="0.3">
      <c r="A280" s="273" t="s">
        <v>162</v>
      </c>
      <c r="B280" s="273" t="str">
        <f>VLOOKUP(Mentor_Connect[[#This Row],[Venture Name]],[1]!VenturesList[#All],2,FALSE)</f>
        <v>Accelerate Prime</v>
      </c>
      <c r="C280" s="274">
        <f>VLOOKUP(Mentor_Connect[[#This Row],[Venture Name]],[1]!VenturesList[#All],3,FALSE)</f>
        <v>45992</v>
      </c>
      <c r="D280" s="8" t="str">
        <f>VLOOKUP(Mentor_Connect[[#This Row],[Venture Name]],[1]!VenturesList[#All],5,FALSE)</f>
        <v>Ramya</v>
      </c>
      <c r="E280" s="216"/>
      <c r="F280" s="216" t="s">
        <v>449</v>
      </c>
      <c r="G280" s="217">
        <v>46063</v>
      </c>
      <c r="H280" s="9"/>
      <c r="I280" s="36"/>
      <c r="J280" s="225">
        <v>45992</v>
      </c>
      <c r="K280" s="225"/>
      <c r="L280" s="217" t="s">
        <v>358</v>
      </c>
      <c r="M280" s="217">
        <v>45992</v>
      </c>
      <c r="N280" s="20"/>
      <c r="O280" s="6" t="s">
        <v>1417</v>
      </c>
      <c r="P280" s="9"/>
      <c r="Q280" s="129"/>
      <c r="R280" s="8"/>
      <c r="S280" s="9"/>
      <c r="T280" s="8"/>
      <c r="U280" s="8"/>
      <c r="V280" s="8"/>
      <c r="W280" s="8"/>
      <c r="X280" s="8"/>
      <c r="Y280" s="8"/>
      <c r="Z280" s="9"/>
      <c r="AA280" s="8"/>
      <c r="AB280" s="9"/>
      <c r="AC280" s="9"/>
      <c r="AD280" s="9"/>
      <c r="AE280" s="9"/>
      <c r="AF280" s="9"/>
      <c r="AG280" s="9"/>
      <c r="AH280" s="9"/>
      <c r="AI280" s="9"/>
      <c r="AJ280" s="225" t="str">
        <f>IF(ISBLANK(Mentor_Connect[[#This Row],[Meeting Date]]),"",Mentor_Connect[[#This Row],[Meeting Date]]-WEEKDAY(Mentor_Connect[[#This Row],[Meeting Date]],2)+1)</f>
        <v/>
      </c>
      <c r="AK280" s="222">
        <f>IF(ISBLANK(Mentor_Connect[[#This Row],[Preferred Mentor Selected On]]),"",Mentor_Connect[[#This Row],[Preferred Mentor Selected On]]-WEEKDAY(Mentor_Connect[[#This Row],[Preferred Mentor Selected On]],2)+1)</f>
        <v>45992</v>
      </c>
    </row>
    <row r="281" spans="1:37" ht="24.6" customHeight="1" x14ac:dyDescent="0.3">
      <c r="A281" s="366" t="s">
        <v>251</v>
      </c>
      <c r="B281" s="366" t="str">
        <f>VLOOKUP(Mentor_Connect[[#This Row],[Venture Name]],[1]!VenturesList[#All],2,FALSE)</f>
        <v>Accelerate Core</v>
      </c>
      <c r="C281" s="367">
        <f>VLOOKUP(Mentor_Connect[[#This Row],[Venture Name]],[1]!VenturesList[#All],3,FALSE)</f>
        <v>45901</v>
      </c>
      <c r="D281" s="251" t="str">
        <f>VLOOKUP(Mentor_Connect[[#This Row],[Venture Name]],[1]!VenturesList[#All],5,FALSE)</f>
        <v>Balasubramanian S</v>
      </c>
      <c r="E281" s="252"/>
      <c r="F281" s="252" t="s">
        <v>434</v>
      </c>
      <c r="G281" s="36"/>
      <c r="H281" s="36"/>
      <c r="I281" s="36"/>
      <c r="J281" s="36"/>
      <c r="K281" s="283"/>
      <c r="L281" s="218"/>
      <c r="M281" s="218"/>
      <c r="N281" s="267"/>
      <c r="O281" s="267"/>
      <c r="P281" s="260"/>
      <c r="Q281" s="269"/>
      <c r="R281" s="251"/>
      <c r="S281" s="260"/>
      <c r="T281" s="251"/>
      <c r="U281" s="251"/>
      <c r="V281" s="251"/>
      <c r="W281" s="251"/>
      <c r="X281" s="251"/>
      <c r="Y281" s="251"/>
      <c r="Z281" s="260"/>
      <c r="AA281" s="251"/>
      <c r="AB281" s="260"/>
      <c r="AC281" s="260"/>
      <c r="AD281" s="260"/>
      <c r="AE281" s="260"/>
      <c r="AF281" s="260"/>
      <c r="AG281" s="260"/>
      <c r="AH281" s="260"/>
      <c r="AI281" s="9"/>
      <c r="AJ281" s="225" t="str">
        <f>IF(ISBLANK(Mentor_Connect[[#This Row],[Meeting Date]]),"",Mentor_Connect[[#This Row],[Meeting Date]]-WEEKDAY(Mentor_Connect[[#This Row],[Meeting Date]],2)+1)</f>
        <v/>
      </c>
      <c r="AK281" s="222" t="str">
        <f>IF(ISBLANK(Mentor_Connect[[#This Row],[Preferred Mentor Selected On]]),"",Mentor_Connect[[#This Row],[Preferred Mentor Selected On]]-WEEKDAY(Mentor_Connect[[#This Row],[Preferred Mentor Selected On]],2)+1)</f>
        <v/>
      </c>
    </row>
    <row r="282" spans="1:37" ht="24.6" customHeight="1" x14ac:dyDescent="0.3">
      <c r="A282" s="243" t="s">
        <v>252</v>
      </c>
      <c r="B282" s="243" t="str">
        <f>VLOOKUP(Mentor_Connect[[#This Row],[Venture Name]],[1]!VenturesList[#All],2,FALSE)</f>
        <v>Accelerate Core</v>
      </c>
      <c r="C282" s="351">
        <f>VLOOKUP(Mentor_Connect[[#This Row],[Venture Name]],[1]!VenturesList[#All],3,FALSE)</f>
        <v>45839</v>
      </c>
      <c r="D282" s="237" t="str">
        <f>VLOOKUP(Mentor_Connect[[#This Row],[Venture Name]],[1]!VenturesList[#All],5,FALSE)</f>
        <v>Ankit Makwana</v>
      </c>
      <c r="E282" s="238"/>
      <c r="F282" s="238" t="s">
        <v>434</v>
      </c>
      <c r="G282" s="9"/>
      <c r="H282" s="9"/>
      <c r="I282" s="9"/>
      <c r="J282" s="9"/>
      <c r="K282" s="240"/>
      <c r="L282" s="217"/>
      <c r="M282" s="217"/>
      <c r="N282" s="241"/>
      <c r="O282" s="241"/>
      <c r="P282" s="21"/>
      <c r="Q282" s="386"/>
      <c r="R282" s="456"/>
      <c r="S282" s="9"/>
      <c r="T282" s="8"/>
      <c r="U282" s="8"/>
      <c r="V282" s="387"/>
      <c r="W282" s="387"/>
      <c r="X282" s="387"/>
      <c r="Y282" s="387"/>
      <c r="Z282" s="21"/>
      <c r="AA282" s="237"/>
      <c r="AB282" s="21"/>
      <c r="AC282" s="21"/>
      <c r="AD282" s="21"/>
      <c r="AE282" s="21"/>
      <c r="AF282" s="21"/>
      <c r="AG282" s="21"/>
      <c r="AH282" s="21"/>
      <c r="AI282" s="9"/>
      <c r="AJ282" s="225" t="str">
        <f>IF(ISBLANK(Mentor_Connect[[#This Row],[Meeting Date]]),"",Mentor_Connect[[#This Row],[Meeting Date]]-WEEKDAY(Mentor_Connect[[#This Row],[Meeting Date]],2)+1)</f>
        <v/>
      </c>
      <c r="AK282" s="222" t="str">
        <f>IF(ISBLANK(Mentor_Connect[[#This Row],[Preferred Mentor Selected On]]),"",Mentor_Connect[[#This Row],[Preferred Mentor Selected On]]-WEEKDAY(Mentor_Connect[[#This Row],[Preferred Mentor Selected On]],2)+1)</f>
        <v/>
      </c>
    </row>
    <row r="283" spans="1:37" ht="24.6" customHeight="1" x14ac:dyDescent="0.3">
      <c r="A283" s="382" t="s">
        <v>286</v>
      </c>
      <c r="B283" s="382" t="str">
        <f>VLOOKUP(Mentor_Connect[[#This Row],[Venture Name]],[1]!VenturesList[#All],2,FALSE)</f>
        <v>Accelerate Core</v>
      </c>
      <c r="C283" s="274">
        <f>VLOOKUP(Mentor_Connect[[#This Row],[Venture Name]],[1]!VenturesList[#All],3,FALSE)</f>
        <v>45992</v>
      </c>
      <c r="D283" s="8" t="str">
        <f>VLOOKUP(Mentor_Connect[[#This Row],[Venture Name]],[1]!VenturesList[#All],5,FALSE)</f>
        <v>Vignesh</v>
      </c>
      <c r="E283" s="216"/>
      <c r="F283" s="252" t="s">
        <v>440</v>
      </c>
      <c r="G283" s="253">
        <v>46063</v>
      </c>
      <c r="H283" s="45">
        <v>46076</v>
      </c>
      <c r="I283" s="218">
        <v>46083</v>
      </c>
      <c r="J283" s="225">
        <v>45992</v>
      </c>
      <c r="K283" s="240"/>
      <c r="L283" s="217" t="s">
        <v>358</v>
      </c>
      <c r="M283" s="217">
        <v>45992</v>
      </c>
      <c r="N283" s="20"/>
      <c r="O283" s="7" t="s">
        <v>1418</v>
      </c>
      <c r="P283" s="9"/>
      <c r="Q283" s="129"/>
      <c r="R283" s="8"/>
      <c r="S283" s="9"/>
      <c r="T283" s="8"/>
      <c r="U283" s="8"/>
      <c r="V283" s="8"/>
      <c r="W283" s="8"/>
      <c r="X283" s="8"/>
      <c r="Y283" s="8"/>
      <c r="Z283" s="9"/>
      <c r="AA283" s="8"/>
      <c r="AB283" s="9"/>
      <c r="AC283" s="21"/>
      <c r="AD283" s="21"/>
      <c r="AE283" s="21"/>
      <c r="AF283" s="21"/>
      <c r="AG283" s="21"/>
      <c r="AH283" s="21"/>
      <c r="AI283" s="9"/>
      <c r="AJ283" s="225" t="str">
        <f>IF(ISBLANK(Mentor_Connect[[#This Row],[Meeting Date]]),"",Mentor_Connect[[#This Row],[Meeting Date]]-WEEKDAY(Mentor_Connect[[#This Row],[Meeting Date]],2)+1)</f>
        <v/>
      </c>
      <c r="AK283" s="222">
        <f>IF(ISBLANK(Mentor_Connect[[#This Row],[Preferred Mentor Selected On]]),"",Mentor_Connect[[#This Row],[Preferred Mentor Selected On]]-WEEKDAY(Mentor_Connect[[#This Row],[Preferred Mentor Selected On]],2)+1)</f>
        <v>45992</v>
      </c>
    </row>
    <row r="284" spans="1:37" ht="24.6" customHeight="1" x14ac:dyDescent="0.3">
      <c r="A284" s="382" t="s">
        <v>335</v>
      </c>
      <c r="B284" s="382" t="str">
        <f>VLOOKUP(Mentor_Connect[[#This Row],[Venture Name]],[1]!VenturesList[#All],2,FALSE)</f>
        <v>Accelerate Core</v>
      </c>
      <c r="C284" s="274">
        <f>VLOOKUP(Mentor_Connect[[#This Row],[Venture Name]],[1]!VenturesList[#All],3,FALSE)</f>
        <v>45992</v>
      </c>
      <c r="D284" s="8" t="str">
        <f>VLOOKUP(Mentor_Connect[[#This Row],[Venture Name]],[1]!VenturesList[#All],5,FALSE)</f>
        <v>Vignesh</v>
      </c>
      <c r="E284" s="216"/>
      <c r="F284" s="252" t="s">
        <v>440</v>
      </c>
      <c r="G284" s="48">
        <v>46063</v>
      </c>
      <c r="H284" s="217">
        <v>46079</v>
      </c>
      <c r="I284" s="218">
        <v>46083</v>
      </c>
      <c r="J284" s="225">
        <v>45992</v>
      </c>
      <c r="K284" s="240"/>
      <c r="L284" s="217" t="s">
        <v>358</v>
      </c>
      <c r="M284" s="217">
        <v>45992</v>
      </c>
      <c r="N284" s="20"/>
      <c r="O284" s="159" t="s">
        <v>1419</v>
      </c>
      <c r="P284" s="9"/>
      <c r="Q284" s="129"/>
      <c r="R284" s="8"/>
      <c r="S284" s="9"/>
      <c r="T284" s="8"/>
      <c r="U284" s="8"/>
      <c r="V284" s="8"/>
      <c r="W284" s="8"/>
      <c r="X284" s="8"/>
      <c r="Y284" s="8"/>
      <c r="Z284" s="9"/>
      <c r="AA284" s="8"/>
      <c r="AB284" s="9"/>
      <c r="AC284" s="21"/>
      <c r="AD284" s="21"/>
      <c r="AE284" s="21"/>
      <c r="AF284" s="21"/>
      <c r="AG284" s="21"/>
      <c r="AH284" s="21"/>
      <c r="AI284" s="9"/>
      <c r="AJ284" s="225" t="str">
        <f>IF(ISBLANK(Mentor_Connect[[#This Row],[Meeting Date]]),"",Mentor_Connect[[#This Row],[Meeting Date]]-WEEKDAY(Mentor_Connect[[#This Row],[Meeting Date]],2)+1)</f>
        <v/>
      </c>
      <c r="AK284" s="222">
        <f>IF(ISBLANK(Mentor_Connect[[#This Row],[Preferred Mentor Selected On]]),"",Mentor_Connect[[#This Row],[Preferred Mentor Selected On]]-WEEKDAY(Mentor_Connect[[#This Row],[Preferred Mentor Selected On]],2)+1)</f>
        <v>45992</v>
      </c>
    </row>
    <row r="285" spans="1:37" ht="24.6" customHeight="1" x14ac:dyDescent="0.3">
      <c r="A285" s="382" t="s">
        <v>288</v>
      </c>
      <c r="B285" s="382" t="str">
        <f>VLOOKUP(Mentor_Connect[[#This Row],[Venture Name]],[1]!VenturesList[#All],2,FALSE)</f>
        <v>Accelerate Core</v>
      </c>
      <c r="C285" s="383">
        <f>VLOOKUP(Mentor_Connect[[#This Row],[Venture Name]],[1]!VenturesList[#All],3,FALSE)</f>
        <v>45962</v>
      </c>
      <c r="D285" s="237" t="str">
        <f>VLOOKUP(Mentor_Connect[[#This Row],[Venture Name]],[1]!VenturesList[#All],5,FALSE)</f>
        <v>Vignesh</v>
      </c>
      <c r="E285" s="238"/>
      <c r="F285" s="252" t="s">
        <v>440</v>
      </c>
      <c r="G285" s="253">
        <v>46064</v>
      </c>
      <c r="H285" s="45">
        <v>46078</v>
      </c>
      <c r="I285" s="218">
        <v>46083</v>
      </c>
      <c r="J285" s="225">
        <v>45962</v>
      </c>
      <c r="K285" s="240"/>
      <c r="L285" s="217" t="s">
        <v>358</v>
      </c>
      <c r="M285" s="239">
        <v>45962</v>
      </c>
      <c r="N285" s="241"/>
      <c r="O285" s="159" t="s">
        <v>1420</v>
      </c>
      <c r="P285" s="21"/>
      <c r="Q285" s="242"/>
      <c r="R285" s="237"/>
      <c r="S285" s="260"/>
      <c r="T285" s="251"/>
      <c r="U285" s="251"/>
      <c r="V285" s="237"/>
      <c r="W285" s="237"/>
      <c r="X285" s="237"/>
      <c r="Y285" s="237"/>
      <c r="Z285" s="21"/>
      <c r="AA285" s="237"/>
      <c r="AB285" s="21"/>
      <c r="AC285" s="21"/>
      <c r="AD285" s="21"/>
      <c r="AE285" s="21"/>
      <c r="AF285" s="21"/>
      <c r="AG285" s="21"/>
      <c r="AH285" s="21"/>
      <c r="AI285" s="9"/>
      <c r="AJ285" s="225" t="str">
        <f>IF(ISBLANK(Mentor_Connect[[#This Row],[Meeting Date]]),"",Mentor_Connect[[#This Row],[Meeting Date]]-WEEKDAY(Mentor_Connect[[#This Row],[Meeting Date]],2)+1)</f>
        <v/>
      </c>
      <c r="AK285" s="222">
        <f>IF(ISBLANK(Mentor_Connect[[#This Row],[Preferred Mentor Selected On]]),"",Mentor_Connect[[#This Row],[Preferred Mentor Selected On]]-WEEKDAY(Mentor_Connect[[#This Row],[Preferred Mentor Selected On]],2)+1)</f>
        <v>45957</v>
      </c>
    </row>
    <row r="286" spans="1:37" ht="24.6" customHeight="1" x14ac:dyDescent="0.3">
      <c r="A286" s="382" t="s">
        <v>168</v>
      </c>
      <c r="B286" s="382" t="str">
        <f>VLOOKUP(Mentor_Connect[[#This Row],[Venture Name]],[1]!VenturesList[#All],2,FALSE)</f>
        <v>Accelerate Prime</v>
      </c>
      <c r="C286" s="383">
        <f>VLOOKUP(Mentor_Connect[[#This Row],[Venture Name]],[1]!VenturesList[#All],3,FALSE)</f>
        <v>45992</v>
      </c>
      <c r="D286" s="237" t="str">
        <f>VLOOKUP(Mentor_Connect[[#This Row],[Venture Name]],[1]!VenturesList[#All],5,FALSE)</f>
        <v>Shruti Modi</v>
      </c>
      <c r="E286" s="238"/>
      <c r="F286" s="238" t="s">
        <v>449</v>
      </c>
      <c r="G286" s="239">
        <v>46065</v>
      </c>
      <c r="H286" s="21"/>
      <c r="I286" s="21"/>
      <c r="J286" s="240">
        <v>45992</v>
      </c>
      <c r="K286" s="240"/>
      <c r="L286" s="239" t="s">
        <v>358</v>
      </c>
      <c r="M286" s="239">
        <v>45992</v>
      </c>
      <c r="N286" s="241"/>
      <c r="O286" s="321" t="s">
        <v>925</v>
      </c>
      <c r="P286" s="21"/>
      <c r="Q286" s="242"/>
      <c r="R286" s="237"/>
      <c r="S286" s="9"/>
      <c r="T286" s="8"/>
      <c r="U286" s="8"/>
      <c r="V286" s="510"/>
      <c r="W286" s="510"/>
      <c r="X286" s="510"/>
      <c r="Y286" s="510"/>
      <c r="Z286" s="9"/>
      <c r="AA286" s="8"/>
      <c r="AB286" s="9"/>
      <c r="AC286" s="9"/>
      <c r="AD286" s="9"/>
      <c r="AE286" s="9"/>
      <c r="AF286" s="9"/>
      <c r="AG286" s="9"/>
      <c r="AH286" s="9"/>
      <c r="AI286" s="9"/>
      <c r="AJ286" s="225" t="str">
        <f>IF(ISBLANK(Mentor_Connect[[#This Row],[Meeting Date]]),"",Mentor_Connect[[#This Row],[Meeting Date]]-WEEKDAY(Mentor_Connect[[#This Row],[Meeting Date]],2)+1)</f>
        <v/>
      </c>
      <c r="AK286" s="222">
        <f>IF(ISBLANK(Mentor_Connect[[#This Row],[Preferred Mentor Selected On]]),"",Mentor_Connect[[#This Row],[Preferred Mentor Selected On]]-WEEKDAY(Mentor_Connect[[#This Row],[Preferred Mentor Selected On]],2)+1)</f>
        <v>45992</v>
      </c>
    </row>
    <row r="287" spans="1:37" ht="24.6" customHeight="1" x14ac:dyDescent="0.3">
      <c r="A287" s="273" t="s">
        <v>158</v>
      </c>
      <c r="B287" s="273" t="str">
        <f>VLOOKUP(Mentor_Connect[[#This Row],[Venture Name]],[1]!VenturesList[#All],2,FALSE)</f>
        <v>Accelerate Prime</v>
      </c>
      <c r="C287" s="274">
        <f>VLOOKUP(Mentor_Connect[[#This Row],[Venture Name]],[1]!VenturesList[#All],3,FALSE)</f>
        <v>45992</v>
      </c>
      <c r="D287" s="8" t="str">
        <f>VLOOKUP(Mentor_Connect[[#This Row],[Venture Name]],[1]!VenturesList[#All],5,FALSE)</f>
        <v>Ramya</v>
      </c>
      <c r="E287" s="216"/>
      <c r="F287" s="216" t="s">
        <v>449</v>
      </c>
      <c r="G287" s="217">
        <v>46067</v>
      </c>
      <c r="H287" s="45">
        <v>46069</v>
      </c>
      <c r="I287" s="217"/>
      <c r="J287" s="225">
        <v>45992</v>
      </c>
      <c r="K287" s="225"/>
      <c r="L287" s="217" t="s">
        <v>358</v>
      </c>
      <c r="M287" s="217">
        <v>45992</v>
      </c>
      <c r="N287" s="20"/>
      <c r="O287" s="6" t="s">
        <v>1417</v>
      </c>
      <c r="P287" s="9" t="s">
        <v>1044</v>
      </c>
      <c r="Q287" s="129"/>
      <c r="R287" s="8"/>
      <c r="S287" s="9"/>
      <c r="T287" s="8"/>
      <c r="U287" s="8"/>
      <c r="V287" s="8"/>
      <c r="W287" s="279"/>
      <c r="X287" s="279"/>
      <c r="Y287" s="279"/>
      <c r="Z287" s="36"/>
      <c r="AA287" s="279"/>
      <c r="AB287" s="36"/>
      <c r="AC287" s="36"/>
      <c r="AD287" s="36"/>
      <c r="AE287" s="36"/>
      <c r="AF287" s="36"/>
      <c r="AG287" s="36"/>
      <c r="AH287" s="36"/>
      <c r="AI287" s="9"/>
      <c r="AJ287" s="225" t="str">
        <f>IF(ISBLANK(Mentor_Connect[[#This Row],[Meeting Date]]),"",Mentor_Connect[[#This Row],[Meeting Date]]-WEEKDAY(Mentor_Connect[[#This Row],[Meeting Date]],2)+1)</f>
        <v/>
      </c>
      <c r="AK287" s="222">
        <f>IF(ISBLANK(Mentor_Connect[[#This Row],[Preferred Mentor Selected On]]),"",Mentor_Connect[[#This Row],[Preferred Mentor Selected On]]-WEEKDAY(Mentor_Connect[[#This Row],[Preferred Mentor Selected On]],2)+1)</f>
        <v>45992</v>
      </c>
    </row>
    <row r="288" spans="1:37" ht="24.6" customHeight="1" x14ac:dyDescent="0.3">
      <c r="A288" s="273" t="s">
        <v>174</v>
      </c>
      <c r="B288" s="382" t="str">
        <f>VLOOKUP(Mentor_Connect[[#This Row],[Venture Name]],[1]!VenturesList[#All],2,FALSE)</f>
        <v>Accelerate Prime</v>
      </c>
      <c r="C288" s="274">
        <f>VLOOKUP(Mentor_Connect[[#This Row],[Venture Name]],[1]!VenturesList[#All],3,FALSE)</f>
        <v>45992</v>
      </c>
      <c r="D288" s="8" t="str">
        <f>VLOOKUP(Mentor_Connect[[#This Row],[Venture Name]],[1]!VenturesList[#All],5,FALSE)</f>
        <v>Ramya</v>
      </c>
      <c r="E288" s="216"/>
      <c r="F288" s="216" t="s">
        <v>449</v>
      </c>
      <c r="G288" s="217">
        <v>46067</v>
      </c>
      <c r="H288" s="45">
        <v>46069</v>
      </c>
      <c r="I288" s="217"/>
      <c r="J288" s="225">
        <v>45992</v>
      </c>
      <c r="K288" s="240"/>
      <c r="L288" s="217" t="s">
        <v>358</v>
      </c>
      <c r="M288" s="217">
        <v>45992</v>
      </c>
      <c r="N288" s="20"/>
      <c r="O288" s="60" t="s">
        <v>925</v>
      </c>
      <c r="P288" s="9"/>
      <c r="Q288" s="129"/>
      <c r="R288" s="8"/>
      <c r="S288" s="9"/>
      <c r="T288" s="8"/>
      <c r="U288" s="8"/>
      <c r="V288" s="8"/>
      <c r="W288" s="8"/>
      <c r="X288" s="8"/>
      <c r="Y288" s="8"/>
      <c r="Z288" s="9"/>
      <c r="AA288" s="8"/>
      <c r="AB288" s="9"/>
      <c r="AC288" s="21"/>
      <c r="AD288" s="21"/>
      <c r="AE288" s="21"/>
      <c r="AF288" s="21"/>
      <c r="AG288" s="21"/>
      <c r="AH288" s="21"/>
      <c r="AI288" s="9"/>
      <c r="AJ288" s="225" t="str">
        <f>IF(ISBLANK(Mentor_Connect[[#This Row],[Meeting Date]]),"",Mentor_Connect[[#This Row],[Meeting Date]]-WEEKDAY(Mentor_Connect[[#This Row],[Meeting Date]],2)+1)</f>
        <v/>
      </c>
      <c r="AK288" s="222">
        <f>IF(ISBLANK(Mentor_Connect[[#This Row],[Preferred Mentor Selected On]]),"",Mentor_Connect[[#This Row],[Preferred Mentor Selected On]]-WEEKDAY(Mentor_Connect[[#This Row],[Preferred Mentor Selected On]],2)+1)</f>
        <v>45992</v>
      </c>
    </row>
    <row r="289" spans="1:37" ht="24.6" customHeight="1" x14ac:dyDescent="0.3">
      <c r="A289" s="273" t="s">
        <v>317</v>
      </c>
      <c r="B289" s="382" t="str">
        <f>VLOOKUP(Mentor_Connect[[#This Row],[Venture Name]],[1]!VenturesList[#All],2,FALSE)</f>
        <v>Accelerate Core</v>
      </c>
      <c r="C289" s="274">
        <f>VLOOKUP(Mentor_Connect[[#This Row],[Venture Name]],[1]!VenturesList[#All],3,FALSE)</f>
        <v>45992</v>
      </c>
      <c r="D289" s="8" t="str">
        <f>VLOOKUP(Mentor_Connect[[#This Row],[Venture Name]],[1]!VenturesList[#All],5,FALSE)</f>
        <v>Vignesh</v>
      </c>
      <c r="E289" s="252"/>
      <c r="F289" s="216" t="s">
        <v>440</v>
      </c>
      <c r="G289" s="45">
        <v>46070</v>
      </c>
      <c r="H289" s="217">
        <v>46078</v>
      </c>
      <c r="I289" s="217">
        <v>46083</v>
      </c>
      <c r="J289" s="225">
        <v>45992</v>
      </c>
      <c r="K289" s="219"/>
      <c r="L289" s="217" t="s">
        <v>358</v>
      </c>
      <c r="M289" s="217">
        <v>45992</v>
      </c>
      <c r="N289" s="20"/>
      <c r="O289" s="6" t="s">
        <v>1420</v>
      </c>
      <c r="P289" s="9"/>
      <c r="Q289" s="269"/>
      <c r="R289" s="566"/>
      <c r="S289" s="336"/>
      <c r="T289" s="295"/>
      <c r="U289" s="295"/>
      <c r="V289" s="8"/>
      <c r="W289" s="8"/>
      <c r="X289" s="8"/>
      <c r="Y289" s="8"/>
      <c r="Z289" s="9"/>
      <c r="AA289" s="8"/>
      <c r="AB289" s="9"/>
      <c r="AC289" s="21"/>
      <c r="AD289" s="21"/>
      <c r="AE289" s="21"/>
      <c r="AF289" s="21"/>
      <c r="AG289" s="21"/>
      <c r="AH289" s="21"/>
      <c r="AI289" s="9"/>
      <c r="AJ289" s="225" t="str">
        <f>IF(ISBLANK(Mentor_Connect[[#This Row],[Meeting Date]]),"",Mentor_Connect[[#This Row],[Meeting Date]]-WEEKDAY(Mentor_Connect[[#This Row],[Meeting Date]],2)+1)</f>
        <v/>
      </c>
      <c r="AK289" s="222">
        <f>IF(ISBLANK(Mentor_Connect[[#This Row],[Preferred Mentor Selected On]]),"",Mentor_Connect[[#This Row],[Preferred Mentor Selected On]]-WEEKDAY(Mentor_Connect[[#This Row],[Preferred Mentor Selected On]],2)+1)</f>
        <v>45992</v>
      </c>
    </row>
    <row r="290" spans="1:37" ht="24.6" customHeight="1" x14ac:dyDescent="0.3">
      <c r="A290" s="273" t="s">
        <v>198</v>
      </c>
      <c r="B290" s="558" t="str">
        <f>VLOOKUP(Mentor_Connect[[#This Row],[Venture Name]],[1]!VenturesList[#All],2,FALSE)</f>
        <v>Accelerate Prime</v>
      </c>
      <c r="C290" s="567">
        <f>VLOOKUP(Mentor_Connect[[#This Row],[Venture Name]],[1]!VenturesList[#All],3,FALSE)</f>
        <v>45992</v>
      </c>
      <c r="D290" s="251" t="str">
        <f>VLOOKUP(Mentor_Connect[[#This Row],[Venture Name]],[1]!VenturesList[#All],5,FALSE)</f>
        <v>Ramya</v>
      </c>
      <c r="E290" s="252"/>
      <c r="F290" s="288" t="s">
        <v>449</v>
      </c>
      <c r="G290" s="407">
        <v>46070</v>
      </c>
      <c r="H290" s="260"/>
      <c r="I290" s="260"/>
      <c r="J290" s="219">
        <v>45992</v>
      </c>
      <c r="K290" s="283"/>
      <c r="L290" s="253" t="s">
        <v>358</v>
      </c>
      <c r="M290" s="253">
        <v>45992</v>
      </c>
      <c r="N290" s="267"/>
      <c r="O290" s="568" t="s">
        <v>925</v>
      </c>
      <c r="P290" s="260"/>
      <c r="Q290" s="269"/>
      <c r="R290" s="251"/>
      <c r="S290" s="336"/>
      <c r="T290" s="295"/>
      <c r="U290" s="295"/>
      <c r="V290" s="251"/>
      <c r="W290" s="251"/>
      <c r="X290" s="251"/>
      <c r="Y290" s="251"/>
      <c r="Z290" s="36"/>
      <c r="AA290" s="251"/>
      <c r="AB290" s="260"/>
      <c r="AC290" s="260"/>
      <c r="AD290" s="260"/>
      <c r="AE290" s="260"/>
      <c r="AF290" s="260"/>
      <c r="AG290" s="260"/>
      <c r="AH290" s="260"/>
      <c r="AI290" s="9"/>
      <c r="AJ290" s="225" t="str">
        <f>IF(ISBLANK(Mentor_Connect[[#This Row],[Meeting Date]]),"",Mentor_Connect[[#This Row],[Meeting Date]]-WEEKDAY(Mentor_Connect[[#This Row],[Meeting Date]],2)+1)</f>
        <v/>
      </c>
      <c r="AK290" s="222">
        <f>IF(ISBLANK(Mentor_Connect[[#This Row],[Preferred Mentor Selected On]]),"",Mentor_Connect[[#This Row],[Preferred Mentor Selected On]]-WEEKDAY(Mentor_Connect[[#This Row],[Preferred Mentor Selected On]],2)+1)</f>
        <v>45992</v>
      </c>
    </row>
    <row r="291" spans="1:37" ht="24.6" customHeight="1" x14ac:dyDescent="0.3">
      <c r="A291" s="273" t="s">
        <v>46</v>
      </c>
      <c r="B291" s="8" t="str">
        <f>VLOOKUP(Mentor_Connect[[#This Row],[Venture Name]],[1]!VenturesList[#All],2,FALSE)</f>
        <v>Accelerate Core</v>
      </c>
      <c r="C291" s="223">
        <f>VLOOKUP(Mentor_Connect[[#This Row],[Venture Name]],[1]!VenturesList[#All],3,FALSE)</f>
        <v>45901</v>
      </c>
      <c r="D291" s="8" t="str">
        <f>VLOOKUP(Mentor_Connect[[#This Row],[Venture Name]],[1]!VenturesList[#All],5,FALSE)</f>
        <v>Vignesh</v>
      </c>
      <c r="E291" s="216" t="s">
        <v>5</v>
      </c>
      <c r="F291" s="216" t="s">
        <v>18</v>
      </c>
      <c r="G291" s="217">
        <v>46072</v>
      </c>
      <c r="H291" s="217">
        <v>46072</v>
      </c>
      <c r="I291" s="217">
        <v>46072</v>
      </c>
      <c r="J291" s="225">
        <v>46072</v>
      </c>
      <c r="K291" s="225">
        <v>46076</v>
      </c>
      <c r="L291" s="217"/>
      <c r="M291" s="217"/>
      <c r="N291" s="20"/>
      <c r="O291" s="20"/>
      <c r="P291" s="569"/>
      <c r="Q291" s="570">
        <v>115058872547</v>
      </c>
      <c r="R291" s="571" t="s">
        <v>913</v>
      </c>
      <c r="S291" s="572" t="s">
        <v>257</v>
      </c>
      <c r="T291" s="573" t="s">
        <v>258</v>
      </c>
      <c r="U291" s="574">
        <v>9884422270</v>
      </c>
      <c r="V291" s="8" t="s">
        <v>1421</v>
      </c>
      <c r="W291" s="8"/>
      <c r="X291" s="53" t="s">
        <v>1422</v>
      </c>
      <c r="Y291" s="53" t="s">
        <v>1423</v>
      </c>
      <c r="Z291" s="9"/>
      <c r="AA291" s="8"/>
      <c r="AB291" s="9"/>
      <c r="AC291" s="9"/>
      <c r="AD291" s="9"/>
      <c r="AE291" s="9"/>
      <c r="AF291" s="9"/>
      <c r="AG291" s="9"/>
      <c r="AH291" s="8" t="s">
        <v>433</v>
      </c>
      <c r="AI291" s="9" t="s">
        <v>916</v>
      </c>
      <c r="AJ291" s="225">
        <f>IF(ISBLANK(Mentor_Connect[[#This Row],[Meeting Date]]),"",Mentor_Connect[[#This Row],[Meeting Date]]-WEEKDAY(Mentor_Connect[[#This Row],[Meeting Date]],2)+1)</f>
        <v>46076</v>
      </c>
      <c r="AK291" s="222">
        <f>IF(ISBLANK(Mentor_Connect[[#This Row],[Preferred Mentor Selected On]]),"",Mentor_Connect[[#This Row],[Preferred Mentor Selected On]]-WEEKDAY(Mentor_Connect[[#This Row],[Preferred Mentor Selected On]],2)+1)</f>
        <v>46069</v>
      </c>
    </row>
    <row r="292" spans="1:37" ht="24.6" customHeight="1" x14ac:dyDescent="0.3">
      <c r="A292" s="382" t="s">
        <v>78</v>
      </c>
      <c r="B292" s="237" t="str">
        <f>VLOOKUP(Mentor_Connect[[#This Row],[Venture Name]],[1]!VenturesList[#All],2,FALSE)</f>
        <v>Accelerate Core</v>
      </c>
      <c r="C292" s="339">
        <f>VLOOKUP(Mentor_Connect[[#This Row],[Venture Name]],[1]!VenturesList[#All],3,FALSE)</f>
        <v>45992</v>
      </c>
      <c r="D292" s="8" t="str">
        <f>VLOOKUP(Mentor_Connect[[#This Row],[Venture Name]],[1]!VenturesList[#All],5,FALSE)</f>
        <v>Jigar</v>
      </c>
      <c r="E292" s="238"/>
      <c r="F292" s="238" t="s">
        <v>440</v>
      </c>
      <c r="G292" s="239">
        <v>46073</v>
      </c>
      <c r="H292" s="35">
        <v>46044</v>
      </c>
      <c r="I292" s="35">
        <v>46044</v>
      </c>
      <c r="J292" s="230">
        <v>46060</v>
      </c>
      <c r="K292" s="240"/>
      <c r="L292" s="239"/>
      <c r="M292" s="239"/>
      <c r="N292" s="241"/>
      <c r="O292" s="22" t="s">
        <v>1424</v>
      </c>
      <c r="P292" s="21"/>
      <c r="Q292" s="242"/>
      <c r="R292" s="243"/>
      <c r="S292" s="575"/>
      <c r="T292" s="576"/>
      <c r="U292" s="577"/>
      <c r="V292" s="237"/>
      <c r="W292" s="237"/>
      <c r="X292" s="237"/>
      <c r="Y292" s="237"/>
      <c r="Z292" s="21"/>
      <c r="AA292" s="237"/>
      <c r="AB292" s="21"/>
      <c r="AC292" s="21"/>
      <c r="AD292" s="21"/>
      <c r="AE292" s="21"/>
      <c r="AF292" s="21"/>
      <c r="AG292" s="21"/>
      <c r="AH292" s="21"/>
      <c r="AI292" s="9"/>
      <c r="AJ292" s="225" t="str">
        <f>IF(ISBLANK(Mentor_Connect[[#This Row],[Meeting Date]]),"",Mentor_Connect[[#This Row],[Meeting Date]]-WEEKDAY(Mentor_Connect[[#This Row],[Meeting Date]],2)+1)</f>
        <v/>
      </c>
      <c r="AK292" s="222">
        <f>IF(ISBLANK(Mentor_Connect[[#This Row],[Preferred Mentor Selected On]]),"",Mentor_Connect[[#This Row],[Preferred Mentor Selected On]]-WEEKDAY(Mentor_Connect[[#This Row],[Preferred Mentor Selected On]],2)+1)</f>
        <v>46055</v>
      </c>
    </row>
    <row r="293" spans="1:37" ht="24.6" customHeight="1" x14ac:dyDescent="0.3">
      <c r="A293" s="237" t="s">
        <v>210</v>
      </c>
      <c r="B293" s="237" t="str">
        <f>VLOOKUP(Mentor_Connect[[#This Row],[Venture Name]],[1]!VenturesList[#All],2,FALSE)</f>
        <v>Accelerate Prime</v>
      </c>
      <c r="C293" s="339">
        <f>VLOOKUP(Mentor_Connect[[#This Row],[Venture Name]],[1]!VenturesList[#All],3,FALSE)</f>
        <v>45870</v>
      </c>
      <c r="D293" s="8" t="str">
        <f>VLOOKUP(Mentor_Connect[[#This Row],[Venture Name]],[1]!VenturesList[#All],5,FALSE)</f>
        <v>Kedar</v>
      </c>
      <c r="E293" s="238" t="s">
        <v>950</v>
      </c>
      <c r="F293" s="238" t="s">
        <v>436</v>
      </c>
      <c r="G293" s="21"/>
      <c r="H293" s="21"/>
      <c r="I293" s="21"/>
      <c r="J293" s="339">
        <v>45870</v>
      </c>
      <c r="K293" s="240"/>
      <c r="L293" s="239" t="s">
        <v>358</v>
      </c>
      <c r="M293" s="239">
        <v>45870</v>
      </c>
      <c r="N293" s="241"/>
      <c r="O293" s="455" t="s">
        <v>1425</v>
      </c>
      <c r="P293" s="21"/>
      <c r="Q293" s="242"/>
      <c r="R293" s="237"/>
      <c r="S293" s="21"/>
      <c r="T293" s="237"/>
      <c r="U293" s="237"/>
      <c r="V293" s="237"/>
      <c r="W293" s="237"/>
      <c r="X293" s="237"/>
      <c r="Y293" s="237"/>
      <c r="Z293" s="21"/>
      <c r="AA293" s="237"/>
      <c r="AB293" s="21"/>
      <c r="AC293" s="21"/>
      <c r="AD293" s="21"/>
      <c r="AE293" s="21"/>
      <c r="AF293" s="21"/>
      <c r="AG293" s="21"/>
      <c r="AH293" s="21"/>
      <c r="AI293" s="9"/>
      <c r="AJ293" s="225" t="str">
        <f>IF(ISBLANK(Mentor_Connect[[#This Row],[Meeting Date]]),"",Mentor_Connect[[#This Row],[Meeting Date]]-WEEKDAY(Mentor_Connect[[#This Row],[Meeting Date]],2)+1)</f>
        <v/>
      </c>
      <c r="AK293" s="222">
        <f>IF(ISBLANK(Mentor_Connect[[#This Row],[Preferred Mentor Selected On]]),"",Mentor_Connect[[#This Row],[Preferred Mentor Selected On]]-WEEKDAY(Mentor_Connect[[#This Row],[Preferred Mentor Selected On]],2)+1)</f>
        <v>45866</v>
      </c>
    </row>
    <row r="294" spans="1:37" ht="24.6" customHeight="1" x14ac:dyDescent="0.3">
      <c r="A294" s="382" t="s">
        <v>78</v>
      </c>
      <c r="B294" s="237" t="str">
        <f>VLOOKUP(Mentor_Connect[[#This Row],[Venture Name]],[1]!VenturesList[#All],2,FALSE)</f>
        <v>Accelerate Core</v>
      </c>
      <c r="C294" s="339">
        <f>VLOOKUP(Mentor_Connect[[#This Row],[Venture Name]],[1]!VenturesList[#All],3,FALSE)</f>
        <v>45992</v>
      </c>
      <c r="D294" s="237" t="str">
        <f>VLOOKUP(Mentor_Connect[[#This Row],[Venture Name]],[1]!VenturesList[#All],5,FALSE)</f>
        <v>Jigar</v>
      </c>
      <c r="E294" s="252" t="s">
        <v>139</v>
      </c>
      <c r="F294" s="216" t="s">
        <v>18</v>
      </c>
      <c r="G294" s="239">
        <v>46073</v>
      </c>
      <c r="H294" s="35">
        <v>46044</v>
      </c>
      <c r="I294" s="35">
        <v>46044</v>
      </c>
      <c r="J294" s="230">
        <v>46060</v>
      </c>
      <c r="K294" s="240">
        <v>46095</v>
      </c>
      <c r="L294" s="239"/>
      <c r="M294" s="239"/>
      <c r="N294" s="241"/>
      <c r="O294" s="22" t="s">
        <v>1426</v>
      </c>
      <c r="P294" s="25" t="s">
        <v>1394</v>
      </c>
      <c r="Q294" s="322">
        <v>115061950102</v>
      </c>
      <c r="R294" s="237" t="s">
        <v>913</v>
      </c>
      <c r="S294" s="416" t="s">
        <v>264</v>
      </c>
      <c r="T294" s="578" t="s">
        <v>265</v>
      </c>
      <c r="U294" s="416">
        <v>9664922209</v>
      </c>
      <c r="V294" s="38" t="s">
        <v>1395</v>
      </c>
      <c r="W294" s="38"/>
      <c r="X294" s="415" t="s">
        <v>1427</v>
      </c>
      <c r="Y294" s="415" t="s">
        <v>1427</v>
      </c>
      <c r="Z294" s="21" t="s">
        <v>966</v>
      </c>
      <c r="AA294" s="237"/>
      <c r="AB294" s="21"/>
      <c r="AC294" s="21"/>
      <c r="AD294" s="21"/>
      <c r="AE294" s="21"/>
      <c r="AF294" s="21"/>
      <c r="AG294" s="21"/>
      <c r="AH294" s="21"/>
      <c r="AI294" s="21" t="s">
        <v>916</v>
      </c>
      <c r="AJ294" s="225">
        <f>IF(ISBLANK(Mentor_Connect[[#This Row],[Meeting Date]]),"",Mentor_Connect[[#This Row],[Meeting Date]]-WEEKDAY(Mentor_Connect[[#This Row],[Meeting Date]],2)+1)</f>
        <v>46090</v>
      </c>
      <c r="AK294" s="222">
        <f>IF(ISBLANK(Mentor_Connect[[#This Row],[Preferred Mentor Selected On]]),"",Mentor_Connect[[#This Row],[Preferred Mentor Selected On]]-WEEKDAY(Mentor_Connect[[#This Row],[Preferred Mentor Selected On]],2)+1)</f>
        <v>46055</v>
      </c>
    </row>
    <row r="295" spans="1:37" ht="24.6" customHeight="1" x14ac:dyDescent="0.3">
      <c r="A295" s="273" t="s">
        <v>55</v>
      </c>
      <c r="B295" s="579" t="str">
        <f>VLOOKUP(Mentor_Connect[[#This Row],[Venture Name]],[1]!VenturesList[#All],2,FALSE)</f>
        <v>Accelerate Core</v>
      </c>
      <c r="C295" s="223">
        <f>VLOOKUP(Mentor_Connect[[#This Row],[Venture Name]],[1]!VenturesList[#All],3,FALSE)</f>
        <v>45962</v>
      </c>
      <c r="D295" s="8" t="str">
        <f>VLOOKUP(Mentor_Connect[[#This Row],[Venture Name]],[1]!VenturesList[#All],5,FALSE)</f>
        <v>Vignesh</v>
      </c>
      <c r="E295" s="216" t="s">
        <v>485</v>
      </c>
      <c r="F295" s="265" t="s">
        <v>439</v>
      </c>
      <c r="G295" s="217">
        <v>46078</v>
      </c>
      <c r="H295" s="217">
        <v>46078</v>
      </c>
      <c r="I295" s="217">
        <v>46078</v>
      </c>
      <c r="J295" s="225">
        <v>46078</v>
      </c>
      <c r="K295" s="580"/>
      <c r="L295" s="217"/>
      <c r="M295" s="217"/>
      <c r="N295" s="20"/>
      <c r="O295" s="466" t="s">
        <v>1428</v>
      </c>
      <c r="P295" s="9"/>
      <c r="Q295" s="129"/>
      <c r="R295" s="277"/>
      <c r="S295" s="379"/>
      <c r="T295" s="523"/>
      <c r="U295" s="524"/>
      <c r="V295" s="277"/>
      <c r="W295" s="277"/>
      <c r="X295" s="277"/>
      <c r="Y295" s="277"/>
      <c r="Z295" s="9"/>
      <c r="AA295" s="8"/>
      <c r="AB295" s="9"/>
      <c r="AC295" s="9"/>
      <c r="AD295" s="9"/>
      <c r="AE295" s="9"/>
      <c r="AF295" s="9"/>
      <c r="AG295" s="9"/>
      <c r="AH295" s="9"/>
      <c r="AI295" s="9"/>
      <c r="AJ295" s="225" t="str">
        <f>IF(ISBLANK(Mentor_Connect[[#This Row],[Meeting Date]]),"",Mentor_Connect[[#This Row],[Meeting Date]]-WEEKDAY(Mentor_Connect[[#This Row],[Meeting Date]],2)+1)</f>
        <v/>
      </c>
      <c r="AK295" s="222">
        <f>IF(ISBLANK(Mentor_Connect[[#This Row],[Preferred Mentor Selected On]]),"",Mentor_Connect[[#This Row],[Preferred Mentor Selected On]]-WEEKDAY(Mentor_Connect[[#This Row],[Preferred Mentor Selected On]],2)+1)</f>
        <v>46076</v>
      </c>
    </row>
    <row r="296" spans="1:37" ht="24.6" customHeight="1" x14ac:dyDescent="0.3">
      <c r="A296" s="382" t="s">
        <v>55</v>
      </c>
      <c r="B296" s="251" t="str">
        <f>VLOOKUP(Mentor_Connect[[#This Row],[Venture Name]],[1]!VenturesList[#All],2,FALSE)</f>
        <v>Accelerate Core</v>
      </c>
      <c r="C296" s="339">
        <f>VLOOKUP(Mentor_Connect[[#This Row],[Venture Name]],[1]!VenturesList[#All],3,FALSE)</f>
        <v>45962</v>
      </c>
      <c r="D296" s="237" t="str">
        <f>VLOOKUP(Mentor_Connect[[#This Row],[Venture Name]],[1]!VenturesList[#All],5,FALSE)</f>
        <v>Vignesh</v>
      </c>
      <c r="E296" s="39" t="s">
        <v>5</v>
      </c>
      <c r="F296" s="252" t="s">
        <v>439</v>
      </c>
      <c r="G296" s="217">
        <v>46078</v>
      </c>
      <c r="H296" s="239">
        <v>46078</v>
      </c>
      <c r="I296" s="217">
        <v>46078</v>
      </c>
      <c r="J296" s="240">
        <v>46078</v>
      </c>
      <c r="K296" s="283"/>
      <c r="L296" s="239"/>
      <c r="M296" s="239"/>
      <c r="N296" s="241"/>
      <c r="O296" s="6" t="s">
        <v>1429</v>
      </c>
      <c r="P296" s="21"/>
      <c r="Q296" s="242"/>
      <c r="R296" s="237"/>
      <c r="S296" s="21"/>
      <c r="T296" s="237"/>
      <c r="U296" s="237"/>
      <c r="V296" s="237"/>
      <c r="W296" s="237"/>
      <c r="X296" s="237"/>
      <c r="Y296" s="237"/>
      <c r="Z296" s="21"/>
      <c r="AA296" s="237"/>
      <c r="AB296" s="21"/>
      <c r="AC296" s="21"/>
      <c r="AD296" s="21"/>
      <c r="AE296" s="21"/>
      <c r="AF296" s="21"/>
      <c r="AG296" s="21"/>
      <c r="AH296" s="21"/>
      <c r="AI296" s="21"/>
      <c r="AJ296" s="225" t="str">
        <f>IF(ISBLANK(Mentor_Connect[[#This Row],[Meeting Date]]),"",Mentor_Connect[[#This Row],[Meeting Date]]-WEEKDAY(Mentor_Connect[[#This Row],[Meeting Date]],2)+1)</f>
        <v/>
      </c>
      <c r="AK296" s="222">
        <f>IF(ISBLANK(Mentor_Connect[[#This Row],[Preferred Mentor Selected On]]),"",Mentor_Connect[[#This Row],[Preferred Mentor Selected On]]-WEEKDAY(Mentor_Connect[[#This Row],[Preferred Mentor Selected On]],2)+1)</f>
        <v>46076</v>
      </c>
    </row>
    <row r="297" spans="1:37" ht="24.6" customHeight="1" x14ac:dyDescent="0.3">
      <c r="A297" s="237" t="s">
        <v>74</v>
      </c>
      <c r="B297" s="243" t="str">
        <f>VLOOKUP(Mentor_Connect[[#This Row],[Venture Name]],[1]!VenturesList[#All],2,FALSE)</f>
        <v>Accelerate Core</v>
      </c>
      <c r="C297" s="383">
        <f>VLOOKUP(Mentor_Connect[[#This Row],[Venture Name]],[1]!VenturesList[#All],3,FALSE)</f>
        <v>45931</v>
      </c>
      <c r="D297" s="237" t="str">
        <f>VLOOKUP(Mentor_Connect[[#This Row],[Venture Name]],[1]!VenturesList[#All],5,FALSE)</f>
        <v>Vignesh</v>
      </c>
      <c r="E297" s="238"/>
      <c r="F297" s="216" t="s">
        <v>434</v>
      </c>
      <c r="G297" s="253">
        <v>46080</v>
      </c>
      <c r="H297" s="21"/>
      <c r="I297" s="9"/>
      <c r="J297" s="240"/>
      <c r="K297" s="240"/>
      <c r="L297" s="239"/>
      <c r="M297" s="239"/>
      <c r="N297" s="241"/>
      <c r="O297" s="22" t="s">
        <v>1430</v>
      </c>
      <c r="P297" s="21"/>
      <c r="Q297" s="242"/>
      <c r="R297" s="237"/>
      <c r="S297" s="21"/>
      <c r="T297" s="237"/>
      <c r="U297" s="237"/>
      <c r="V297" s="237"/>
      <c r="W297" s="237"/>
      <c r="X297" s="237"/>
      <c r="Y297" s="237"/>
      <c r="Z297" s="21"/>
      <c r="AA297" s="237"/>
      <c r="AB297" s="21"/>
      <c r="AC297" s="21"/>
      <c r="AD297" s="21"/>
      <c r="AE297" s="21"/>
      <c r="AF297" s="21"/>
      <c r="AG297" s="21"/>
      <c r="AH297" s="21"/>
      <c r="AI297" s="21"/>
      <c r="AJ297" s="225" t="str">
        <f>IF(ISBLANK(Mentor_Connect[[#This Row],[Meeting Date]]),"",Mentor_Connect[[#This Row],[Meeting Date]]-WEEKDAY(Mentor_Connect[[#This Row],[Meeting Date]],2)+1)</f>
        <v/>
      </c>
      <c r="AK297" s="222" t="str">
        <f>IF(ISBLANK(Mentor_Connect[[#This Row],[Preferred Mentor Selected On]]),"",Mentor_Connect[[#This Row],[Preferred Mentor Selected On]]-WEEKDAY(Mentor_Connect[[#This Row],[Preferred Mentor Selected On]],2)+1)</f>
        <v/>
      </c>
    </row>
    <row r="298" spans="1:37" ht="24.6" customHeight="1" x14ac:dyDescent="0.3">
      <c r="A298" s="581" t="s">
        <v>24</v>
      </c>
      <c r="B298" s="237" t="str">
        <f>VLOOKUP(Mentor_Connect[[#This Row],[Venture Name]],[1]!VenturesList[#All],2,FALSE)</f>
        <v>Accelerate Core</v>
      </c>
      <c r="C298" s="339">
        <f>VLOOKUP(Mentor_Connect[[#This Row],[Venture Name]],[1]!VenturesList[#All],3,FALSE)</f>
        <v>45962</v>
      </c>
      <c r="D298" s="237" t="str">
        <f>VLOOKUP(Mentor_Connect[[#This Row],[Venture Name]],[1]!VenturesList[#All],5,FALSE)</f>
        <v>Vignesh</v>
      </c>
      <c r="E298" s="238" t="s">
        <v>134</v>
      </c>
      <c r="F298" s="216" t="s">
        <v>18</v>
      </c>
      <c r="G298" s="253">
        <v>46101</v>
      </c>
      <c r="H298" s="239">
        <v>46101</v>
      </c>
      <c r="I298" s="217">
        <v>46101</v>
      </c>
      <c r="J298" s="240">
        <v>46101</v>
      </c>
      <c r="K298" s="240">
        <v>46107</v>
      </c>
      <c r="L298" s="239"/>
      <c r="M298" s="239"/>
      <c r="N298" s="241"/>
      <c r="O298" s="582" t="s">
        <v>1431</v>
      </c>
      <c r="P298" s="25" t="s">
        <v>1432</v>
      </c>
      <c r="Q298" s="322">
        <v>115062696710</v>
      </c>
      <c r="R298" s="38" t="s">
        <v>913</v>
      </c>
      <c r="S298" s="430" t="s">
        <v>506</v>
      </c>
      <c r="T298" s="553" t="s">
        <v>507</v>
      </c>
      <c r="U298" s="430">
        <v>9884038585</v>
      </c>
      <c r="V298" s="237" t="s">
        <v>1433</v>
      </c>
      <c r="W298" s="237"/>
      <c r="X298" s="415" t="s">
        <v>1434</v>
      </c>
      <c r="Y298" s="415" t="s">
        <v>1435</v>
      </c>
      <c r="Z298" s="21" t="s">
        <v>966</v>
      </c>
      <c r="AA298" s="237"/>
      <c r="AB298" s="21"/>
      <c r="AC298" s="21"/>
      <c r="AD298" s="21"/>
      <c r="AE298" s="21"/>
      <c r="AF298" s="21"/>
      <c r="AG298" s="21"/>
      <c r="AH298" s="21"/>
      <c r="AI298" s="21" t="s">
        <v>916</v>
      </c>
      <c r="AJ298" s="225">
        <f>IF(ISBLANK(Mentor_Connect[[#This Row],[Meeting Date]]),"",Mentor_Connect[[#This Row],[Meeting Date]]-WEEKDAY(Mentor_Connect[[#This Row],[Meeting Date]],2)+1)</f>
        <v>46104</v>
      </c>
      <c r="AK298" s="222">
        <f>IF(ISBLANK(Mentor_Connect[[#This Row],[Preferred Mentor Selected On]]),"",Mentor_Connect[[#This Row],[Preferred Mentor Selected On]]-WEEKDAY(Mentor_Connect[[#This Row],[Preferred Mentor Selected On]],2)+1)</f>
        <v>46097</v>
      </c>
    </row>
    <row r="299" spans="1:37" ht="24.6" customHeight="1" x14ac:dyDescent="0.3">
      <c r="A299" s="581" t="s">
        <v>24</v>
      </c>
      <c r="B299" s="237" t="str">
        <f>VLOOKUP(Mentor_Connect[[#This Row],[Venture Name]],[1]!VenturesList[#All],2,FALSE)</f>
        <v>Accelerate Core</v>
      </c>
      <c r="C299" s="339">
        <f>VLOOKUP(Mentor_Connect[[#This Row],[Venture Name]],[1]!VenturesList[#All],3,FALSE)</f>
        <v>45962</v>
      </c>
      <c r="D299" s="237" t="str">
        <f>VLOOKUP(Mentor_Connect[[#This Row],[Venture Name]],[1]!VenturesList[#All],5,FALSE)</f>
        <v>Vignesh</v>
      </c>
      <c r="E299" s="238" t="s">
        <v>134</v>
      </c>
      <c r="F299" s="216" t="s">
        <v>439</v>
      </c>
      <c r="G299" s="253">
        <v>46113</v>
      </c>
      <c r="H299" s="35">
        <v>46042</v>
      </c>
      <c r="I299" s="45">
        <v>46043</v>
      </c>
      <c r="J299" s="240">
        <v>46113</v>
      </c>
      <c r="K299" s="240"/>
      <c r="L299" s="239"/>
      <c r="M299" s="239"/>
      <c r="N299" s="241"/>
      <c r="O299" s="582" t="s">
        <v>1436</v>
      </c>
      <c r="P299" s="21"/>
      <c r="Q299" s="242"/>
      <c r="R299" s="237"/>
      <c r="S299" s="21"/>
      <c r="T299" s="237"/>
      <c r="U299" s="237"/>
      <c r="V299" s="237"/>
      <c r="W299" s="237"/>
      <c r="X299" s="237"/>
      <c r="Y299" s="237"/>
      <c r="Z299" s="21" t="s">
        <v>966</v>
      </c>
      <c r="AA299" s="237"/>
      <c r="AB299" s="21"/>
      <c r="AC299" s="21"/>
      <c r="AD299" s="21"/>
      <c r="AE299" s="21"/>
      <c r="AF299" s="21"/>
      <c r="AG299" s="21"/>
      <c r="AH299" s="21"/>
      <c r="AI299" s="21"/>
      <c r="AJ299" s="240" t="str">
        <f>IF(ISBLANK(Mentor_Connect[[#This Row],[Meeting Date]]),"",Mentor_Connect[[#This Row],[Meeting Date]]-WEEKDAY(Mentor_Connect[[#This Row],[Meeting Date]],2)+1)</f>
        <v/>
      </c>
      <c r="AK299" s="222">
        <f>IF(ISBLANK(Mentor_Connect[[#This Row],[Preferred Mentor Selected On]]),"",Mentor_Connect[[#This Row],[Preferred Mentor Selected On]]-WEEKDAY(Mentor_Connect[[#This Row],[Preferred Mentor Selected On]],2)+1)</f>
        <v>46111</v>
      </c>
    </row>
    <row r="300" spans="1:37" ht="24.6" customHeight="1" x14ac:dyDescent="0.3">
      <c r="A300" s="237" t="s">
        <v>1437</v>
      </c>
      <c r="B300" s="237" t="e">
        <f>VLOOKUP(Mentor_Connect[[#This Row],[Venture Name]],[1]!VenturesList[#All],2,FALSE)</f>
        <v>#N/A</v>
      </c>
      <c r="C300" s="339" t="e">
        <f>VLOOKUP(Mentor_Connect[[#This Row],[Venture Name]],[1]!VenturesList[#All],3,FALSE)</f>
        <v>#N/A</v>
      </c>
      <c r="D300" s="237" t="e">
        <f>VLOOKUP(Mentor_Connect[[#This Row],[Venture Name]],[1]!VenturesList[#All],5,FALSE)</f>
        <v>#N/A</v>
      </c>
      <c r="E300" s="39" t="s">
        <v>5</v>
      </c>
      <c r="F300" s="216" t="s">
        <v>18</v>
      </c>
      <c r="G300" s="21"/>
      <c r="H300" s="21"/>
      <c r="I300" s="21"/>
      <c r="J300" s="239"/>
      <c r="K300" s="240">
        <v>46129</v>
      </c>
      <c r="L300" s="239"/>
      <c r="M300" s="239"/>
      <c r="N300" s="241"/>
      <c r="O300" s="241" t="s">
        <v>1438</v>
      </c>
      <c r="P300" s="21"/>
      <c r="Q300" s="242"/>
      <c r="R300" s="237"/>
      <c r="S300" s="21"/>
      <c r="T300" s="237"/>
      <c r="U300" s="237"/>
      <c r="V300" s="237"/>
      <c r="W300" s="237"/>
      <c r="X300" s="415" t="s">
        <v>1439</v>
      </c>
      <c r="Y300" s="237"/>
      <c r="Z300" s="21"/>
      <c r="AA300" s="237"/>
      <c r="AB300" s="21"/>
      <c r="AC300" s="21"/>
      <c r="AD300" s="21"/>
      <c r="AE300" s="21"/>
      <c r="AF300" s="21"/>
      <c r="AG300" s="21"/>
      <c r="AH300" s="21"/>
      <c r="AI300" s="21"/>
      <c r="AJ300" s="240">
        <f>IF(ISBLANK(Mentor_Connect[[#This Row],[Meeting Date]]),"",Mentor_Connect[[#This Row],[Meeting Date]]-WEEKDAY(Mentor_Connect[[#This Row],[Meeting Date]],2)+1)</f>
        <v>46125</v>
      </c>
      <c r="AK300" s="222" t="str">
        <f>IF(ISBLANK(Mentor_Connect[[#This Row],[Preferred Mentor Selected On]]),"",Mentor_Connect[[#This Row],[Preferred Mentor Selected On]]-WEEKDAY(Mentor_Connect[[#This Row],[Preferred Mentor Selected On]],2)+1)</f>
        <v/>
      </c>
    </row>
    <row r="301" spans="1:37" ht="24.6" customHeight="1" x14ac:dyDescent="0.3">
      <c r="A301" s="583"/>
      <c r="B301" s="583"/>
      <c r="C301" s="583"/>
    </row>
    <row r="302" spans="1:37" ht="24.6" customHeight="1" x14ac:dyDescent="0.3">
      <c r="A302" s="583"/>
      <c r="B302" s="583"/>
      <c r="C302" s="583"/>
    </row>
    <row r="303" spans="1:37" ht="24.6" customHeight="1" x14ac:dyDescent="0.3">
      <c r="A303" s="583"/>
      <c r="B303" s="583"/>
      <c r="C303" s="583"/>
    </row>
    <row r="304" spans="1:37" ht="24.6" customHeight="1" x14ac:dyDescent="0.3">
      <c r="A304" s="583"/>
      <c r="B304" s="583"/>
      <c r="C304" s="583"/>
      <c r="D304"/>
    </row>
    <row r="305" spans="1:4" ht="24.6" customHeight="1" x14ac:dyDescent="0.3">
      <c r="A305" s="583"/>
      <c r="B305" s="583"/>
      <c r="C305" s="583"/>
      <c r="D305"/>
    </row>
    <row r="306" spans="1:4" ht="24.6" customHeight="1" x14ac:dyDescent="0.3">
      <c r="A306" s="583"/>
      <c r="B306" s="583"/>
      <c r="C306" s="583"/>
      <c r="D306"/>
    </row>
    <row r="307" spans="1:4" ht="24.6" customHeight="1" x14ac:dyDescent="0.3">
      <c r="A307" s="583"/>
      <c r="B307" s="583"/>
      <c r="C307" s="583"/>
      <c r="D307"/>
    </row>
    <row r="308" spans="1:4" ht="24.6" customHeight="1" x14ac:dyDescent="0.3">
      <c r="A308" s="583"/>
      <c r="B308" s="583"/>
      <c r="C308" s="583"/>
      <c r="D308"/>
    </row>
    <row r="309" spans="1:4" ht="24.6" customHeight="1" x14ac:dyDescent="0.3">
      <c r="A309" s="583"/>
      <c r="B309" s="583"/>
      <c r="C309" s="583"/>
      <c r="D309"/>
    </row>
  </sheetData>
  <hyperlinks>
    <hyperlink ref="T33" r:id="rId1" xr:uid="{0E46397A-3D6E-4380-884F-223B40467D09}"/>
    <hyperlink ref="T14" r:id="rId2" xr:uid="{55730CF3-3899-482D-8A92-6098876F83C7}"/>
    <hyperlink ref="T28" r:id="rId3" xr:uid="{BAE5F858-D144-43A3-B404-54828E9E92D9}"/>
    <hyperlink ref="T22" r:id="rId4" xr:uid="{F88D9854-D316-4C53-9D61-2D0D995B52EF}"/>
    <hyperlink ref="T27" r:id="rId5" xr:uid="{33A4B88A-F528-4D84-9B4B-5186E2C6A9EB}"/>
    <hyperlink ref="T52" r:id="rId6" xr:uid="{5BA6328A-B1BF-416C-AD66-DC24CF3389BB}"/>
    <hyperlink ref="T48" r:id="rId7" xr:uid="{E005E3F6-A141-4DA3-9B42-B3AFAA7DA1B7}"/>
    <hyperlink ref="T62" r:id="rId8" xr:uid="{DFCCA069-1601-4397-A707-DEBD8F1E7DF4}"/>
    <hyperlink ref="T61" r:id="rId9" xr:uid="{D3D17060-5815-4CCA-96CB-BE44E25431CB}"/>
    <hyperlink ref="T71" r:id="rId10" xr:uid="{DB63FE20-524F-4FAF-837A-205023AAD3BA}"/>
    <hyperlink ref="T97" r:id="rId11" xr:uid="{E9D02ECE-B5C5-41BF-93A4-956F44721AB4}"/>
    <hyperlink ref="T92" r:id="rId12" xr:uid="{B7F8F8C8-CEE3-4339-B942-4319490B4122}"/>
    <hyperlink ref="T6" r:id="rId13" xr:uid="{CECD92A5-E05C-45F4-AA8B-F1CBC3D23B63}"/>
    <hyperlink ref="T41" r:id="rId14" xr:uid="{E882F192-3E18-4BCA-B6C6-515111704651}"/>
    <hyperlink ref="T11" r:id="rId15" xr:uid="{2B92A049-7EFD-4F22-87B2-B1323C3B5A84}"/>
    <hyperlink ref="T117" r:id="rId16" xr:uid="{25805DC3-C558-46E9-9DA9-A94167AA4E05}"/>
    <hyperlink ref="T116" r:id="rId17" xr:uid="{F825EB77-55E1-489B-964E-C2FC323CB3B1}"/>
    <hyperlink ref="T70" r:id="rId18" xr:uid="{13A6ED8D-0C8C-4D3D-8560-C6182033619A}"/>
    <hyperlink ref="T43" r:id="rId19" display="mailto:sanjeeviraja@manufyx.co.in" xr:uid="{192F96AD-0BDC-461D-9FC9-F741B3A2BD1E}"/>
    <hyperlink ref="T3" r:id="rId20" display="mailto:arjun@videosdk.live; vikram@videosdk.live" xr:uid="{9779189A-9AAF-4224-AEEC-48128E49CD67}"/>
    <hyperlink ref="T88" r:id="rId21" xr:uid="{345C875C-ADB0-49EF-8C35-E92E4DEF0D47}"/>
    <hyperlink ref="T49" r:id="rId22" xr:uid="{2F6BDA4E-4C06-471C-8D79-115F1A678650}"/>
    <hyperlink ref="T199" r:id="rId23" xr:uid="{25CA4692-1AAA-4D1B-9BC2-82A257546AAA}"/>
    <hyperlink ref="T121" r:id="rId24" display="mailto:Info@rawpharmabiz.com" xr:uid="{6352A4FD-C1A1-431F-9312-46398A189D94}"/>
    <hyperlink ref="T192" r:id="rId25" display="mailto:chetan@alpinohealthfoods.com" xr:uid="{B8793995-7006-4F5E-AED2-3BA5101FECEC}"/>
    <hyperlink ref="T175" r:id="rId26" xr:uid="{1742DDC5-43EA-4696-965B-DF6AB2BA61F5}"/>
    <hyperlink ref="T211" r:id="rId27" xr:uid="{5CECE7B3-E31A-4DDF-A887-CA5F7204BCF4}"/>
    <hyperlink ref="T265" r:id="rId28" xr:uid="{F6572050-D4EC-4C8B-B272-1C45C4DCD041}"/>
    <hyperlink ref="T26" r:id="rId29" xr:uid="{BD8D6555-8465-4AA8-B9F2-7F47A902E073}"/>
    <hyperlink ref="T123" r:id="rId30" xr:uid="{811B3006-80AC-4F2F-B0E3-BB081E3DB041}"/>
    <hyperlink ref="T176" r:id="rId31" xr:uid="{200100C0-293B-4F66-852E-A3F486814BAF}"/>
    <hyperlink ref="T173" r:id="rId32" xr:uid="{C770AD79-B993-4E1D-B391-6C91019F004D}"/>
    <hyperlink ref="T228" r:id="rId33" xr:uid="{0A250442-EF7A-430E-AE0A-B418B84528BE}"/>
    <hyperlink ref="T110" r:id="rId34" xr:uid="{7B047E16-2C55-4D3B-9788-06832A08E6F6}"/>
    <hyperlink ref="T45" r:id="rId35" xr:uid="{1E8B63C1-8FFE-40C6-A3E3-A96DFBE9F89F}"/>
    <hyperlink ref="T182" r:id="rId36" xr:uid="{EAE7DA3C-9FD3-4A2C-B90D-92A444341C96}"/>
    <hyperlink ref="T5" r:id="rId37" xr:uid="{ABA9B901-C44C-4CB9-99EB-686FB47A439D}"/>
    <hyperlink ref="T7" r:id="rId38" xr:uid="{9C7206F6-D68D-430E-8A1E-98DF59EDA038}"/>
    <hyperlink ref="T118" r:id="rId39" xr:uid="{07930814-15A5-4C60-9AB8-54EF2628C605}"/>
    <hyperlink ref="T76" r:id="rId40" xr:uid="{40E3A0A3-C66C-47CB-8DA4-E31A852F27F9}"/>
    <hyperlink ref="T4" r:id="rId41" xr:uid="{3802B373-CC3E-4839-999C-1EA2C9BDF610}"/>
    <hyperlink ref="T59" r:id="rId42" xr:uid="{F8C9EC4A-82A3-4B7C-9553-FEC32DE39485}"/>
    <hyperlink ref="T218" r:id="rId43" xr:uid="{FE2DF400-2349-4584-A6F1-549732C0C261}"/>
    <hyperlink ref="T219" r:id="rId44" xr:uid="{C8BDF489-B1FB-405A-8416-10A53099D8B7}"/>
    <hyperlink ref="T179" r:id="rId45" display="mailto:Eshan@tunepath.com" xr:uid="{0246099A-BF06-4186-B51C-CBFC44B7D546}"/>
    <hyperlink ref="T100" r:id="rId46" display="mailto:akash@gyroindia.com" xr:uid="{A71334E1-B341-459F-8E52-140C00504071}"/>
    <hyperlink ref="T194" r:id="rId47" display="mailto:ravi@dhobig.com" xr:uid="{F9F3504F-26B8-4F35-ACA5-08C7D0E80710}"/>
    <hyperlink ref="T245" r:id="rId48" display="mailto:karthikeyan.mv@padcarelabs.com , ajinkya.dhariya@padcarelabs.com" xr:uid="{96ACFB0A-05CC-41D5-86DD-7DF5A32173A0}"/>
    <hyperlink ref="T96" r:id="rId49" display="mailto:preeti@foodnest.co.in" xr:uid="{9476FC7F-A862-4E99-B855-2ECDC2EFF36D}"/>
    <hyperlink ref="T72" r:id="rId50" display="mailto:pritam@tailorsmart.in" xr:uid="{58FDD7AE-47B2-42A0-9680-680137B0E6AC}"/>
    <hyperlink ref="T254" r:id="rId51" display="mailto:Sudhir@leapinfosys.com" xr:uid="{DFAB86FA-03E9-4886-9022-12FA0999C943}"/>
    <hyperlink ref="T55" r:id="rId52" display="mailto:tarun@mithi.com" xr:uid="{6693212B-2515-476A-9699-F82DF61C0332}"/>
    <hyperlink ref="T230" r:id="rId53" xr:uid="{86D27273-927A-4A57-B71E-A508FEE54361}"/>
    <hyperlink ref="T60" r:id="rId54" xr:uid="{C5B0F154-02CA-45BC-80AC-0D5C4BD2C050}"/>
    <hyperlink ref="T46" r:id="rId55" display="mailto:sanjeeviraja@manufyx.co.in" xr:uid="{8F35B09F-BCA7-49DE-A896-A0795EFEA66F}"/>
    <hyperlink ref="T102" r:id="rId56" display="mailto:anil.alex@fontierz.com" xr:uid="{D62F85CC-7FB6-4A92-8D40-DCB4ED2EA6B0}"/>
    <hyperlink ref="T255" r:id="rId57" xr:uid="{A452A979-158E-411D-858B-02D4FAF8362C}"/>
    <hyperlink ref="T235" r:id="rId58" xr:uid="{ABA63410-E546-47ED-B0A2-6389933C0BEE}"/>
    <hyperlink ref="T248" r:id="rId59" xr:uid="{550B23F1-B9C8-40DE-A691-AA33C10ACA49}"/>
    <hyperlink ref="T106" r:id="rId60" xr:uid="{0C04073E-3023-4ADF-81BD-410E3568A5CD}"/>
    <hyperlink ref="T190" r:id="rId61" xr:uid="{69665F28-A0AF-4FAC-BE33-C4D62D32F457}"/>
    <hyperlink ref="T220" r:id="rId62" xr:uid="{7BE1B1F1-C0E3-49B8-B868-9AF8A9D83A37}"/>
    <hyperlink ref="T99" r:id="rId63" xr:uid="{FA26CBE7-13DC-4653-B5FD-D10426421BCC}"/>
    <hyperlink ref="T42" r:id="rId64" xr:uid="{F3060D36-E32E-4588-8BE5-35DCAD154234}"/>
    <hyperlink ref="T232" r:id="rId65" display="mailto:krunal.shah@qarmatek.com" xr:uid="{4BBF8D94-68D9-4700-B05F-10EAAB9D9970}"/>
    <hyperlink ref="T233" r:id="rId66" display="mailto:krunal.shah@qarmatek.com" xr:uid="{A911FC48-74CA-466E-B8C6-A2CDB11B08B1}"/>
    <hyperlink ref="T209" r:id="rId67" display="mailto:nutrirasoi@outlook.com" xr:uid="{A1330BF6-47EF-4AC5-94D1-C9BAD8456213}"/>
    <hyperlink ref="T231" r:id="rId68" xr:uid="{04E7BFFE-DB3A-4CBD-8830-585261C293FA}"/>
    <hyperlink ref="T221" r:id="rId69" xr:uid="{C091B1C7-3359-4801-A1CF-5B36A4ED41B1}"/>
    <hyperlink ref="T291" r:id="rId70" xr:uid="{CBABC35F-A937-439C-95F9-6D35233D4F61}"/>
    <hyperlink ref="T263" r:id="rId71" display="mailto:chirag@bebeburp.com, founders@bebeburp.com" xr:uid="{087D621C-9FF8-49B9-A3F9-E94B1C6674FB}"/>
    <hyperlink ref="T264" r:id="rId72" display="mailto:chirag@bebeburp.com, founders@bebeburp.com" xr:uid="{6760635F-A978-404E-91E7-5EA5BF1AA0EB}"/>
    <hyperlink ref="T294" r:id="rId73" display="mailto:divyajit@bullagritech.in" xr:uid="{1ADEE841-2937-46CE-B341-8BF438999ABB}"/>
    <hyperlink ref="T257" r:id="rId74" xr:uid="{EA8AC88F-A550-4472-9579-93E2E5BFBC82}"/>
    <hyperlink ref="T258" r:id="rId75" xr:uid="{384D0B4E-A90E-4265-B394-22E271405F91}"/>
    <hyperlink ref="T259" r:id="rId76" xr:uid="{0B8DC8EE-CC87-4655-BAB8-894E90FD65B6}"/>
    <hyperlink ref="T298" r:id="rId77" xr:uid="{D2A5F5FA-4087-45A5-933E-7801974C1839}"/>
    <hyperlink ref="T178" r:id="rId78" xr:uid="{16B56A88-44B5-4A76-AB2D-FFDFF134497B}"/>
    <hyperlink ref="T177" r:id="rId79" xr:uid="{950CE029-A267-4AAF-93E8-754C14FB8720}"/>
    <hyperlink ref="T262" r:id="rId80" display="mailto:chirag@bebeburp.com, founders@bebeburp.com" xr:uid="{B38A9D2A-1869-418F-B8D5-DC3A3FD5F1B7}"/>
    <hyperlink ref="T266" r:id="rId81" xr:uid="{F22FF662-9BEA-4B7F-9A9E-E9759B43C2E4}"/>
    <hyperlink ref="T73" r:id="rId82" xr:uid="{A00FF1B3-2CEC-4585-8A7D-783718A8547F}"/>
    <hyperlink ref="X3" r:id="rId83" display="https://wadhwanifoundation-my.sharepoint.com/:v:/g/personal/accelerate_wadhwanifoundation_org/IQAgRScEtU5CSqp5_xl-86CZATYk-aLQuQK2DT4BV6_-R-k?e=ffE8Bd&amp;nav=eyJyZWZlcnJhbEluZm8iOnsicmVmZXJyYWxBcHAiOiJTdHJlYW1XZWJBcHAiLCJyZWZlcnJhbFZpZXciOiJTaGFyZURpYWxvZy1MaW5rIiwicmVmZXJyYWxBcHBQbGF0Zm9ybSI6IldlYiIsInJlZmVycmFsTW9kZSI6InZpZXcifX0%3D" xr:uid="{F02EAA80-16B5-4069-A6B4-A9DF419A4BF0}"/>
    <hyperlink ref="X12" r:id="rId84" display="https://wadhwanifoundation-my.sharepoint.com/:v:/g/personal/accelerate_wadhwanifoundation_org/IQBnJ02Wdk34QZTYmeFz71MeAdG50NNO17QLD4OI7OrOBZY?e=cLvKYo&amp;nav=eyJyZWZlcnJhbEluZm8iOnsicmVmZXJyYWxBcHAiOiJTdHJlYW1XZWJBcHAiLCJyZWZlcnJhbFZpZXciOiJTaGFyZURpYWxvZy1MaW5rIiwicmVmZXJyYWxBcHBQbGF0Zm9ybSI6IldlYiIsInJlZmVycmFsTW9kZSI6InZpZXcifX0%3D" xr:uid="{5D5221DF-5A3B-4A06-8CA6-476CB2E29742}"/>
    <hyperlink ref="Y12" r:id="rId85" xr:uid="{75EEE870-C607-4EFF-9F72-108253EA5B90}"/>
    <hyperlink ref="X31" r:id="rId86" display="https://wadhwanifoundation-my.sharepoint.com/:v:/g/personal/accelerate_wadhwanifoundation_org/IQDLw4OGyNXHRZMvK0PFQ0u-AciHevDngg3mnYEcMlCzzwc?e=wnqqHN&amp;nav=eyJyZWZlcnJhbEluZm8iOnsicmVmZXJyYWxBcHAiOiJTdHJlYW1XZWJBcHAiLCJyZWZlcnJhbFZpZXciOiJTaGFyZURpYWxvZy1MaW5rIiwicmVmZXJyYWxBcHBQbGF0Zm9ybSI6IldlYiIsInJlZmVycmFsTW9kZSI6InZpZXcifX0%3D" xr:uid="{61184964-1143-4794-A85C-ADD839FD5EEE}"/>
    <hyperlink ref="Y31" r:id="rId87" xr:uid="{409CF020-F8CD-47F6-9B89-AA1865DBF43A}"/>
    <hyperlink ref="X42" r:id="rId88" display="https://wadhwanifoundation-my.sharepoint.com/:v:/g/personal/accelerate_wadhwanifoundation_org/IQALx_9vnBb0S6kcl58comOcAYw22_VXekVfCiG5k7UcXKE?e=D7LE3b&amp;nav=eyJyZWZlcnJhbEluZm8iOnsicmVmZXJyYWxBcHAiOiJTdHJlYW1XZWJBcHAiLCJyZWZlcnJhbFZpZXciOiJTaGFyZURpYWxvZy1MaW5rIiwicmVmZXJyYWxBcHBQbGF0Zm9ybSI6IldlYiIsInJlZmVycmFsTW9kZSI6InZpZXcifX0%3D" xr:uid="{4A867635-4115-4EF7-831E-13C7FB15FCDD}"/>
    <hyperlink ref="Y42" r:id="rId89" xr:uid="{4382B111-EEF6-4BE2-A6F8-14BEE40B7F78}"/>
    <hyperlink ref="X45" r:id="rId90" display="https://wadhwanifoundation-my.sharepoint.com/:v:/g/personal/accelerate_wadhwanifoundation_org/IQCdolpaxkDIRK6oGj4qgsaVAcgCuXKy2BIf5Mf-J9ZIMKU?e=v2sRrH&amp;nav=eyJyZWZlcnJhbEluZm8iOnsicmVmZXJyYWxBcHAiOiJTdHJlYW1XZWJBcHAiLCJyZWZlcnJhbFZpZXciOiJTaGFyZURpYWxvZy1MaW5rIiwicmVmZXJyYWxBcHBQbGF0Zm9ybSI6IldlYiIsInJlZmVycmFsTW9kZSI6InZpZXcifX0%3D" xr:uid="{DA0A5C7C-AE94-4649-8C75-6F20C2BAC187}"/>
    <hyperlink ref="Y45" r:id="rId91" display="https://wadhwanifoundation-my.sharepoint.com/personal/vaibhav_mattas_wadhwanifoundation_org/_layouts/15/Doc.aspx?sourcedoc=%7BE7991494-6037-4784-9CB0-1BAD523742E5%7D&amp;file=Expert%20Connect%202%20_%20Manufyx%20x%20Wadhwani%20Accelerate.docx&amp;action=default&amp;mobileredirect=true&amp;DefaultItemOpen=1" xr:uid="{912B7C8B-E1F6-45EB-86D6-9BE7F306B217}"/>
    <hyperlink ref="Y46" r:id="rId92" display="https://wadhwanifoundation-my.sharepoint.com/personal/vaibhav_mattas_wadhwanifoundation_org/_layouts/15/Doc.aspx?sourcedoc=%7BAAE36574-79A5-4554-8AE7-FDDAC4D4B0F8%7D&amp;file=Expert%20Connect%203%20_%20Manufyx%20x%20Wadhwani%20Accelerate.docx&amp;action=default&amp;mobileredirect=true&amp;DefaultItemOpen=1" xr:uid="{5FDAFEF0-E279-4BF1-B23B-B5586E93C71D}"/>
    <hyperlink ref="Y291" r:id="rId93" display="https://wadhwanifoundation-my.sharepoint.com/personal/vaibhav_mattas_wadhwanifoundation_org/_layouts/15/Doc.aspx?sourcedoc=%7BDA3353B6-5E40-4730-ACE4-686DD5BA9B82%7D&amp;file=Expert%20Connect%202%20_%20Aeronero%C2%A0Solutions%20x%20Wadhwani%20Accelerate%20(1).docx&amp;action=default&amp;mobileredirect=true&amp;DefaultItemOpen=1" xr:uid="{0AAB4070-1CC4-4CE4-9A23-5F69AD70938E}"/>
    <hyperlink ref="X291" r:id="rId94" xr:uid="{F007640B-0349-43ED-BEC4-CAF23334405D}"/>
    <hyperlink ref="X220" r:id="rId95" xr:uid="{839B929A-B206-4E80-B97E-9CBBF5F1F168}"/>
    <hyperlink ref="Y220" r:id="rId96" display="https://wadhwanifoundation-my.sharepoint.com/personal/vaibhav_mattas_wadhwanifoundation_org/_layouts/15/Doc.aspx?sourcedoc=%7BDEC524CB-A9F1-4086-84CD-E65D483BE100%7D&amp;file=Expert%20Connect%201%20_%20Agriown%C2%A0Farmtech%20x%20Wadhwani%20Accelerate.docx&amp;action=default&amp;mobileredirect=true&amp;DefaultItemOpen=1" xr:uid="{AA2A6775-3474-490E-A12C-089C5492E135}"/>
    <hyperlink ref="X218" r:id="rId97" xr:uid="{49C60A8A-3920-4867-A724-3B918D5152C2}"/>
    <hyperlink ref="X219" r:id="rId98" xr:uid="{5CDD46DD-30BB-4391-9E15-64893D980B87}"/>
    <hyperlink ref="Y218" r:id="rId99" display="https://wadhwanifoundation-my.sharepoint.com/personal/vaibhav_mattas_wadhwanifoundation_org/_layouts/15/Doc.aspx?sourcedoc=%7BF9ADAE59-ADF6-483B-B40B-65AFEF07CB4A%7D&amp;file=Expert%20Connect%201%20_%20Airmeds%20x%20Wadhwani%20Accelerate.docx&amp;action=default&amp;mobileredirect=true&amp;DefaultItemOpen=1" xr:uid="{7370A33F-A1BE-422B-9310-ACC87D795B7C}"/>
    <hyperlink ref="Y219" r:id="rId100" display="https://wadhwanifoundation-my.sharepoint.com/personal/vaibhav_mattas_wadhwanifoundation_org/_layouts/15/Doc.aspx?sourcedoc=%7B965A8195-49E4-47EC-93D9-CCCEE29A9892%7D&amp;file=Expert%20Connect%202%20_%20Airmeds%20x%20Wadhwani%20Accelerate.docx&amp;action=default&amp;mobileredirect=true&amp;DefaultItemOpen=1" xr:uid="{9A39D8EA-F47C-4600-B17E-EF61D1B86926}"/>
    <hyperlink ref="X179" r:id="rId101" xr:uid="{C0D40D92-A63B-42DE-BEA1-50D6B10035E5}"/>
    <hyperlink ref="Y179" r:id="rId102" display="https://wadhwanifoundation-my.sharepoint.com/personal/vaibhav_mattas_wadhwanifoundation_org/_layouts/15/Doc.aspx?sourcedoc=%7B1335BA6A-9B6B-4182-8E5A-3CAA73A707E8%7D&amp;file=Expert%20Connect%201%20_%20Ask%20Eva%20x%20Wadhwani%20Accelerate.docx&amp;action=default&amp;mobileredirect=true&amp;DefaultItemOpen=1" xr:uid="{6BEDE0EB-41D0-461C-AD92-296B84DEFAF3}"/>
    <hyperlink ref="X89" r:id="rId103" xr:uid="{B4D02583-C188-41B6-AA0E-6BE86F820267}"/>
    <hyperlink ref="Y89" r:id="rId104" display="https://wadhwanifoundation-my.sharepoint.com/personal/vaibhav_mattas_wadhwanifoundation_org/_layouts/15/Doc.aspx?sourcedoc=%7B3EB033BE-FD2A-487A-A40C-1688B7F3885B%7D&amp;file=Expert%20Connect%201%20_%20Atreya%20Innovations%20x%20Wadhwani%20Accelerate.docx&amp;action=default&amp;mobileredirect=true&amp;DefaultItemOpen=1" xr:uid="{399CAD5E-3D55-45A8-A4BB-CB80A952A306}"/>
    <hyperlink ref="X91" r:id="rId105" display="https://wadhwanifoundation-my.sharepoint.com/:v:/g/personal/accelerate_wadhwanifoundation_org/IQAQHZcayc-8S6IFcLhbtLq2AbwrKYU2RJwAGubr93GFXgM?e=kvoRY3&amp;nav=eyJyZWZlcnJhbEluZm8iOnsicmVmZXJyYWxBcHAiOiJTdHJlYW1XZWJBcHAiLCJyZWZlcnJhbFZpZXciOiJTaGFyZURpYWxvZy1MaW5rIiwicmVmZXJyYWxBcHBQbGF0Zm9ybSI6IldlYiIsInJlZmVycmFsTW9kZSI6InZpZXcifX0%3D" xr:uid="{EE73CA07-B2FD-4E47-AF7C-97E87FA9E496}"/>
    <hyperlink ref="Y91" r:id="rId106" display="https://wadhwanifoundation-my.sharepoint.com/personal/vaibhav_mattas_wadhwanifoundation_org/_layouts/15/Doc.aspx?sourcedoc=%7BD6161283-CA3E-4A20-B503-CBE867467E02%7D&amp;file=Expert%20Connect%203%20_%20Atreya%20Innovations%20x%20Wadhwani%20Accelerate.docx&amp;action=default&amp;mobileredirect=true&amp;DefaultItemOpen=1" xr:uid="{37E19B9E-2A04-45A5-87AB-4E30F6ABDCD3}"/>
    <hyperlink ref="X262" r:id="rId107" xr:uid="{54645FD2-FCAE-4760-AB1F-2E513A080538}"/>
    <hyperlink ref="X263" r:id="rId108" display="https://wadhwanifoundation-my.sharepoint.com/personal/accelerate_wadhwanifoundation_org/_layouts/15/stream.aspx?id=%2Fpersonal%2Faccelerate%5Fwadhwanifoundation%5Forg%2FDocuments%2FRecordings%2FExpert%20Connect%202%20%20Bebe%C2%A0Burp%20x%20Wadhwani%20Accelerate%2D20260310%5F092851UTC%2DMeeting%20Recording%2Emp4&amp;referrer=StreamWebApp%2EWeb&amp;referrerScenario=AddressBarCopied%2Eview%2E453ac413%2D9a97%2D4e84%2D931f%2D1b07766d2551" xr:uid="{0C265D88-BAC9-4296-A204-A46791342EDA}"/>
    <hyperlink ref="Y262" r:id="rId109" display="https://wadhwanifoundation-my.sharepoint.com/personal/vaibhav_mattas_wadhwanifoundation_org/_layouts/15/Doc.aspx?sourcedoc=%7BB0E1E151-19FE-4BFF-9272-27EB663F8C4F%7D&amp;file=Expert%20Connect%201%20_%20Bebe%20Burp%20x%20Wadhwani%20Accelerate%20(1).docx&amp;action=default&amp;mobileredirect=true&amp;DefaultItemOpen=1" xr:uid="{B3E28192-A829-4194-86DD-6D9FDC0460DD}"/>
    <hyperlink ref="Y263" r:id="rId110" display="https://wadhwanifoundation-my.sharepoint.com/personal/vaibhav_mattas_wadhwanifoundation_org/_layouts/15/Doc.aspx?sourcedoc=%7BDCB64393-076B-4A7E-81C2-ED289A419878%7D&amp;file=Expert%20Connect%202%20_%20Bebe%C2%A0Burp%20x%20Wadhwani%20Accelerate%20(1).docx&amp;action=default&amp;mobileredirect=true&amp;DefaultItemOpen=1" xr:uid="{A2793913-5F98-42EA-BFF1-29E33375B71D}"/>
    <hyperlink ref="X264" r:id="rId111" display="https://wadhwanifoundation-my.sharepoint.com/personal/accelerate_wadhwanifoundation_org/_layouts/15/stream.aspx?id=%2Fpersonal%2Faccelerate%5Fwadhwanifoundation%5Forg%2FDocuments%2FRecordings%2FExpert%20Connect%203%20%20Bebe%20Burp%20x%20Wadhwani%20Accelerate%2D20260314%5F063248UTC%2DMeeting%20Recording%2Emp4&amp;referrer=StreamWebApp%2EWeb&amp;referrerScenario=AddressBarCopied%2Eview%2E004e9fe2%2D2cf5%2D47c8%2D867f%2D5eb8f481004a" xr:uid="{3B46F07C-502F-4FFF-9905-4A0D8260393D}"/>
    <hyperlink ref="Y264" r:id="rId112" display="https://wadhwanifoundation-my.sharepoint.com/personal/vaibhav_mattas_wadhwanifoundation_org/_layouts/15/Doc.aspx?sourcedoc=%7BB5FD5442-0B6F-4ACE-BB5B-70569F161B5B%7D&amp;file=Expert%20Connect%203%20_%20Bebe%20Burp%20x%20Wadhwani%20Accelerate%20(1).docx&amp;action=default&amp;mobileredirect=true&amp;DefaultItemOpen=1" xr:uid="{0471E66E-2672-4611-8ABA-299781778C57}"/>
    <hyperlink ref="Y191" r:id="rId113" display="https://wadhwanifoundation-my.sharepoint.com/personal/vaibhav_mattas_wadhwanifoundation_org/_layouts/15/Doc.aspx?sourcedoc=%7BD090E6D8-2847-453C-BA87-3C2D6296B42F%7D&amp;file=Expert%20Connect%201%20_%20Botminds.ai%20x%20Wadhwani%20Accelerate.docx&amp;action=default&amp;mobileredirect=true&amp;DefaultItemOpen=1" xr:uid="{062DB064-D0C0-4471-A1C5-E06689E82C83}"/>
    <hyperlink ref="X191" r:id="rId114" xr:uid="{43B6ABC2-558E-4173-96C3-B1297C927697}"/>
    <hyperlink ref="X294" r:id="rId115" display="https://wadhwanifoundation-my.sharepoint.com/:v:/g/personal/accelerate_wadhwanifoundation_org/IQBNBRCNJGTYR7rzES-8W-zRAV_JjiRyV8XmJ3Rkg5OotwY?e=2mLVdz&amp;nav=eyJyZWZlcnJhbEluZm8iOnsicmVmZXJyYWxBcHAiOiJTdHJlYW1XZWJBcHAiLCJyZWZlcnJhbFZpZXciOiJTaGFyZURpYWxvZy1MaW5rIiwicmVmZXJyYWxBcHBQbGF0Zm9ybSI6IldlYiIsInJlZmVycmFsTW9kZSI6InZpZXcifX0%3D" xr:uid="{402A4A0A-E369-4A36-9BBD-3E3F1A9D5311}"/>
    <hyperlink ref="Y294" r:id="rId116" display="https://wadhwanifoundation-my.sharepoint.com/:v:/g/personal/accelerate_wadhwanifoundation_org/IQBNBRCNJGTYR7rzES-8W-zRAV_JjiRyV8XmJ3Rkg5OotwY?e=2mLVdz&amp;nav=eyJyZWZlcnJhbEluZm8iOnsicmVmZXJyYWxBcHAiOiJTdHJlYW1XZWJBcHAiLCJyZWZlcnJhbFZpZXciOiJTaGFyZURpYWxvZy1MaW5rIiwicmVmZXJyYWxBcHBQbGF0Zm9ybSI6IldlYiIsInJlZmVycmFsTW9kZSI6InZpZXcifX0%3D" xr:uid="{37984A2D-2EB8-4A38-8690-B1B43A207BE4}"/>
    <hyperlink ref="X194" r:id="rId117" xr:uid="{E15624AE-5148-4B3B-BA52-F3B788BED3DC}"/>
    <hyperlink ref="Y194" r:id="rId118" display="https://wadhwanifoundation-my.sharepoint.com/personal/vaibhav_mattas_wadhwanifoundation_org/_layouts/15/Doc.aspx?sourcedoc=%7B464DE85B-03A0-4ABE-B4D7-8179EB5F48A6%7D&amp;file=Expert%20Connect%202%20_%20Dhobi%20G%20x%20Wadhwani%20Accelerate.docx&amp;action=default&amp;mobileredirect=true&amp;DefaultItemOpen=1" xr:uid="{923BA38F-24D8-4BC6-8C60-25950A4F63DB}"/>
    <hyperlink ref="X265" r:id="rId119" xr:uid="{65A0806C-0695-4419-A2A8-8F314771E5CA}"/>
    <hyperlink ref="X266" r:id="rId120" xr:uid="{EB669558-39C8-414A-AB0B-269C98648601}"/>
    <hyperlink ref="Y265" r:id="rId121" display="https://wadhwanifoundation-my.sharepoint.com/personal/vaibhav_mattas_wadhwanifoundation_org/_layouts/15/Doc.aspx?sourcedoc=%7BECCC3279-322F-4F62-95EB-376408D83B42%7D&amp;file=Expert%20Connect%204%20_%20Eximburg%20International%20x%20Wadhwani%20Accelerate%20(2).docx&amp;action=default&amp;mobileredirect=true&amp;DefaultItemOpen=1" xr:uid="{5567F078-B60D-4673-8F5C-100EB2A553C5}"/>
    <hyperlink ref="Y266" r:id="rId122" display="https://wadhwanifoundation-my.sharepoint.com/personal/vaibhav_mattas_wadhwanifoundation_org/_layouts/15/Doc.aspx?sourcedoc=%7BECCC3279-322F-4F62-95EB-376408D83B42%7D&amp;file=Expert%20Connect%204%20_%20Eximburg%20International%20x%20Wadhwani%20Accelerate%20(2).docx&amp;action=default&amp;mobileredirect=true&amp;DefaultItemOpen=1" xr:uid="{DB8C8149-70D4-48C3-8FEF-7C454EA4280D}"/>
    <hyperlink ref="X228" r:id="rId123" xr:uid="{2442EE6D-F635-4022-BA60-FEB62A6596B9}"/>
    <hyperlink ref="Y228" r:id="rId124" display="https://wadhwanifoundation-my.sharepoint.com/personal/vaibhav_mattas_wadhwanifoundation_org/_layouts/15/Doc.aspx?sourcedoc=%7B506C227A-E66F-4F21-8276-BC3E778CA860%7D&amp;file=Expert%20Connect%201%20_%20Exposit%20Immersive%20Solution%20x%20Wadhwani%20Accelerate.docx&amp;action=default&amp;mobileredirect=true&amp;DefaultItemOpen=1" xr:uid="{99727B7D-BD42-443E-AA22-6613D84EEDDB}"/>
    <hyperlink ref="X102" r:id="rId125" xr:uid="{62F75BEC-8108-4562-B6B7-3FF7270A49C8}"/>
    <hyperlink ref="Y102" r:id="rId126" display="https://wadhwanifoundation-my.sharepoint.com/personal/vaibhav_mattas_wadhwanifoundation_org/_layouts/15/Doc.aspx?sourcedoc=%7BEA411141-DED8-46C4-9FF4-65AEBBF4FB33%7D&amp;file=Expert%20Connect%201%20_%20Frontierz%20x%20Wadhwani%20Accelerate.docx&amp;action=default&amp;mobileredirect=true&amp;DefaultItemOpen=1" xr:uid="{92176480-1896-496C-889B-6EFB9BB1971C}"/>
    <hyperlink ref="X66" r:id="rId127" xr:uid="{3054AAC8-E6E6-4BA5-BE5E-C76F700BC13A}"/>
    <hyperlink ref="Y66" r:id="rId128" display="https://wadhwanifoundation-my.sharepoint.com/personal/vaibhav_mattas_wadhwanifoundation_org/_layouts/15/Doc.aspx?sourcedoc=%7B3CB09A81-5B66-46A0-A872-3B69827CCC78%7D&amp;file=Expert%20Connect%20_%20Green%20Pods%20x%20Wadhwani%20Accelerate.docx&amp;action=default&amp;mobileredirect=true&amp;DefaultItemOpen=1" xr:uid="{7A9CFF50-B085-48F1-BFD4-86256034A608}"/>
    <hyperlink ref="X99" r:id="rId129" xr:uid="{ABC9D942-2A97-4BB3-98C7-102CF22DAF93}"/>
    <hyperlink ref="Y99" r:id="rId130" display="https://wadhwanifoundation-my.sharepoint.com/personal/vaibhav_mattas_wadhwanifoundation_org/_layouts/15/Doc.aspx?sourcedoc=%7BDFC35B22-1044-40A6-BD39-55146A571F01%7D&amp;file=Expert%20Connect%201%20_%20Gyrodrive%20x%20Wadhwani%20Accelerate.docx&amp;action=default&amp;mobileredirect=true&amp;DefaultItemOpen=1" xr:uid="{067AF523-9E71-4439-9E58-A567566433AB}"/>
    <hyperlink ref="X248" r:id="rId131" xr:uid="{E5084AAC-2DD4-418B-824C-3F82D841642D}"/>
    <hyperlink ref="Y248" r:id="rId132" display="https://wadhwanifoundation-my.sharepoint.com/personal/vaibhav_mattas_wadhwanifoundation_org/_layouts/15/Doc.aspx?sourcedoc=%7BB9A87112-E4E6-44FA-81C0-DCD5FEEB7F90%7D&amp;file=Expert%20Connect%201%20_%20Hreedan%20Lifestyle%20x%20Wadhwani%20Accelerate.docx&amp;action=default&amp;mobileredirect=true&amp;DefaultItemOpen=1" xr:uid="{AAB9FD13-47E9-4918-AA37-423F1F67B797}"/>
    <hyperlink ref="X110" r:id="rId133" xr:uid="{F1EA28B7-EEAE-4CA2-8A63-797498A80B9B}"/>
    <hyperlink ref="Y110" r:id="rId134" display="https://wadhwanifoundation-my.sharepoint.com/personal/vaibhav_mattas_wadhwanifoundation_org/_layouts/15/Doc.aspx?sourcedoc=%7B69BCFBE6-E8A1-4CF3-8134-7D899FB1E56E%7D&amp;file=Expert%20Connect%202%20_%20LeanKloud%20x%20Wadhwani%20Accelerate.docx&amp;action=default&amp;mobileredirect=true&amp;DefaultItemOpen=1" xr:uid="{BCDC23D4-6630-44B3-8B1F-959B329202AD}"/>
    <hyperlink ref="X254" r:id="rId135" xr:uid="{C00661ED-1B91-49D0-B69D-312A35D56014}"/>
    <hyperlink ref="X255" r:id="rId136" xr:uid="{C4C04754-04B8-4A1E-B8B8-31B9BE708A6A}"/>
    <hyperlink ref="Y254" r:id="rId137" display="https://wadhwanifoundation-my.sharepoint.com/personal/vaibhav_mattas_wadhwanifoundation_org/_layouts/15/Doc.aspx?sourcedoc=%7BE520159F-A1FD-4863-A7AD-BF8EAB0A1153%7D&amp;file=Expert%20Connect%201%20_%20Leap%20Info%20x%20Wadhwani%20Accelerate.docx&amp;action=default&amp;mobileredirect=true&amp;DefaultItemOpen=1" xr:uid="{771C625B-14DC-4E6F-A693-CE405DA41DFA}"/>
    <hyperlink ref="Y255" r:id="rId138" display="https://wadhwanifoundation-my.sharepoint.com/personal/vaibhav_mattas_wadhwanifoundation_org/_layouts/15/Doc.aspx?sourcedoc=%7B51C508BF-A047-4C92-A12B-8DDB9BA6C3A0%7D&amp;file=Expert%20Connect%202%20_%20Leap%20Info%20x%20Wadhwani%20Accelerate.docx&amp;action=default&amp;mobileredirect=true&amp;DefaultItemOpen=1" xr:uid="{4EA612ED-E43C-4650-B9F7-9ABA218248BE}"/>
    <hyperlink ref="X190" r:id="rId139" xr:uid="{F0490E41-90E9-470C-838B-2ECAAEC9A7B2}"/>
    <hyperlink ref="Y190" r:id="rId140" display="https://wadhwanifoundation-my.sharepoint.com/personal/vaibhav_mattas_wadhwanifoundation_org/_layouts/15/Doc.aspx?sourcedoc=%7B77A14642-69C9-4034-B7A9-5F11BE139CA2%7D&amp;file=Expert%20Connect%201%20_%20MyHarvest%C2%A0Farms%20x%20Wadhwani%20Accelerate.docx&amp;action=default&amp;mobileredirect=true&amp;DefaultItemOpen=1" xr:uid="{076FBDD8-1E23-4361-985E-3B799AAE93D2}"/>
    <hyperlink ref="X209" r:id="rId141" xr:uid="{034214C8-79DA-4222-AB72-C08B98F19919}"/>
    <hyperlink ref="Y209" r:id="rId142" display="https://wadhwanifoundation-my.sharepoint.com/personal/vaibhav_mattas_wadhwanifoundation_org/_layouts/15/Doc.aspx?sourcedoc=%7BA2B4FFE4-B0CB-4616-BB01-36BF2FA18E33%7D&amp;file=Expert%20Connect%201%20_%20NutriRasoi%20x%20Wadhwani%20Accelerate%20(1).docx&amp;action=default&amp;mobileredirect=true&amp;DefaultItemOpen=1" xr:uid="{041684A8-17F8-461E-B50D-A88D0F49DB08}"/>
    <hyperlink ref="Y245" r:id="rId143" display="https://wadhwanifoundation-my.sharepoint.com/personal/vaibhav_mattas_wadhwanifoundation_org/_layouts/15/Doc.aspx?sourcedoc=%7B793A2BE1-5139-46E1-8FFF-1C23AC996FAF%7D&amp;file=Expert%20Connect%201%20_%20Padcare%20Labs%20x%20Wadhwani%20Accelerate.docx&amp;action=default&amp;mobileredirect=true&amp;DefaultItemOpen=1" xr:uid="{B7BB7381-9E94-4BDC-AA5C-10E5A9C68A25}"/>
    <hyperlink ref="X245" r:id="rId144" xr:uid="{1CF1D754-5612-47B4-BD84-918D394B9719}"/>
    <hyperlink ref="X230" r:id="rId145" xr:uid="{01450013-1AB1-4B47-B3C0-F1FAD83DAE48}"/>
    <hyperlink ref="Y230" r:id="rId146" display="https://wadhwanifoundation-my.sharepoint.com/personal/vaibhav_mattas_wadhwanifoundation_org/_layouts/15/Doc.aspx?sourcedoc=%7BBF764CCC-E601-4FCA-B1E6-A45FFE6CA586%7D&amp;file=Expert%20Connect%201%20_%20Qarmatek%20x%20Wadhwani%20Accelerate.docx&amp;action=default&amp;mobileredirect=true&amp;DefaultItemOpen=1" xr:uid="{C7683FB7-5757-4CF8-A83E-B8BFA2B0BDF0}"/>
    <hyperlink ref="X232" r:id="rId147" xr:uid="{683479E5-38EA-414B-A78D-7C963962CA11}"/>
    <hyperlink ref="Y232" r:id="rId148" display="https://wadhwanifoundation-my.sharepoint.com/personal/vaibhav_mattas_wadhwanifoundation_org/_layouts/15/Doc.aspx?sourcedoc=%7BF6C57712-8E13-40CF-82FA-AF421142A75E%7D&amp;file=Expert%20Connect%202%20_%20Qarmatek%20x%20Wadhwani%20Accelerate.docx&amp;action=default&amp;mobileredirect=true&amp;DefaultItemOpen=1" xr:uid="{44F8EACF-546F-40A2-B560-A526BB1EA16E}"/>
    <hyperlink ref="X233" r:id="rId149" xr:uid="{D1DF6E5C-8133-4971-87B9-B86D7F930C58}"/>
    <hyperlink ref="Y233" r:id="rId150" display="https://wadhwanifoundation-my.sharepoint.com/personal/vaibhav_mattas_wadhwanifoundation_org/_layouts/15/Doc.aspx?sourcedoc=%7BE48FCC17-0BE3-4191-9D14-952F3CC18861%7D&amp;file=Expert%20Connect%204%20_%20Qarmatek%20x%20Wadhwani%20Accelerate%20(1).docx&amp;action=default&amp;mobileredirect=true&amp;DefaultItemOpen=1" xr:uid="{78584B5F-19DB-4DB0-AFB5-CCED1FC26173}"/>
    <hyperlink ref="X235" r:id="rId151" xr:uid="{225B6E25-7E44-4740-8862-66BCAAED92B6}"/>
    <hyperlink ref="Y235" r:id="rId152" display="https://wadhwanifoundation-my.sharepoint.com/personal/vaibhav_mattas_wadhwanifoundation_org/_layouts/15/Doc.aspx?sourcedoc=%7BA1C74437-E250-4932-8F0C-07DF7799C82F%7D&amp;file=Expert%20Connect%203%20_%20Qarmatek%20x%20Wadhwani%20Accelerate.docx&amp;action=default&amp;mobileredirect=true&amp;DefaultItemOpen=1" xr:uid="{9F7283ED-EAFC-470C-A2CC-864E6E2CA0C1}"/>
    <hyperlink ref="X123" r:id="rId153" xr:uid="{3B054D7A-9B1A-4834-9A45-16155147F8A3}"/>
    <hyperlink ref="Y123" r:id="rId154" display="https://wadhwanifoundation-my.sharepoint.com/personal/vaibhav_mattas_wadhwanifoundation_org/_layouts/15/Doc.aspx?sourcedoc=%7BEAC985A3-3EB2-4DE1-9445-2F5FCB700CF4%7D&amp;file=Expert%20Connect%203%20_%20Raw%20Pharma%20x%20Wadhwani%20Accelerate.docx&amp;action=default&amp;mobileredirect=true&amp;DefaultItemOpen=1" xr:uid="{742857FD-F414-4911-9821-96D78A455DC8}"/>
    <hyperlink ref="X166" r:id="rId155" xr:uid="{E4670820-8FFD-4B05-A34D-7E6219D2AB65}"/>
    <hyperlink ref="Y166" r:id="rId156" display="https://wadhwanifoundation-my.sharepoint.com/personal/vaibhav_mattas_wadhwanifoundation_org/_layouts/15/Doc.aspx?sourcedoc=%7B8F3985D4-D876-4198-BA41-DB54902C7BD8%7D&amp;file=Expert%20Connect%202%20_%20REAGRI%20x%20Wadhwani%20Accelerate.docx&amp;action=default&amp;mobileredirect=true&amp;DefaultItemOpen=1" xr:uid="{5B643E10-C458-463D-910A-3DC387401A77}"/>
    <hyperlink ref="X173" r:id="rId157" xr:uid="{CD3C9514-8D12-470B-92EB-3DCA424797E7}"/>
    <hyperlink ref="Y173" r:id="rId158" display="https://wadhwanifoundation-my.sharepoint.com/personal/vaibhav_mattas_wadhwanifoundation_org/_layouts/15/Doc.aspx?sourcedoc=%7BB4ABD0DA-4096-4E54-B0F5-D29C4C6B11CB%7D&amp;file=Expert%20Connect%201%20_%20Rupiya%20Finnovations%20x%20Wadhwani%20Accelerate.docx&amp;action=default&amp;mobileredirect=true&amp;DefaultItemOpen=1" xr:uid="{3D69EB56-1395-49F0-8DBB-E4B50CB50136}"/>
    <hyperlink ref="X211" r:id="rId159" xr:uid="{3DC45588-1230-457F-8D20-72AFB6B2761E}"/>
    <hyperlink ref="Y211" r:id="rId160" display="https://wadhwanifoundation-my.sharepoint.com/personal/vaibhav_mattas_wadhwanifoundation_org/_layouts/15/Doc.aspx?sourcedoc=%7BDC63F2CE-F96F-437E-9A35-18B61FAEFD13%7D&amp;file=Expert%20Connect%201%20_%20Sarumam%20Pharmacy%20x%20Wadhwani%20Accelerate.docx&amp;action=default&amp;mobileredirect=true&amp;DefaultItemOpen=1" xr:uid="{E7DEB59E-EC3A-44A2-9B8D-44F9F84F6B92}"/>
    <hyperlink ref="X192" r:id="rId161" xr:uid="{30482D50-AFCA-4C77-BA19-96BC6436C48B}"/>
    <hyperlink ref="Y192" r:id="rId162" display="https://wadhwanifoundation-my.sharepoint.com/personal/vaibhav_mattas_wadhwanifoundation_org/_layouts/15/Doc.aspx?sourcedoc=%7B3F2D156A-1EF4-435B-A249-B954083699EA%7D&amp;file=Expert%20Connect%201%20_%20Alpino%20x%20Wadhwani%20Accelerate.docx&amp;action=default&amp;mobileredirect=true&amp;DefaultItemOpen=1" xr:uid="{2426AF77-5133-452B-8775-12B0198B57D4}"/>
    <hyperlink ref="X121" r:id="rId163" xr:uid="{1A8FED0E-3B17-4AE7-81CC-550421B0149E}"/>
    <hyperlink ref="Y121" r:id="rId164" display="https://wadhwanifoundation-my.sharepoint.com/personal/vaibhav_mattas_wadhwanifoundation_org/_layouts/15/Doc.aspx?sourcedoc=%7B3A5A261A-8162-4DF1-86A5-61CBD6B297B0%7D&amp;file=Expert%20Connect%202%20_%20Raw%20Pharma%20x%20Wadhwani%20Accelerate.docx&amp;action=default&amp;mobileredirect=true&amp;DefaultItemOpen=1" xr:uid="{D9558EC5-4172-409F-B9B4-73F6B0BF7318}"/>
    <hyperlink ref="X167" r:id="rId165" xr:uid="{FE2AE72D-7456-4706-97BB-6B7CE6F56C22}"/>
    <hyperlink ref="Y167" r:id="rId166" display="https://wadhwanifoundation-my.sharepoint.com/personal/vaibhav_mattas_wadhwanifoundation_org/_layouts/15/Doc.aspx?sourcedoc=%7BB5AC8EEA-41C3-411F-8232-02A913E8289B%7D&amp;file=Expert%20Connect%201%20_%20REAGRI%20x%20Wadhwani%20Accelerate.docx&amp;action=default&amp;mobileredirect=true&amp;DefaultItemOpen=1" xr:uid="{FA3FA4FB-E088-4D7F-8A3A-6915BB1E4B9C}"/>
    <hyperlink ref="X182" r:id="rId167" xr:uid="{31A399B8-E622-4E2B-80D5-B6B1C546D61D}"/>
    <hyperlink ref="Y182" r:id="rId168" display="https://wadhwanifoundation-my.sharepoint.com/personal/vaibhav_mattas_wadhwanifoundation_org/_layouts/15/Doc.aspx?sourcedoc=%7B9B813AB0-A1D2-40F8-8753-49F285F365BC%7D&amp;file=Expert%20Connect%201%20_%20Servercake%20x%20Wadhwani%20Accelerate.docx&amp;action=default&amp;mobileredirect=true&amp;DefaultItemOpen=1" xr:uid="{79DE390C-C2C2-40EA-994E-FF7752E77CDD}"/>
    <hyperlink ref="X178" r:id="rId169" xr:uid="{0F6AC65E-7807-4406-9431-4F95CD190487}"/>
    <hyperlink ref="Y178" r:id="rId170" display="https://wadhwanifoundation-my.sharepoint.com/personal/vaibhav_mattas_wadhwanifoundation_org/_layouts/15/Doc.aspx?sourcedoc=%7BD87A12DB-83E1-433D-9C42-CB35B5E10116%7D&amp;file=Expert%20Connect%203%20_%20Stembotix%20x%20Wadhwani%20Accelerate%20(1).docx&amp;action=default&amp;mobileredirect=true&amp;DefaultItemOpen=1" xr:uid="{82AD0601-3AB3-4F5D-AFAE-2AE39A4D66B3}"/>
    <hyperlink ref="X221" r:id="rId171" xr:uid="{47B72897-9B72-46AD-BF9B-8F7CA1356736}"/>
    <hyperlink ref="Y221" r:id="rId172" display="https://wadhwanifoundation-my.sharepoint.com/personal/vaibhav_mattas_wadhwanifoundation_org/_layouts/15/Doc.aspx?sourcedoc=%7B06DC80ED-ED44-4F08-9D50-427152A30A0A%7D&amp;file=Expert%20Connect%201%20_%20Terrablu%20x%20Wadhwani%20Accelerate.docx&amp;action=default&amp;mobileredirect=true&amp;DefaultItemOpen=1" xr:uid="{5946FF0A-AEE9-4FF4-8F1E-E38FC10CB644}"/>
    <hyperlink ref="X257" r:id="rId173" display="https://wadhwanifoundation-my.sharepoint.com/:v:/g/personal/accelerate_wadhwanifoundation_org/IQDlGbc8SO1ESInkIFZAwv1rAcv1C--JzUuqrpbPC3qW99E?e=xTXod2&amp;nav=eyJyZWZlcnJhbEluZm8iOnsicmVmZXJyYWxBcHAiOiJTdHJlYW1XZWJBcHAiLCJyZWZlcnJhbFZpZXciOiJTaGFyZURpYWxvZy1MaW5rIiwicmVmZXJyYWxBcHBQbGF0Zm9ybSI6IldlYiIsInJlZmVycmFsTW9kZSI6InZpZXcifX0%3D" xr:uid="{0A95565A-D2E4-48E9-BBC8-A1424CD2B91F}"/>
    <hyperlink ref="Y257" r:id="rId174" display="https://wadhwanifoundation-my.sharepoint.com/personal/vaibhav_mattas_wadhwanifoundation_org/_layouts/15/Doc.aspx?sourcedoc=%7BDE756B6E-801C-4015-9596-594C05599706%7D&amp;file=Expert%20Connect%201%20_%20Tikitoro%20x%20Wadhwani%20Accelerate%20(1).docx&amp;action=default&amp;mobileredirect=true&amp;DefaultItemOpen=1" xr:uid="{D48B7B06-123B-4509-AC33-F2DD61194BEB}"/>
    <hyperlink ref="Y258" r:id="rId175" display="https://wadhwanifoundation-my.sharepoint.com/personal/vaibhav_mattas_wadhwanifoundation_org/_layouts/15/Doc.aspx?sourcedoc=%7B478FC1BF-DC0A-46EE-B68B-22ED2BAE5F8D%7D&amp;file=Expert%20Connect%202%20_%20Tikitoro%20x%20Wadhwani%20Accelerate%20(1).docx&amp;action=default&amp;mobileredirect=true&amp;DefaultItemOpen=1" xr:uid="{B5819CA3-86E1-4D1A-850B-77155534B07C}"/>
    <hyperlink ref="Y259" r:id="rId176" display="https://wadhwanifoundation-my.sharepoint.com/personal/vaibhav_mattas_wadhwanifoundation_org/_layouts/15/Doc.aspx?sourcedoc=%7B68A2DC3B-0E0A-4E5E-B0ED-A758D5A1BD3E%7D&amp;file=Expert%20Connect%203%20_%20Tikitoro%20x%20Wadhwani%20Accelerate%20(1).docx&amp;action=default&amp;mobileredirect=true&amp;DefaultItemOpen=1" xr:uid="{0C09F344-E2BE-4C34-A73A-C3C07990567A}"/>
    <hyperlink ref="Y298" r:id="rId177" display="https://wadhwanifoundation-my.sharepoint.com/personal/vaibhav_mattas_wadhwanifoundation_org/_layouts/15/Doc.aspx?sourcedoc=%7B7FACB423-C9EE-4C28-A77B-D738FED4347D%7D&amp;file=Expert%20Connect%204%20_%20Tikitoro%20x%20Wadhwani%20Accelerate%20(1).docx&amp;action=default&amp;mobileredirect=true&amp;DefaultItemOpen=1" xr:uid="{69414E9F-461F-4848-ADEB-E8C2899A060A}"/>
    <hyperlink ref="X258" r:id="rId178" xr:uid="{C5D9B42B-1297-4998-AA78-41E2AEC0FF80}"/>
    <hyperlink ref="X259" r:id="rId179" xr:uid="{2E549307-4141-44C5-AB49-4014F9328BCA}"/>
    <hyperlink ref="X298" r:id="rId180" xr:uid="{AE10922D-BBBD-4A05-A92C-0CAAC1D98295}"/>
    <hyperlink ref="X200" r:id="rId181" xr:uid="{0E75724A-768E-4217-B7B0-DD022AEDB30B}"/>
    <hyperlink ref="Y200" r:id="rId182" display="https://wadhwanifoundation-my.sharepoint.com/personal/vaibhav_mattas_wadhwanifoundation_org/_layouts/15/Doc.aspx?sourcedoc=%7B55B6A256-6C5E-4380-8E56-3531CA56B8E5%7D&amp;file=Expert%20Connect%20_%20Uravu%20Labs%20x%20Wadhwani%20Accelerate.docx&amp;action=default&amp;mobileredirect=true&amp;DefaultItemOpen=1" xr:uid="{3FB8FBDA-DD92-4519-B443-AB7B53E0DC27}"/>
    <hyperlink ref="X238" r:id="rId183" display="https://wadhwanifoundation-my.sharepoint.com/:v:/g/personal/accelerate_wadhwanifoundation_org/IQCap8nC28gUSYIugmV5soKLAaC9PZZ24wFZU8Cs_W9NqNA?e=L3dM3W&amp;nav=eyJyZWZlcnJhbEluZm8iOnsicmVmZXJyYWxBcHAiOiJTdHJlYW1XZWJBcHAiLCJyZWZlcnJhbFZpZXciOiJTaGFyZURpYWxvZy1MaW5rIiwicmVmZXJyYWxBcHBQbGF0Zm9ybSI6IldlYiIsInJlZmVycmFsTW9kZSI6InZpZXcifX0%3D" xr:uid="{CB9D94A0-A0B7-4158-ABF8-FBB7586C85C8}"/>
    <hyperlink ref="X241" r:id="rId184" xr:uid="{742260D5-DB07-404B-8C2B-BED3AD2F73A5}"/>
    <hyperlink ref="Y238" r:id="rId185" display="https://wadhwanifoundation-my.sharepoint.com/personal/vaibhav_mattas_wadhwanifoundation_org/_layouts/15/Doc.aspx?sourcedoc=%7BE0F85605-7132-41FB-A586-15472321A6FB%7D&amp;file=Expert%20Connect%201%20_%20Vastra%20App%20x%20Wadhwani%20Accelerate.docx&amp;action=default&amp;mobileredirect=true&amp;DefaultItemOpen=1" xr:uid="{8C480D54-032E-4502-97D0-85F3AA411E27}"/>
    <hyperlink ref="Y241" r:id="rId186" display="https://wadhwanifoundation-my.sharepoint.com/personal/vaibhav_mattas_wadhwanifoundation_org/_layouts/15/Doc.aspx?sourcedoc=%7B1137ED2F-4F5E-42F1-A3F7-0DFB2058E41D%7D&amp;file=Expert%20Connect%202%20_%20Vastra%20App%20x%20Wadhwani%20Accelerate.docx&amp;action=default&amp;mobileredirect=true&amp;DefaultItemOpen=1" xr:uid="{C9E2641B-9A5F-4B3A-AAD8-2B9C3D19AC5F}"/>
    <hyperlink ref="X55" r:id="rId187" xr:uid="{D414719E-7596-44B5-898E-C931E6C676EE}"/>
    <hyperlink ref="X59" r:id="rId188" xr:uid="{21F1C34C-BF17-4A01-9F53-D4A2B3C2177A}"/>
    <hyperlink ref="X60" r:id="rId189" xr:uid="{5465FA20-105C-4979-8ECE-8F77EA91A726}"/>
    <hyperlink ref="Y55" r:id="rId190" display="https://wadhwanifoundation-my.sharepoint.com/personal/vaibhav_mattas_wadhwanifoundation_org/_layouts/15/Doc.aspx?sourcedoc=%7B227132A5-D4B9-497B-8730-C28423B9A0FC%7D&amp;file=Expert%20Connect%201%20_%20Vaultastic%20x%20Wadhwani%20Accelerate.docx&amp;action=default&amp;mobileredirect=true&amp;DefaultItemOpen=1" xr:uid="{55E733CF-3790-44A0-9D70-ECBBAD795F8F}"/>
    <hyperlink ref="Y59" r:id="rId191" display="https://wadhwanifoundation-my.sharepoint.com/personal/vaibhav_mattas_wadhwanifoundation_org/_layouts/15/Doc.aspx?sourcedoc=%7B275C080B-6C9B-4711-8130-6C4FD072F70C%7D&amp;file=Expert%20Connect%202%20_%20Vaultastic%20x%20Wadhwani%20Accelerate.docx&amp;action=default&amp;mobileredirect=true&amp;DefaultItemOpen=1" xr:uid="{00EACA9E-8F24-43BA-A215-B1D4AA8DEC3E}"/>
    <hyperlink ref="Y60" r:id="rId192" display="https://wadhwanifoundation-my.sharepoint.com/personal/vaibhav_mattas_wadhwanifoundation_org/_layouts/15/Doc.aspx?sourcedoc=%7B7767E729-A0AA-4ED9-80F0-F956E2752B2E%7D&amp;file=Expert%20Connect%203%20_%20Vaultastic%20x%20Wadhwani%20Accelerate.docx&amp;action=default&amp;mobileredirect=true&amp;DefaultItemOpen=1" xr:uid="{EE2104E1-3062-41E1-BE87-360456D25EB9}"/>
    <hyperlink ref="X112" r:id="rId193" xr:uid="{70A4884D-5C75-45D8-97AD-4AE1F931BF57}"/>
    <hyperlink ref="Y112" r:id="rId194" display="https://wadhwanifoundation-my.sharepoint.com/personal/vaibhav_mattas_wadhwanifoundation_org/_layouts/15/Doc.aspx?sourcedoc=%7B855DF62C-5226-4C3E-94D7-858B557126ED%7D&amp;file=Expert%20Connect%201%20_%20Velaan%20Mart%20x%20Wadhwani%20Accelerate.docx&amp;action=default&amp;mobileredirect=true&amp;DefaultItemOpen=1" xr:uid="{F5610EA7-F376-4BD9-8778-50D29A6DE3C3}"/>
    <hyperlink ref="X175" r:id="rId195" xr:uid="{68EC8B87-8178-4BC7-ABFC-BED71940E048}"/>
    <hyperlink ref="X176" r:id="rId196" xr:uid="{3EB53319-EAC7-429E-B3E0-35DD5BFA8810}"/>
    <hyperlink ref="Y175" r:id="rId197" display="https://wadhwanifoundation-my.sharepoint.com/personal/vaibhav_mattas_wadhwanifoundation_org/_layouts/15/Doc.aspx?sourcedoc=%7B74A8B764-374D-44A6-85A1-6FE1F44C0AEE%7D&amp;file=Expert%20Connect%201%20_%20Stembotix%20x%20Wadhwani%20Accelerate.docx&amp;action=default&amp;mobileredirect=true&amp;DefaultItemOpen=1" xr:uid="{DF68AD93-8DCB-4BCC-AD79-C287C776A943}"/>
    <hyperlink ref="Y176" r:id="rId198" display="https://wadhwanifoundation-my.sharepoint.com/personal/vaibhav_mattas_wadhwanifoundation_org/_layouts/15/Doc.aspx?sourcedoc=%7B12F654CD-BB18-466D-9989-8504E5CA3B89%7D&amp;file=Expert%20Connect%202%20_%20StemBotix%20x%20Wadhwani%20Accelerate.docx&amp;action=default&amp;mobileredirect=true&amp;DefaultItemOpen=1" xr:uid="{1EAA39A2-0EC0-4532-AA1F-F6B65D660334}"/>
    <hyperlink ref="X157" r:id="rId199" display="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 xr:uid="{2513D887-12F5-48A7-B368-7968DDABBF2A}"/>
    <hyperlink ref="Y157" r:id="rId200" xr:uid="{CC9BFAE5-7727-44CA-AC70-7DCE851F8479}"/>
    <hyperlink ref="X132" r:id="rId201" display="https://wadhwanifoundation-my.sharepoint.com/:v:/g/personal/accelerate_wadhwanifoundation_org/IQB-68jwMZVMRYSdQboo4QBGAb9kFita3CcTjTuA87lwn4w?e=Nh3YNw&amp;nav=eyJyZWZlcnJhbEluZm8iOnsicmVmZXJyYWxBcHAiOiJTdHJlYW1XZWJBcHAiLCJyZWZlcnJhbFZpZXciOiJTaGFyZURpYWxvZy1MaW5rIiwicmVmZXJyYWxBcHBQbGF0Zm9ybSI6IldlYiIsInJlZmVycmFsTW9kZSI6InZpZXcifX0%3D" xr:uid="{34BEE72A-8B87-4EA6-9B91-F66B1003C569}"/>
    <hyperlink ref="Y132" r:id="rId202" xr:uid="{EB445170-CC39-4FEC-90F2-CD6CB5931FD6}"/>
    <hyperlink ref="T156" r:id="rId203" display="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 xr:uid="{A66085FE-0E67-49E8-84D0-E059780DA44A}"/>
    <hyperlink ref="T157" r:id="rId204" display="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 xr:uid="{8CA87662-692E-4CB5-AB08-F04CC247F6CA}"/>
    <hyperlink ref="T158" r:id="rId205" display="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 xr:uid="{D1386146-FD31-49E8-8213-27AE4AED9B55}"/>
    <hyperlink ref="T132" r:id="rId206" xr:uid="{44A13D92-8F52-434A-9E48-57834B14F697}"/>
    <hyperlink ref="T133" r:id="rId207" xr:uid="{315F40C1-18D9-4192-85CC-74F306C2EB8F}"/>
    <hyperlink ref="X198" r:id="rId208" display="https://wadhwanifoundation-my.sharepoint.com/:v:/g/personal/accelerate_wadhwanifoundation_org/IQAwiuI28kCRT4HVgckZ995tAaHUhtVcqnUqekrwI3Wd08A?nav=eyJyZWZlcnJhbEluZm8iOnsicmVmZXJyYWxBcHAiOiJPbmVEcml2ZUZvckJ1c2luZXNzIiwicmVmZXJyYWxBcHBQbGF0Zm9ybSI6IldlYiIsInJlZmVycmFsTW9kZSI6InZpZXciLCJyZWZlcnJhbFZpZXciOiJNeUZpbGVzTGlua0NvcHkifX0&amp;e=w9HB1D" xr:uid="{D02F1EA3-4746-459C-B35A-AE122F75C529}"/>
    <hyperlink ref="Y198" r:id="rId209" xr:uid="{DCEFF2CB-4464-40A4-BDE1-67D880AB1A06}"/>
    <hyperlink ref="X25" r:id="rId210" xr:uid="{117B1203-59C1-4634-A2EF-02665E505A59}"/>
    <hyperlink ref="X109" r:id="rId211" xr:uid="{66669371-1F3B-46DE-8048-91714D99FF49}"/>
    <hyperlink ref="X43" r:id="rId212" xr:uid="{66BCE4B5-2EC4-4616-BDC0-21B1BAEE0129}"/>
    <hyperlink ref="X88" r:id="rId213" xr:uid="{FDC422C1-A03C-4276-8E67-9895584D1926}"/>
    <hyperlink ref="X23" r:id="rId214" xr:uid="{1DB982F9-2FF0-4EC0-94C2-676ABF89FCF1}"/>
    <hyperlink ref="X180" r:id="rId215" xr:uid="{18CD0E2D-D43E-427A-AEF1-489D319C27C9}"/>
    <hyperlink ref="Y180" r:id="rId216" xr:uid="{7A0E557A-C4A1-485E-A5B3-19F5DCBFE25E}"/>
    <hyperlink ref="X199" r:id="rId217" xr:uid="{C9A5C081-568D-4CDB-9A7A-2B6728AE749F}"/>
    <hyperlink ref="Y199" r:id="rId218" xr:uid="{0B91D0CC-B694-4841-A1D2-1060D9B0FD56}"/>
    <hyperlink ref="X9" r:id="rId219" xr:uid="{9786F1EB-0F22-4D2B-8F8B-8D1C268ADEA0}"/>
    <hyperlink ref="Y9" r:id="rId220" xr:uid="{75197BB4-9B76-4FD0-9D87-67F76626F21C}"/>
    <hyperlink ref="X49" r:id="rId221" xr:uid="{F36F498B-E70D-48AE-B677-91F07A6DFBA0}"/>
    <hyperlink ref="Y49" r:id="rId222" xr:uid="{C8885587-5C2E-46D9-AE2A-0107546F891C}"/>
    <hyperlink ref="X106" r:id="rId223" xr:uid="{623E074F-E60B-4303-B613-133C17F5E020}"/>
    <hyperlink ref="Y106" r:id="rId224" xr:uid="{B3936F07-14D9-46AB-800F-E9D27B02B605}"/>
    <hyperlink ref="X19" r:id="rId225" xr:uid="{14148F80-7834-4B23-81AE-49B9CA0AC258}"/>
    <hyperlink ref="Y19" r:id="rId226" xr:uid="{FAAD985B-F691-46BF-AA14-16FF0D1A6695}"/>
    <hyperlink ref="X39" r:id="rId227" xr:uid="{14BB3A71-2658-4881-B299-2CA22021F958}"/>
    <hyperlink ref="Y39" r:id="rId228" xr:uid="{B8EA5AC4-C567-47C1-9D7B-8CB966B1E98B}"/>
    <hyperlink ref="X210" r:id="rId229" xr:uid="{6F7041BC-01B9-41CE-8CFA-1E5F1E1B27FA}"/>
    <hyperlink ref="X70" r:id="rId230" xr:uid="{5022C1DB-D108-41F5-88C7-E909FBBFB887}"/>
    <hyperlink ref="Y70" r:id="rId231" xr:uid="{B8057B3F-63D2-4363-A1E2-62E8E5D19526}"/>
    <hyperlink ref="X120" r:id="rId232" xr:uid="{4742C1F3-83A7-4F82-A41E-2E73AFF6BDEF}"/>
    <hyperlink ref="Y120" r:id="rId233" xr:uid="{87D0C4A7-BCEF-4503-BF55-E5358F151B00}"/>
    <hyperlink ref="X85" r:id="rId234" xr:uid="{59F53BE7-A643-4CE3-9C86-11E4F3BA705B}"/>
    <hyperlink ref="Y85" r:id="rId235" xr:uid="{D76060C4-5A70-4DE8-9C3B-13D95F3BC4D0}"/>
    <hyperlink ref="Y81" r:id="rId236" xr:uid="{1DFA9BD1-1928-4EC0-9A55-64948954B4A1}"/>
    <hyperlink ref="X81" r:id="rId237" xr:uid="{C699B908-5C6C-4E71-BBEB-BC8941DE0BEA}"/>
    <hyperlink ref="X82" r:id="rId238" display="https://wadhwanifoundation-my.sharepoint.com/:v:/g/personal/accelerate_wadhwanifoundation_org/IQDLSPa2N6iORIrkKxJeTWzeAUmqml6fP-q7EFfB7HKnl8E?e=kf981A&amp;nav=eyJyZWZlcnJhbEluZm8iOnsicmVmZXJyYWxBcHAiOiJTdHJlYW1XZWJBcHAiLCJyZWZlcnJhbFZpZXciOiJTaGFyZURpYWxvZy1MaW5rIiwicmVmZXJyYWxBcHBQbGF0Zm9ybSI6IldlYiIsInJlZmVycmFsTW9kZSI6InZpZXcifX0%3D" xr:uid="{EE2A828A-1763-4C71-A8DE-8169226A9B38}"/>
    <hyperlink ref="Y82" r:id="rId239" xr:uid="{FF5C7520-2C6C-43A1-BA2F-3BE963D0E8FA}"/>
    <hyperlink ref="X116" r:id="rId240" display="https://wadhwanifoundation-my.sharepoint.com/:v:/g/personal/accelerate_wadhwanifoundation_org/IQDI5OTQIMrQSbc_XuTb3rxWAUePOrLneuEftZQ7tZUrTEs?e=TR3JK7&amp;nav=eyJyZWZlcnJhbEluZm8iOnsicmVmZXJyYWxBcHAiOiJTdHJlYW1XZWJBcHAiLCJyZWZlcnJhbFZpZXciOiJTaGFyZURpYWxvZy1MaW5rIiwicmVmZXJyYWxBcHBQbGF0Zm9ybSI6IldlYiIsInJlZmVycmFsTW9kZSI6InZpZXcifX0%3D" xr:uid="{C541259B-FC48-41B7-848B-743CB24D7061}"/>
    <hyperlink ref="Y116" r:id="rId241" xr:uid="{5E787BF9-47B8-4076-AA5E-5C58CFD3FF3A}"/>
    <hyperlink ref="Y3" r:id="rId242" xr:uid="{5F3955BD-957B-4169-B9F3-35B07572A66B}"/>
    <hyperlink ref="Y23" r:id="rId243" xr:uid="{D7F1CBCE-975D-4FD3-A043-BFE84CEE5360}"/>
    <hyperlink ref="Y25" r:id="rId244" xr:uid="{212F9B7B-C241-433D-9B7C-D994F9C1DA0B}"/>
    <hyperlink ref="Y43" r:id="rId245" xr:uid="{31B82663-959F-422C-8FED-80583406F087}"/>
    <hyperlink ref="Y88" r:id="rId246" xr:uid="{4A6AC8C8-7398-4DF1-8ED5-99AFCAA35F21}"/>
    <hyperlink ref="Y109" r:id="rId247" xr:uid="{C962B3B8-76B5-4487-B9A4-1BD822E870AB}"/>
    <hyperlink ref="Y210" r:id="rId248" xr:uid="{2B37FBA9-76E0-49D7-8E24-253287D280A5}"/>
    <hyperlink ref="T91" r:id="rId249" xr:uid="{0E4F1E09-34FC-4129-91D7-5A4BFAA7909C}"/>
    <hyperlink ref="T75" r:id="rId250" xr:uid="{6F94CA9D-BA62-409D-A665-D7FD6682A39B}"/>
    <hyperlink ref="T236" r:id="rId251" display="mailto:hunny@mytorchit.com" xr:uid="{72560C77-262C-439D-BD29-0C8A06C6A4EB}"/>
    <hyperlink ref="T172" r:id="rId252" display="mailto:dhaval@rupiya.app" xr:uid="{DC54214F-7CC8-4A27-848D-6C80EDEE99E8}"/>
    <hyperlink ref="T207" r:id="rId253" display="mailto:nutrirasoi@outlook.com" xr:uid="{41E81E73-4E9A-44E8-9BB1-A5AA69DC6158}"/>
    <hyperlink ref="T210" r:id="rId254" display="mailto:nutrirasoi@outlook.com" xr:uid="{CDD81238-D6F7-4668-8EC1-913BDCB03D8C}"/>
    <hyperlink ref="T162" r:id="rId255" display="mailto:ankita@micob.in" xr:uid="{CF6FFAFE-B039-4EEB-97EC-BAB1EBCD2D92}"/>
    <hyperlink ref="T267" r:id="rId256" display="mailto:Apurva@innova-india.com" xr:uid="{E2467FDD-AA6A-45E7-9C06-EC0368A6932F}"/>
    <hyperlink ref="X300" r:id="rId257" display="https://wadhwanifoundation-my.sharepoint.com/:v:/g/personal/accelerate_wadhwanifoundation_org/IQCculps4yvXRqwlR3eDVZHWASmMiyyWfW6ON8aIj5eQi5g?e=cktzPN&amp;nav=eyJyZWZlcnJhbEluZm8iOnsicmVmZXJyYWxBcHAiOiJTdHJlYW1XZWJBcHAiLCJyZWZlcnJhbFZpZXciOiJTaGFyZURpYWxvZy1MaW5rIiwicmVmZXJyYWxBcHBQbGF0Zm9ybSI6IldlYiIsInJlZmVycmFsTW9kZSI6InZpZXcifX0%3D" xr:uid="{51A0CE2F-EBAE-4C60-A1F1-225B86D35EB1}"/>
  </hyperlinks>
  <pageMargins left="0.7" right="0.7" top="0.75" bottom="0.75" header="0.3" footer="0.3"/>
  <legacyDrawing r:id="rId258"/>
  <tableParts count="1">
    <tablePart r:id="rId259"/>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5FD6-7489-46C1-98CD-AB0078F49EA8}">
  <dimension ref="A1:AB104"/>
  <sheetViews>
    <sheetView zoomScale="90" zoomScaleNormal="90" zoomScaleSheetLayoutView="50" workbookViewId="0">
      <selection activeCell="A16" sqref="A16"/>
    </sheetView>
  </sheetViews>
  <sheetFormatPr defaultColWidth="9.109375" defaultRowHeight="16.95" customHeight="1" x14ac:dyDescent="0.3"/>
  <cols>
    <col min="1" max="1" width="21.6640625" style="90" customWidth="1"/>
    <col min="2" max="2" width="15.109375" style="90" bestFit="1" customWidth="1"/>
    <col min="3" max="3" width="23.5546875" style="90" customWidth="1"/>
    <col min="4" max="4" width="23.33203125" style="90" customWidth="1"/>
    <col min="5" max="5" width="16.44140625" style="90" bestFit="1" customWidth="1"/>
    <col min="6" max="6" width="17" style="90" customWidth="1"/>
    <col min="7" max="7" width="13.44140625" style="90" customWidth="1"/>
    <col min="8" max="8" width="13.33203125" style="90" customWidth="1"/>
    <col min="9" max="9" width="17" style="90" customWidth="1"/>
    <col min="10" max="10" width="11.6640625" style="90" customWidth="1"/>
    <col min="11" max="11" width="24.6640625" style="90" customWidth="1"/>
    <col min="12" max="12" width="29.6640625" style="106" customWidth="1"/>
    <col min="13" max="13" width="22.109375" style="90" customWidth="1"/>
    <col min="14" max="14" width="28.33203125" style="189" customWidth="1"/>
    <col min="15" max="15" width="28.33203125" style="147" customWidth="1"/>
    <col min="16" max="16" width="43.109375" style="106" customWidth="1"/>
    <col min="17" max="17" width="30.88671875" style="90" customWidth="1"/>
    <col min="18" max="18" width="30.44140625" style="90" customWidth="1"/>
    <col min="19" max="19" width="23.6640625" style="90" customWidth="1"/>
    <col min="20" max="20" width="57.109375" style="90" customWidth="1"/>
    <col min="21" max="21" width="50.44140625" style="138" customWidth="1"/>
    <col min="22" max="22" width="25.6640625" style="107" customWidth="1"/>
    <col min="23" max="23" width="20.5546875" style="107" bestFit="1" customWidth="1"/>
    <col min="24" max="24" width="25.6640625" style="107" customWidth="1"/>
    <col min="25" max="25" width="12.6640625" bestFit="1" customWidth="1"/>
    <col min="26" max="26" width="13" style="90" bestFit="1" customWidth="1"/>
    <col min="27" max="27" width="19.6640625" style="90" customWidth="1"/>
    <col min="28" max="28" width="19.88671875" style="90" customWidth="1"/>
    <col min="29" max="16384" width="9.109375" style="90"/>
  </cols>
  <sheetData>
    <row r="1" spans="1:28" s="82" customFormat="1" ht="23.4" customHeight="1" x14ac:dyDescent="0.3">
      <c r="A1" s="79" t="s">
        <v>509</v>
      </c>
      <c r="B1" s="79" t="s">
        <v>510</v>
      </c>
      <c r="C1" s="79" t="s">
        <v>511</v>
      </c>
      <c r="D1" s="79" t="s">
        <v>512</v>
      </c>
      <c r="E1" s="79" t="s">
        <v>513</v>
      </c>
      <c r="F1" s="79" t="s">
        <v>514</v>
      </c>
      <c r="G1" s="79" t="s">
        <v>515</v>
      </c>
      <c r="H1" s="79" t="s">
        <v>516</v>
      </c>
      <c r="I1" s="139" t="s">
        <v>517</v>
      </c>
      <c r="J1" s="139" t="s">
        <v>518</v>
      </c>
      <c r="K1" s="79" t="s">
        <v>519</v>
      </c>
      <c r="L1" s="80" t="s">
        <v>141</v>
      </c>
      <c r="M1" s="79" t="s">
        <v>520</v>
      </c>
      <c r="N1" s="188" t="s">
        <v>521</v>
      </c>
      <c r="O1" s="146" t="s">
        <v>1</v>
      </c>
      <c r="P1" s="80" t="s">
        <v>522</v>
      </c>
      <c r="Q1" s="79" t="s">
        <v>523</v>
      </c>
      <c r="R1" s="79" t="s">
        <v>524</v>
      </c>
      <c r="S1" s="79" t="s">
        <v>525</v>
      </c>
      <c r="T1" s="79" t="s">
        <v>526</v>
      </c>
      <c r="U1" s="137" t="s">
        <v>339</v>
      </c>
      <c r="V1" s="81" t="s">
        <v>340</v>
      </c>
      <c r="W1" s="81" t="s">
        <v>342</v>
      </c>
      <c r="X1" s="81" t="s">
        <v>527</v>
      </c>
      <c r="Y1" s="160" t="s">
        <v>528</v>
      </c>
      <c r="Z1" s="160" t="s">
        <v>529</v>
      </c>
      <c r="AA1" s="160" t="s">
        <v>142</v>
      </c>
      <c r="AB1" s="160" t="s">
        <v>143</v>
      </c>
    </row>
    <row r="2" spans="1:28" s="82" customFormat="1" ht="23.4" customHeight="1" x14ac:dyDescent="0.3">
      <c r="A2" s="171">
        <v>115078086801</v>
      </c>
      <c r="B2">
        <v>438067093</v>
      </c>
      <c r="C2" s="180">
        <v>46125.451886574076</v>
      </c>
      <c r="D2" s="180">
        <v>46125.457731481481</v>
      </c>
      <c r="E2" t="s">
        <v>530</v>
      </c>
      <c r="F2" s="92"/>
      <c r="G2" s="92"/>
      <c r="H2" s="92"/>
      <c r="I2" s="92"/>
      <c r="J2" s="186"/>
      <c r="K2" s="11" t="s">
        <v>253</v>
      </c>
      <c r="L2" t="s">
        <v>54</v>
      </c>
      <c r="M2" t="s">
        <v>254</v>
      </c>
      <c r="N2" s="14">
        <v>9825135716</v>
      </c>
      <c r="P2" s="89" t="s">
        <v>115</v>
      </c>
      <c r="Q2" s="88" t="s">
        <v>351</v>
      </c>
      <c r="R2" s="88" t="s">
        <v>358</v>
      </c>
      <c r="S2" t="s">
        <v>358</v>
      </c>
      <c r="T2" s="41" t="s">
        <v>531</v>
      </c>
      <c r="U2" s="104" t="s">
        <v>532</v>
      </c>
      <c r="V2" s="86"/>
      <c r="W2" s="187" t="s">
        <v>359</v>
      </c>
      <c r="X2" s="186" t="s">
        <v>358</v>
      </c>
      <c r="Y2" s="140">
        <f>IF(ISBLANK(FeedbackFrmFounders[[#This Row],[Start Date]]),"",FeedbackFrmFounders[[#This Row],[Start Date]]-WEEKDAY(FeedbackFrmFounders[[#This Row],[Start Date]],2)+1)</f>
        <v>46125.451886574076</v>
      </c>
      <c r="Z2" s="161">
        <f>TRUNC(FeedbackFrmFounders[[#This Row],[Start of Week ]],)</f>
        <v>46125</v>
      </c>
      <c r="AA2" s="142" t="e">
        <f>VLOOKUP(FeedbackFrmFounders[[#This Row],[Venture Name]],#REF!,2,FALSE)</f>
        <v>#REF!</v>
      </c>
      <c r="AB2" s="142" t="e">
        <f>VLOOKUP(FeedbackFrmFounders[[#This Row],[Venture Name]],#REF!,4,FALSE)</f>
        <v>#REF!</v>
      </c>
    </row>
    <row r="3" spans="1:28" s="179" customFormat="1" ht="23.4" customHeight="1" x14ac:dyDescent="0.3">
      <c r="A3" s="83">
        <v>115073800800</v>
      </c>
      <c r="B3" s="174">
        <v>438067093</v>
      </c>
      <c r="C3" s="162">
        <v>46118.556111111109</v>
      </c>
      <c r="D3" s="175">
        <v>46118.557002314818</v>
      </c>
      <c r="E3" s="176" t="s">
        <v>533</v>
      </c>
      <c r="F3" s="93"/>
      <c r="G3" s="93"/>
      <c r="H3" s="93"/>
      <c r="I3" s="93"/>
      <c r="J3" s="93" t="s">
        <v>534</v>
      </c>
      <c r="K3" s="89" t="s">
        <v>279</v>
      </c>
      <c r="L3" s="8" t="s">
        <v>38</v>
      </c>
      <c r="M3" s="177" t="s">
        <v>280</v>
      </c>
      <c r="N3" s="9">
        <v>9409669724</v>
      </c>
      <c r="O3" s="133" t="s">
        <v>535</v>
      </c>
      <c r="P3" s="8" t="s">
        <v>138</v>
      </c>
      <c r="Q3" s="8" t="s">
        <v>351</v>
      </c>
      <c r="R3" s="8" t="s">
        <v>350</v>
      </c>
      <c r="S3" s="8" t="s">
        <v>358</v>
      </c>
      <c r="T3" s="8" t="s">
        <v>536</v>
      </c>
      <c r="U3" s="93" t="s">
        <v>537</v>
      </c>
      <c r="V3" s="93" t="s">
        <v>538</v>
      </c>
      <c r="W3" s="86" t="s">
        <v>359</v>
      </c>
      <c r="X3" s="92" t="s">
        <v>358</v>
      </c>
      <c r="Y3" s="127">
        <f>IF(ISBLANK(FeedbackFrmFounders[[#This Row],[Start Date]]),"",FeedbackFrmFounders[[#This Row],[Start Date]]-WEEKDAY(FeedbackFrmFounders[[#This Row],[Start Date]],2)+1)</f>
        <v>46118.556111111109</v>
      </c>
      <c r="Z3" s="178">
        <f>TRUNC(FeedbackFrmFounders[[#This Row],[Start of Week ]],)</f>
        <v>46118</v>
      </c>
      <c r="AA3" s="142" t="e">
        <f>VLOOKUP(FeedbackFrmFounders[[#This Row],[Venture Name]],#REF!,2,FALSE)</f>
        <v>#REF!</v>
      </c>
      <c r="AB3" s="142" t="e">
        <f>VLOOKUP(FeedbackFrmFounders[[#This Row],[Venture Name]],#REF!,4,FALSE)</f>
        <v>#REF!</v>
      </c>
    </row>
    <row r="4" spans="1:28" s="82" customFormat="1" ht="23.4" customHeight="1" x14ac:dyDescent="0.3">
      <c r="A4" s="83">
        <v>115067302264</v>
      </c>
      <c r="B4" s="84">
        <v>438067093</v>
      </c>
      <c r="C4" s="162">
        <v>46107.50136574074</v>
      </c>
      <c r="D4" s="85">
        <v>46107.502974537034</v>
      </c>
      <c r="E4" s="84" t="s">
        <v>539</v>
      </c>
      <c r="F4" s="84"/>
      <c r="G4" s="84"/>
      <c r="H4" s="84"/>
      <c r="I4" s="84"/>
      <c r="J4" s="84" t="s">
        <v>534</v>
      </c>
      <c r="K4" s="133" t="s">
        <v>506</v>
      </c>
      <c r="L4" s="133" t="s">
        <v>24</v>
      </c>
      <c r="M4" s="134" t="s">
        <v>507</v>
      </c>
      <c r="N4" s="84">
        <v>9884038585</v>
      </c>
      <c r="O4" s="25" t="s">
        <v>540</v>
      </c>
      <c r="P4" s="185" t="s">
        <v>134</v>
      </c>
      <c r="Q4" s="84" t="s">
        <v>375</v>
      </c>
      <c r="R4" s="84" t="s">
        <v>358</v>
      </c>
      <c r="S4" s="84" t="s">
        <v>358</v>
      </c>
      <c r="T4" s="95" t="s">
        <v>541</v>
      </c>
      <c r="U4" s="128"/>
      <c r="V4" s="86"/>
      <c r="W4" s="86"/>
      <c r="X4" s="173" t="s">
        <v>358</v>
      </c>
      <c r="Y4" s="140">
        <f>IF(ISBLANK(FeedbackFrmFounders[[#This Row],[Start Date]]),"",FeedbackFrmFounders[[#This Row],[Start Date]]-WEEKDAY(FeedbackFrmFounders[[#This Row],[Start Date]],2)+1)</f>
        <v>46104.50136574074</v>
      </c>
      <c r="Z4" s="161">
        <f>TRUNC(FeedbackFrmFounders[[#This Row],[Start of Week ]],)</f>
        <v>46104</v>
      </c>
      <c r="AA4" s="142" t="e">
        <f>VLOOKUP(FeedbackFrmFounders[[#This Row],[Venture Name]],#REF!,2,FALSE)</f>
        <v>#REF!</v>
      </c>
      <c r="AB4" s="142" t="e">
        <f>VLOOKUP(FeedbackFrmFounders[[#This Row],[Venture Name]],#REF!,4,FALSE)</f>
        <v>#REF!</v>
      </c>
    </row>
    <row r="5" spans="1:28" s="82" customFormat="1" ht="23.4" customHeight="1" x14ac:dyDescent="0.3">
      <c r="A5" s="83">
        <v>115065626399</v>
      </c>
      <c r="B5" s="84">
        <v>438067093</v>
      </c>
      <c r="C5" s="162">
        <v>46105.557916666665</v>
      </c>
      <c r="D5" s="85">
        <v>46105.661249999997</v>
      </c>
      <c r="E5" s="84" t="s">
        <v>542</v>
      </c>
      <c r="F5" s="84"/>
      <c r="G5" s="84"/>
      <c r="H5" s="84"/>
      <c r="I5" s="84"/>
      <c r="J5" s="84" t="s">
        <v>534</v>
      </c>
      <c r="K5" s="133" t="s">
        <v>472</v>
      </c>
      <c r="L5" s="93" t="s">
        <v>25</v>
      </c>
      <c r="M5" s="104" t="s">
        <v>473</v>
      </c>
      <c r="N5" s="84">
        <v>9998969892</v>
      </c>
      <c r="O5" s="190" t="s">
        <v>543</v>
      </c>
      <c r="P5" s="133" t="s">
        <v>105</v>
      </c>
      <c r="Q5" s="84" t="s">
        <v>355</v>
      </c>
      <c r="R5" s="84" t="s">
        <v>358</v>
      </c>
      <c r="S5" s="84" t="s">
        <v>358</v>
      </c>
      <c r="T5" s="95" t="s">
        <v>544</v>
      </c>
      <c r="U5" s="128"/>
      <c r="V5" s="86"/>
      <c r="W5" s="86"/>
      <c r="X5" s="86" t="s">
        <v>358</v>
      </c>
      <c r="Y5" s="140">
        <f>IF(ISBLANK(FeedbackFrmFounders[[#This Row],[Start Date]]),"",FeedbackFrmFounders[[#This Row],[Start Date]]-WEEKDAY(FeedbackFrmFounders[[#This Row],[Start Date]],2)+1)</f>
        <v>46104.557916666665</v>
      </c>
      <c r="Z5" s="161">
        <f>TRUNC(FeedbackFrmFounders[[#This Row],[Start of Week ]],)</f>
        <v>46104</v>
      </c>
      <c r="AA5" s="142" t="e">
        <f>VLOOKUP(FeedbackFrmFounders[[#This Row],[Venture Name]],#REF!,2,FALSE)</f>
        <v>#REF!</v>
      </c>
      <c r="AB5" s="142" t="e">
        <f>VLOOKUP(FeedbackFrmFounders[[#This Row],[Venture Name]],#REF!,4,FALSE)</f>
        <v>#REF!</v>
      </c>
    </row>
    <row r="6" spans="1:28" ht="16.95" customHeight="1" x14ac:dyDescent="0.3">
      <c r="A6" s="126">
        <v>115063541396</v>
      </c>
      <c r="B6" s="87">
        <v>438067093</v>
      </c>
      <c r="C6" s="162">
        <v>46101.677291666667</v>
      </c>
      <c r="D6" s="85">
        <v>46101.690671296295</v>
      </c>
      <c r="E6" s="88" t="s">
        <v>542</v>
      </c>
      <c r="F6" s="88"/>
      <c r="G6" s="88"/>
      <c r="H6" s="88"/>
      <c r="I6" s="88"/>
      <c r="J6" s="88" t="s">
        <v>534</v>
      </c>
      <c r="K6" s="89" t="s">
        <v>506</v>
      </c>
      <c r="L6" s="133" t="s">
        <v>24</v>
      </c>
      <c r="M6" s="125" t="s">
        <v>507</v>
      </c>
      <c r="N6" s="126">
        <v>9884038585</v>
      </c>
      <c r="O6" s="126" t="s">
        <v>545</v>
      </c>
      <c r="P6" s="89" t="s">
        <v>135</v>
      </c>
      <c r="Q6" s="88" t="s">
        <v>351</v>
      </c>
      <c r="R6" s="88" t="s">
        <v>350</v>
      </c>
      <c r="S6" s="88" t="s">
        <v>358</v>
      </c>
      <c r="T6" s="125" t="s">
        <v>546</v>
      </c>
      <c r="U6" s="104" t="s">
        <v>547</v>
      </c>
      <c r="V6" s="86" t="s">
        <v>367</v>
      </c>
      <c r="W6" s="86" t="s">
        <v>359</v>
      </c>
      <c r="X6" s="86" t="s">
        <v>358</v>
      </c>
      <c r="Y6" s="140">
        <f>IF(ISBLANK(FeedbackFrmFounders[[#This Row],[Start Date]]),"",FeedbackFrmFounders[[#This Row],[Start Date]]-WEEKDAY(FeedbackFrmFounders[[#This Row],[Start Date]],2)+1)</f>
        <v>46097.677291666667</v>
      </c>
      <c r="Z6" s="161">
        <f>TRUNC(FeedbackFrmFounders[[#This Row],[Start of Week ]],)</f>
        <v>46097</v>
      </c>
      <c r="AA6" s="142" t="e">
        <f>VLOOKUP(FeedbackFrmFounders[[#This Row],[Venture Name]],#REF!,2,FALSE)</f>
        <v>#REF!</v>
      </c>
      <c r="AB6" s="142" t="e">
        <f>VLOOKUP(FeedbackFrmFounders[[#This Row],[Venture Name]],#REF!,4,FALSE)</f>
        <v>#REF!</v>
      </c>
    </row>
    <row r="7" spans="1:28" ht="16.95" customHeight="1" x14ac:dyDescent="0.3">
      <c r="A7" s="127">
        <v>115062696710</v>
      </c>
      <c r="B7" s="91">
        <v>438067093</v>
      </c>
      <c r="C7" s="162">
        <v>46100.423460648148</v>
      </c>
      <c r="D7" s="85">
        <v>46100.426539351851</v>
      </c>
      <c r="E7" s="92" t="s">
        <v>542</v>
      </c>
      <c r="F7" s="92"/>
      <c r="G7" s="92"/>
      <c r="H7" s="92"/>
      <c r="I7" s="92"/>
      <c r="J7" s="92" t="s">
        <v>534</v>
      </c>
      <c r="K7" s="93" t="s">
        <v>506</v>
      </c>
      <c r="L7" s="133" t="s">
        <v>24</v>
      </c>
      <c r="M7" s="135" t="s">
        <v>507</v>
      </c>
      <c r="N7" s="92">
        <v>9884038585</v>
      </c>
      <c r="O7" s="86" t="s">
        <v>548</v>
      </c>
      <c r="P7" s="93" t="s">
        <v>134</v>
      </c>
      <c r="Q7" s="92" t="s">
        <v>355</v>
      </c>
      <c r="R7" s="92" t="s">
        <v>358</v>
      </c>
      <c r="S7" s="92" t="s">
        <v>358</v>
      </c>
      <c r="T7" s="104" t="s">
        <v>549</v>
      </c>
      <c r="U7" s="104"/>
      <c r="V7" s="86"/>
      <c r="W7" s="86"/>
      <c r="X7" s="86" t="s">
        <v>358</v>
      </c>
      <c r="Y7" s="140">
        <f>IF(ISBLANK(FeedbackFrmFounders[[#This Row],[Start Date]]),"",FeedbackFrmFounders[[#This Row],[Start Date]]-WEEKDAY(FeedbackFrmFounders[[#This Row],[Start Date]],2)+1)</f>
        <v>46097.423460648148</v>
      </c>
      <c r="Z7" s="161">
        <f>TRUNC(FeedbackFrmFounders[[#This Row],[Start of Week ]],)</f>
        <v>46097</v>
      </c>
      <c r="AA7" s="142" t="e">
        <f>VLOOKUP(FeedbackFrmFounders[[#This Row],[Venture Name]],#REF!,2,FALSE)</f>
        <v>#REF!</v>
      </c>
      <c r="AB7" s="142" t="e">
        <f>VLOOKUP(FeedbackFrmFounders[[#This Row],[Venture Name]],#REF!,4,FALSE)</f>
        <v>#REF!</v>
      </c>
    </row>
    <row r="8" spans="1:28" ht="16.95" customHeight="1" x14ac:dyDescent="0.3">
      <c r="A8" s="127">
        <v>115061950102</v>
      </c>
      <c r="B8" s="91">
        <v>438067093</v>
      </c>
      <c r="C8" s="162">
        <v>46099.527499999997</v>
      </c>
      <c r="D8" s="85">
        <v>46099.531446759262</v>
      </c>
      <c r="E8" s="92" t="s">
        <v>542</v>
      </c>
      <c r="F8" s="92"/>
      <c r="G8" s="92"/>
      <c r="H8" s="92"/>
      <c r="I8" s="92"/>
      <c r="J8" s="92" t="s">
        <v>534</v>
      </c>
      <c r="K8" s="93" t="s">
        <v>264</v>
      </c>
      <c r="L8" s="93" t="s">
        <v>78</v>
      </c>
      <c r="M8" s="104" t="s">
        <v>265</v>
      </c>
      <c r="N8" s="127">
        <v>9664922209</v>
      </c>
      <c r="O8" s="191" t="s">
        <v>550</v>
      </c>
      <c r="P8" s="93" t="s">
        <v>139</v>
      </c>
      <c r="Q8" s="92" t="s">
        <v>355</v>
      </c>
      <c r="R8" s="92" t="s">
        <v>350</v>
      </c>
      <c r="S8" s="92" t="s">
        <v>358</v>
      </c>
      <c r="T8" s="104" t="s">
        <v>551</v>
      </c>
      <c r="U8" s="104" t="s">
        <v>552</v>
      </c>
      <c r="V8" s="86" t="s">
        <v>367</v>
      </c>
      <c r="W8" s="86" t="s">
        <v>359</v>
      </c>
      <c r="X8" s="86" t="s">
        <v>358</v>
      </c>
      <c r="Y8" s="140">
        <f>IF(ISBLANK(FeedbackFrmFounders[[#This Row],[Start Date]]),"",FeedbackFrmFounders[[#This Row],[Start Date]]-WEEKDAY(FeedbackFrmFounders[[#This Row],[Start Date]],2)+1)</f>
        <v>46097.527499999997</v>
      </c>
      <c r="Z8" s="161">
        <f>TRUNC(FeedbackFrmFounders[[#This Row],[Start of Week ]],)</f>
        <v>46097</v>
      </c>
      <c r="AA8" s="142" t="e">
        <f>VLOOKUP(FeedbackFrmFounders[[#This Row],[Venture Name]],#REF!,2,FALSE)</f>
        <v>#REF!</v>
      </c>
      <c r="AB8" s="142" t="e">
        <f>VLOOKUP(FeedbackFrmFounders[[#This Row],[Venture Name]],#REF!,4,FALSE)</f>
        <v>#REF!</v>
      </c>
    </row>
    <row r="9" spans="1:28" ht="16.95" customHeight="1" x14ac:dyDescent="0.3">
      <c r="A9" s="127">
        <v>115060369534</v>
      </c>
      <c r="B9" s="91">
        <v>438067093</v>
      </c>
      <c r="C9" s="162">
        <v>46097.433136574073</v>
      </c>
      <c r="D9" s="85">
        <v>46097.434548611112</v>
      </c>
      <c r="E9" s="92" t="s">
        <v>553</v>
      </c>
      <c r="F9" s="92"/>
      <c r="G9" s="92"/>
      <c r="H9" s="92"/>
      <c r="I9" s="92"/>
      <c r="J9" s="92" t="s">
        <v>534</v>
      </c>
      <c r="K9" s="93" t="s">
        <v>554</v>
      </c>
      <c r="L9" s="93" t="s">
        <v>29</v>
      </c>
      <c r="M9" s="104" t="s">
        <v>555</v>
      </c>
      <c r="N9" s="127">
        <v>9712377798</v>
      </c>
      <c r="O9" s="191" t="s">
        <v>556</v>
      </c>
      <c r="P9" s="93" t="s">
        <v>136</v>
      </c>
      <c r="Q9" s="92" t="s">
        <v>355</v>
      </c>
      <c r="R9" s="92" t="s">
        <v>350</v>
      </c>
      <c r="S9" s="92" t="s">
        <v>358</v>
      </c>
      <c r="T9" s="104" t="s">
        <v>557</v>
      </c>
      <c r="U9" s="104" t="s">
        <v>558</v>
      </c>
      <c r="V9" s="86" t="s">
        <v>367</v>
      </c>
      <c r="W9" s="86" t="s">
        <v>359</v>
      </c>
      <c r="X9" s="86" t="s">
        <v>358</v>
      </c>
      <c r="Y9" s="140">
        <f>IF(ISBLANK(FeedbackFrmFounders[[#This Row],[Start Date]]),"",FeedbackFrmFounders[[#This Row],[Start Date]]-WEEKDAY(FeedbackFrmFounders[[#This Row],[Start Date]],2)+1)</f>
        <v>46097.433136574073</v>
      </c>
      <c r="Z9" s="161">
        <f>TRUNC(FeedbackFrmFounders[[#This Row],[Start of Week ]],)</f>
        <v>46097</v>
      </c>
      <c r="AA9" s="142" t="e">
        <f>VLOOKUP(FeedbackFrmFounders[[#This Row],[Venture Name]],#REF!,2,FALSE)</f>
        <v>#REF!</v>
      </c>
      <c r="AB9" s="142" t="e">
        <f>VLOOKUP(FeedbackFrmFounders[[#This Row],[Venture Name]],#REF!,4,FALSE)</f>
        <v>#REF!</v>
      </c>
    </row>
    <row r="10" spans="1:28" ht="16.95" customHeight="1" x14ac:dyDescent="0.3">
      <c r="A10" s="127">
        <v>115058872547</v>
      </c>
      <c r="B10" s="91">
        <v>438067093</v>
      </c>
      <c r="C10" s="162">
        <v>46094.684293981481</v>
      </c>
      <c r="D10" s="85">
        <v>46094.699918981481</v>
      </c>
      <c r="E10" s="92" t="s">
        <v>559</v>
      </c>
      <c r="F10" s="92"/>
      <c r="G10" s="92"/>
      <c r="H10" s="92"/>
      <c r="I10" s="92"/>
      <c r="J10" s="92" t="s">
        <v>534</v>
      </c>
      <c r="K10" s="93" t="s">
        <v>257</v>
      </c>
      <c r="L10" s="95" t="s">
        <v>46</v>
      </c>
      <c r="M10" s="104" t="s">
        <v>258</v>
      </c>
      <c r="N10" s="127">
        <v>9884422270</v>
      </c>
      <c r="O10" s="192" t="s">
        <v>382</v>
      </c>
      <c r="P10" s="96" t="s">
        <v>5</v>
      </c>
      <c r="Q10" s="92" t="s">
        <v>355</v>
      </c>
      <c r="R10" s="92" t="s">
        <v>350</v>
      </c>
      <c r="S10" s="92" t="s">
        <v>358</v>
      </c>
      <c r="T10" s="104" t="s">
        <v>560</v>
      </c>
      <c r="U10" s="104" t="s">
        <v>356</v>
      </c>
      <c r="V10" s="86" t="s">
        <v>561</v>
      </c>
      <c r="W10" s="86" t="s">
        <v>359</v>
      </c>
      <c r="X10" s="86" t="s">
        <v>358</v>
      </c>
      <c r="Y10" s="140">
        <f>IF(ISBLANK(FeedbackFrmFounders[[#This Row],[Start Date]]),"",FeedbackFrmFounders[[#This Row],[Start Date]]-WEEKDAY(FeedbackFrmFounders[[#This Row],[Start Date]],2)+1)</f>
        <v>46090.684293981481</v>
      </c>
      <c r="Z10" s="161">
        <f>TRUNC(FeedbackFrmFounders[[#This Row],[Start of Week ]],)</f>
        <v>46090</v>
      </c>
      <c r="AA10" s="142" t="e">
        <f>VLOOKUP(FeedbackFrmFounders[[#This Row],[Venture Name]],#REF!,2,FALSE)</f>
        <v>#REF!</v>
      </c>
      <c r="AB10" s="142" t="e">
        <f>VLOOKUP(FeedbackFrmFounders[[#This Row],[Venture Name]],#REF!,4,FALSE)</f>
        <v>#REF!</v>
      </c>
    </row>
    <row r="11" spans="1:28" ht="16.95" customHeight="1" x14ac:dyDescent="0.3">
      <c r="A11" s="127">
        <v>115056979250</v>
      </c>
      <c r="B11" s="91">
        <v>438067093</v>
      </c>
      <c r="C11" s="162">
        <v>46092.427905092591</v>
      </c>
      <c r="D11" s="85">
        <v>46092.429652777777</v>
      </c>
      <c r="E11" s="92" t="s">
        <v>562</v>
      </c>
      <c r="F11" s="92"/>
      <c r="G11" s="92"/>
      <c r="H11" s="92"/>
      <c r="I11" s="92"/>
      <c r="J11" s="92" t="s">
        <v>534</v>
      </c>
      <c r="K11" s="93" t="s">
        <v>327</v>
      </c>
      <c r="L11" s="97" t="s">
        <v>21</v>
      </c>
      <c r="M11" s="104" t="s">
        <v>328</v>
      </c>
      <c r="N11" s="127">
        <v>9822020629</v>
      </c>
      <c r="O11" s="140" t="s">
        <v>382</v>
      </c>
      <c r="P11" s="93" t="s">
        <v>103</v>
      </c>
      <c r="Q11" s="92" t="s">
        <v>351</v>
      </c>
      <c r="R11" s="92" t="s">
        <v>350</v>
      </c>
      <c r="S11" s="92" t="s">
        <v>345</v>
      </c>
      <c r="T11" s="104" t="s">
        <v>563</v>
      </c>
      <c r="U11" s="104" t="s">
        <v>564</v>
      </c>
      <c r="V11" s="86" t="s">
        <v>357</v>
      </c>
      <c r="W11" s="86" t="s">
        <v>359</v>
      </c>
      <c r="X11" s="86" t="s">
        <v>345</v>
      </c>
      <c r="Y11" s="140">
        <f>IF(ISBLANK(FeedbackFrmFounders[[#This Row],[Start Date]]),"",FeedbackFrmFounders[[#This Row],[Start Date]]-WEEKDAY(FeedbackFrmFounders[[#This Row],[Start Date]],2)+1)</f>
        <v>46090.427905092591</v>
      </c>
      <c r="Z11" s="161">
        <f>TRUNC(FeedbackFrmFounders[[#This Row],[Start of Week ]],)</f>
        <v>46090</v>
      </c>
      <c r="AA11" s="142" t="e">
        <f>VLOOKUP(FeedbackFrmFounders[[#This Row],[Venture Name]],#REF!,2,FALSE)</f>
        <v>#REF!</v>
      </c>
      <c r="AB11" s="142" t="e">
        <f>VLOOKUP(FeedbackFrmFounders[[#This Row],[Venture Name]],#REF!,4,FALSE)</f>
        <v>#REF!</v>
      </c>
    </row>
    <row r="12" spans="1:28" ht="16.95" customHeight="1" x14ac:dyDescent="0.3">
      <c r="A12" s="127">
        <v>115056976367</v>
      </c>
      <c r="B12" s="91">
        <v>438067093</v>
      </c>
      <c r="C12" s="162">
        <v>46092.417534722219</v>
      </c>
      <c r="D12" s="85">
        <v>46092.423263888886</v>
      </c>
      <c r="E12" s="92" t="s">
        <v>562</v>
      </c>
      <c r="F12" s="92"/>
      <c r="G12" s="92"/>
      <c r="H12" s="92"/>
      <c r="I12" s="92"/>
      <c r="J12" s="92" t="s">
        <v>534</v>
      </c>
      <c r="K12" s="93" t="s">
        <v>260</v>
      </c>
      <c r="L12" s="136" t="s">
        <v>29</v>
      </c>
      <c r="M12" s="104" t="s">
        <v>565</v>
      </c>
      <c r="N12" s="127" t="s">
        <v>566</v>
      </c>
      <c r="O12" s="127" t="s">
        <v>556</v>
      </c>
      <c r="P12" s="93" t="s">
        <v>136</v>
      </c>
      <c r="Q12" s="92" t="s">
        <v>375</v>
      </c>
      <c r="R12" s="92" t="s">
        <v>350</v>
      </c>
      <c r="S12" s="92" t="s">
        <v>358</v>
      </c>
      <c r="T12" s="104" t="s">
        <v>567</v>
      </c>
      <c r="U12" s="104" t="s">
        <v>568</v>
      </c>
      <c r="V12" s="92" t="s">
        <v>367</v>
      </c>
      <c r="W12" s="86" t="s">
        <v>359</v>
      </c>
      <c r="X12" s="86" t="s">
        <v>358</v>
      </c>
      <c r="Y12" s="140">
        <f>IF(ISBLANK(FeedbackFrmFounders[[#This Row],[Start Date]]),"",FeedbackFrmFounders[[#This Row],[Start Date]]-WEEKDAY(FeedbackFrmFounders[[#This Row],[Start Date]],2)+1)</f>
        <v>46090.417534722219</v>
      </c>
      <c r="Z12" s="161">
        <f>TRUNC(FeedbackFrmFounders[[#This Row],[Start of Week ]],)</f>
        <v>46090</v>
      </c>
      <c r="AA12" s="142" t="e">
        <f>VLOOKUP(FeedbackFrmFounders[[#This Row],[Venture Name]],#REF!,2,FALSE)</f>
        <v>#REF!</v>
      </c>
      <c r="AB12" s="142" t="e">
        <f>VLOOKUP(FeedbackFrmFounders[[#This Row],[Venture Name]],#REF!,4,FALSE)</f>
        <v>#REF!</v>
      </c>
    </row>
    <row r="13" spans="1:28" ht="16.95" customHeight="1" x14ac:dyDescent="0.3">
      <c r="A13" s="127">
        <v>115056975802</v>
      </c>
      <c r="B13" s="91">
        <v>438067093</v>
      </c>
      <c r="C13" s="162">
        <v>46092.417013888888</v>
      </c>
      <c r="D13" s="85">
        <v>46092.421759259261</v>
      </c>
      <c r="E13" s="92" t="s">
        <v>562</v>
      </c>
      <c r="F13" s="92"/>
      <c r="G13" s="92"/>
      <c r="H13" s="92"/>
      <c r="I13" s="92"/>
      <c r="J13" s="92" t="s">
        <v>534</v>
      </c>
      <c r="K13" s="93" t="s">
        <v>260</v>
      </c>
      <c r="L13" s="136" t="s">
        <v>29</v>
      </c>
      <c r="M13" s="104" t="s">
        <v>565</v>
      </c>
      <c r="N13" s="127">
        <v>9712377798</v>
      </c>
      <c r="O13" s="191" t="s">
        <v>569</v>
      </c>
      <c r="P13" s="93" t="s">
        <v>570</v>
      </c>
      <c r="Q13" s="92" t="s">
        <v>352</v>
      </c>
      <c r="R13" s="92" t="s">
        <v>345</v>
      </c>
      <c r="S13" s="92" t="s">
        <v>345</v>
      </c>
      <c r="T13" s="104" t="s">
        <v>571</v>
      </c>
      <c r="U13" s="104" t="s">
        <v>572</v>
      </c>
      <c r="V13" s="86" t="s">
        <v>357</v>
      </c>
      <c r="W13" s="86" t="s">
        <v>359</v>
      </c>
      <c r="X13" s="86" t="s">
        <v>358</v>
      </c>
      <c r="Y13" s="140">
        <f>IF(ISBLANK(FeedbackFrmFounders[[#This Row],[Start Date]]),"",FeedbackFrmFounders[[#This Row],[Start Date]]-WEEKDAY(FeedbackFrmFounders[[#This Row],[Start Date]],2)+1)</f>
        <v>46090.417013888888</v>
      </c>
      <c r="Z13" s="161">
        <f>TRUNC(FeedbackFrmFounders[[#This Row],[Start of Week ]],)</f>
        <v>46090</v>
      </c>
      <c r="AA13" s="142" t="e">
        <f>VLOOKUP(FeedbackFrmFounders[[#This Row],[Venture Name]],#REF!,2,FALSE)</f>
        <v>#REF!</v>
      </c>
      <c r="AB13" s="142" t="e">
        <f>VLOOKUP(FeedbackFrmFounders[[#This Row],[Venture Name]],#REF!,4,FALSE)</f>
        <v>#REF!</v>
      </c>
    </row>
    <row r="14" spans="1:28" ht="16.95" customHeight="1" x14ac:dyDescent="0.3">
      <c r="A14" s="127">
        <v>115056971880</v>
      </c>
      <c r="B14" s="91">
        <v>438067093</v>
      </c>
      <c r="C14" s="162">
        <v>46092.408194444448</v>
      </c>
      <c r="D14" s="85">
        <v>46092.41196759259</v>
      </c>
      <c r="E14" s="92" t="s">
        <v>562</v>
      </c>
      <c r="F14" s="92"/>
      <c r="G14" s="92"/>
      <c r="H14" s="92"/>
      <c r="I14" s="92"/>
      <c r="J14" s="92" t="s">
        <v>534</v>
      </c>
      <c r="K14" s="93" t="s">
        <v>479</v>
      </c>
      <c r="L14" s="95" t="s">
        <v>74</v>
      </c>
      <c r="M14" s="92" t="s">
        <v>573</v>
      </c>
      <c r="N14" s="94">
        <v>9840998220</v>
      </c>
      <c r="O14" s="94" t="s">
        <v>574</v>
      </c>
      <c r="P14" s="93" t="s">
        <v>575</v>
      </c>
      <c r="Q14" s="92" t="s">
        <v>375</v>
      </c>
      <c r="R14" s="92" t="s">
        <v>358</v>
      </c>
      <c r="S14" s="92" t="s">
        <v>358</v>
      </c>
      <c r="T14" s="104" t="s">
        <v>576</v>
      </c>
      <c r="U14" s="104"/>
      <c r="V14" s="92"/>
      <c r="W14" s="86"/>
      <c r="X14" s="86" t="s">
        <v>358</v>
      </c>
      <c r="Y14" s="140">
        <f>IF(ISBLANK(FeedbackFrmFounders[[#This Row],[Start Date]]),"",FeedbackFrmFounders[[#This Row],[Start Date]]-WEEKDAY(FeedbackFrmFounders[[#This Row],[Start Date]],2)+1)</f>
        <v>46090.408194444448</v>
      </c>
      <c r="Z14" s="161">
        <f>TRUNC(FeedbackFrmFounders[[#This Row],[Start of Week ]],)</f>
        <v>46090</v>
      </c>
      <c r="AA14" s="142" t="e">
        <f>VLOOKUP(FeedbackFrmFounders[[#This Row],[Venture Name]],#REF!,2,FALSE)</f>
        <v>#REF!</v>
      </c>
      <c r="AB14" s="142" t="e">
        <f>VLOOKUP(FeedbackFrmFounders[[#This Row],[Venture Name]],#REF!,4,FALSE)</f>
        <v>#REF!</v>
      </c>
    </row>
    <row r="15" spans="1:28" ht="16.95" customHeight="1" x14ac:dyDescent="0.3">
      <c r="A15" s="127">
        <v>115056969460</v>
      </c>
      <c r="B15" s="91">
        <v>438067093</v>
      </c>
      <c r="C15" s="162">
        <v>46092.403333333335</v>
      </c>
      <c r="D15" s="85">
        <v>46092.40587962963</v>
      </c>
      <c r="E15" s="92" t="s">
        <v>562</v>
      </c>
      <c r="F15" s="92"/>
      <c r="G15" s="92"/>
      <c r="H15" s="92"/>
      <c r="I15" s="92"/>
      <c r="J15" s="92" t="s">
        <v>534</v>
      </c>
      <c r="K15" s="93" t="s">
        <v>490</v>
      </c>
      <c r="L15" s="98" t="s">
        <v>51</v>
      </c>
      <c r="M15" s="104" t="s">
        <v>491</v>
      </c>
      <c r="N15" s="127">
        <v>9594066816</v>
      </c>
      <c r="O15" s="191" t="s">
        <v>382</v>
      </c>
      <c r="P15" s="93" t="s">
        <v>101</v>
      </c>
      <c r="Q15" s="92" t="s">
        <v>355</v>
      </c>
      <c r="R15" s="92" t="s">
        <v>350</v>
      </c>
      <c r="S15" s="92" t="s">
        <v>358</v>
      </c>
      <c r="T15" s="104" t="s">
        <v>577</v>
      </c>
      <c r="U15" s="104" t="s">
        <v>552</v>
      </c>
      <c r="V15" s="92" t="s">
        <v>367</v>
      </c>
      <c r="W15" s="86" t="s">
        <v>359</v>
      </c>
      <c r="X15" s="86" t="s">
        <v>345</v>
      </c>
      <c r="Y15" s="140">
        <f>IF(ISBLANK(FeedbackFrmFounders[[#This Row],[Start Date]]),"",FeedbackFrmFounders[[#This Row],[Start Date]]-WEEKDAY(FeedbackFrmFounders[[#This Row],[Start Date]],2)+1)</f>
        <v>46090.403333333335</v>
      </c>
      <c r="Z15" s="161">
        <f>TRUNC(FeedbackFrmFounders[[#This Row],[Start of Week ]],)</f>
        <v>46090</v>
      </c>
      <c r="AA15" s="142" t="e">
        <f>VLOOKUP(FeedbackFrmFounders[[#This Row],[Venture Name]],#REF!,2,FALSE)</f>
        <v>#REF!</v>
      </c>
      <c r="AB15" s="142" t="e">
        <f>VLOOKUP(FeedbackFrmFounders[[#This Row],[Venture Name]],#REF!,4,FALSE)</f>
        <v>#REF!</v>
      </c>
    </row>
    <row r="16" spans="1:28" ht="16.95" customHeight="1" x14ac:dyDescent="0.3">
      <c r="A16" s="127">
        <v>115056188745</v>
      </c>
      <c r="B16" s="91">
        <v>438067093</v>
      </c>
      <c r="C16" s="162">
        <v>46091.582604166666</v>
      </c>
      <c r="D16" s="85">
        <v>46091.584178240744</v>
      </c>
      <c r="E16" s="92" t="s">
        <v>578</v>
      </c>
      <c r="F16" s="92"/>
      <c r="G16" s="92"/>
      <c r="H16" s="92"/>
      <c r="I16" s="92"/>
      <c r="J16" s="92" t="s">
        <v>534</v>
      </c>
      <c r="K16" s="93" t="s">
        <v>579</v>
      </c>
      <c r="L16" s="93" t="s">
        <v>20</v>
      </c>
      <c r="M16" s="104" t="s">
        <v>580</v>
      </c>
      <c r="N16" s="127">
        <v>9879060300</v>
      </c>
      <c r="O16" s="49" t="s">
        <v>344</v>
      </c>
      <c r="P16" s="104" t="s">
        <v>122</v>
      </c>
      <c r="Q16" s="92" t="s">
        <v>346</v>
      </c>
      <c r="R16" s="92" t="s">
        <v>345</v>
      </c>
      <c r="S16" s="92" t="s">
        <v>345</v>
      </c>
      <c r="T16" s="104" t="s">
        <v>581</v>
      </c>
      <c r="U16" s="104" t="s">
        <v>888</v>
      </c>
      <c r="V16" s="86"/>
      <c r="W16" s="86" t="s">
        <v>348</v>
      </c>
      <c r="X16" s="86" t="s">
        <v>358</v>
      </c>
      <c r="Y16" s="140">
        <f>IF(ISBLANK(FeedbackFrmFounders[[#This Row],[Start Date]]),"",FeedbackFrmFounders[[#This Row],[Start Date]]-WEEKDAY(FeedbackFrmFounders[[#This Row],[Start Date]],2)+1)</f>
        <v>46090.582604166666</v>
      </c>
      <c r="Z16" s="161">
        <f>TRUNC(FeedbackFrmFounders[[#This Row],[Start of Week ]],)</f>
        <v>46090</v>
      </c>
      <c r="AA16" s="142" t="e">
        <f>VLOOKUP(FeedbackFrmFounders[[#This Row],[Venture Name]],#REF!,2,FALSE)</f>
        <v>#REF!</v>
      </c>
      <c r="AB16" s="142" t="e">
        <f>VLOOKUP(FeedbackFrmFounders[[#This Row],[Venture Name]],#REF!,4,FALSE)</f>
        <v>#REF!</v>
      </c>
    </row>
    <row r="17" spans="1:28" ht="16.95" customHeight="1" x14ac:dyDescent="0.3">
      <c r="A17" s="127">
        <v>115056187941</v>
      </c>
      <c r="B17" s="91">
        <v>438067093</v>
      </c>
      <c r="C17" s="162">
        <v>46091.581979166665</v>
      </c>
      <c r="D17" s="85">
        <v>46091.582546296297</v>
      </c>
      <c r="E17" s="92" t="s">
        <v>578</v>
      </c>
      <c r="F17" s="92"/>
      <c r="G17" s="92"/>
      <c r="H17" s="92"/>
      <c r="I17" s="92"/>
      <c r="J17" s="92" t="s">
        <v>534</v>
      </c>
      <c r="K17" s="93" t="s">
        <v>579</v>
      </c>
      <c r="L17" s="93" t="s">
        <v>20</v>
      </c>
      <c r="M17" s="104" t="s">
        <v>580</v>
      </c>
      <c r="N17" s="127">
        <v>9879060300</v>
      </c>
      <c r="O17" s="13" t="s">
        <v>583</v>
      </c>
      <c r="P17" s="104" t="s">
        <v>123</v>
      </c>
      <c r="Q17" s="92" t="s">
        <v>351</v>
      </c>
      <c r="R17" s="92" t="s">
        <v>350</v>
      </c>
      <c r="S17" s="92" t="s">
        <v>358</v>
      </c>
      <c r="T17" s="104" t="s">
        <v>584</v>
      </c>
      <c r="U17" s="104" t="s">
        <v>582</v>
      </c>
      <c r="V17" s="86"/>
      <c r="W17" s="86" t="s">
        <v>348</v>
      </c>
      <c r="X17" s="86" t="s">
        <v>358</v>
      </c>
      <c r="Y17" s="140">
        <f>IF(ISBLANK(FeedbackFrmFounders[[#This Row],[Start Date]]),"",FeedbackFrmFounders[[#This Row],[Start Date]]-WEEKDAY(FeedbackFrmFounders[[#This Row],[Start Date]],2)+1)</f>
        <v>46090.581979166665</v>
      </c>
      <c r="Z17" s="161">
        <f>TRUNC(FeedbackFrmFounders[[#This Row],[Start of Week ]],)</f>
        <v>46090</v>
      </c>
      <c r="AA17" s="142" t="e">
        <f>VLOOKUP(FeedbackFrmFounders[[#This Row],[Venture Name]],#REF!,2,FALSE)</f>
        <v>#REF!</v>
      </c>
      <c r="AB17" s="142" t="e">
        <f>VLOOKUP(FeedbackFrmFounders[[#This Row],[Venture Name]],#REF!,4,FALSE)</f>
        <v>#REF!</v>
      </c>
    </row>
    <row r="18" spans="1:28" ht="16.95" customHeight="1" x14ac:dyDescent="0.3">
      <c r="A18" s="127">
        <v>115056187584</v>
      </c>
      <c r="B18" s="91">
        <v>438067093</v>
      </c>
      <c r="C18" s="162">
        <v>46091.577847222223</v>
      </c>
      <c r="D18" s="85">
        <v>46091.581770833334</v>
      </c>
      <c r="E18" s="92" t="s">
        <v>578</v>
      </c>
      <c r="F18" s="92"/>
      <c r="G18" s="92"/>
      <c r="H18" s="92"/>
      <c r="I18" s="92"/>
      <c r="J18" s="92" t="s">
        <v>534</v>
      </c>
      <c r="K18" s="93" t="s">
        <v>579</v>
      </c>
      <c r="L18" s="93" t="s">
        <v>20</v>
      </c>
      <c r="M18" s="104" t="s">
        <v>580</v>
      </c>
      <c r="N18" s="127">
        <v>9879060300</v>
      </c>
      <c r="O18" s="49" t="s">
        <v>344</v>
      </c>
      <c r="P18" s="104" t="s">
        <v>101</v>
      </c>
      <c r="Q18" s="92" t="s">
        <v>352</v>
      </c>
      <c r="R18" s="92" t="s">
        <v>350</v>
      </c>
      <c r="S18" s="92" t="s">
        <v>345</v>
      </c>
      <c r="T18" s="104" t="s">
        <v>585</v>
      </c>
      <c r="U18" s="104" t="s">
        <v>582</v>
      </c>
      <c r="V18" s="86"/>
      <c r="W18" s="86" t="s">
        <v>348</v>
      </c>
      <c r="X18" s="86" t="s">
        <v>358</v>
      </c>
      <c r="Y18" s="140">
        <f>IF(ISBLANK(FeedbackFrmFounders[[#This Row],[Start Date]]),"",FeedbackFrmFounders[[#This Row],[Start Date]]-WEEKDAY(FeedbackFrmFounders[[#This Row],[Start Date]],2)+1)</f>
        <v>46090.577847222223</v>
      </c>
      <c r="Z18" s="161">
        <f>TRUNC(FeedbackFrmFounders[[#This Row],[Start of Week ]],)</f>
        <v>46090</v>
      </c>
      <c r="AA18" s="142" t="e">
        <f>VLOOKUP(FeedbackFrmFounders[[#This Row],[Venture Name]],#REF!,2,FALSE)</f>
        <v>#REF!</v>
      </c>
      <c r="AB18" s="142" t="e">
        <f>VLOOKUP(FeedbackFrmFounders[[#This Row],[Venture Name]],#REF!,4,FALSE)</f>
        <v>#REF!</v>
      </c>
    </row>
    <row r="19" spans="1:28" ht="16.95" customHeight="1" x14ac:dyDescent="0.3">
      <c r="A19" s="127">
        <v>115056185661</v>
      </c>
      <c r="B19" s="91">
        <v>438067093</v>
      </c>
      <c r="C19" s="162">
        <v>46091.576805555553</v>
      </c>
      <c r="D19" s="85">
        <v>46091.577673611115</v>
      </c>
      <c r="E19" s="92" t="s">
        <v>578</v>
      </c>
      <c r="F19" s="92"/>
      <c r="G19" s="92"/>
      <c r="H19" s="92"/>
      <c r="I19" s="92"/>
      <c r="J19" s="92" t="s">
        <v>534</v>
      </c>
      <c r="K19" s="93" t="s">
        <v>579</v>
      </c>
      <c r="L19" s="93" t="s">
        <v>20</v>
      </c>
      <c r="M19" s="92" t="s">
        <v>580</v>
      </c>
      <c r="N19" s="127">
        <v>9879060300</v>
      </c>
      <c r="O19" s="196" t="s">
        <v>586</v>
      </c>
      <c r="P19" s="197" t="s">
        <v>587</v>
      </c>
      <c r="Q19" s="92" t="s">
        <v>375</v>
      </c>
      <c r="R19" s="92" t="s">
        <v>358</v>
      </c>
      <c r="S19" s="92" t="s">
        <v>358</v>
      </c>
      <c r="T19" s="104" t="s">
        <v>588</v>
      </c>
      <c r="U19" s="104"/>
      <c r="V19" s="86"/>
      <c r="W19" s="86"/>
      <c r="X19" s="86" t="s">
        <v>358</v>
      </c>
      <c r="Y19" s="140">
        <f>IF(ISBLANK(FeedbackFrmFounders[[#This Row],[Start Date]]),"",FeedbackFrmFounders[[#This Row],[Start Date]]-WEEKDAY(FeedbackFrmFounders[[#This Row],[Start Date]],2)+1)</f>
        <v>46090.576805555553</v>
      </c>
      <c r="Z19" s="161">
        <f>TRUNC(FeedbackFrmFounders[[#This Row],[Start of Week ]],)</f>
        <v>46090</v>
      </c>
      <c r="AA19" s="142" t="e">
        <f>VLOOKUP(FeedbackFrmFounders[[#This Row],[Venture Name]],#REF!,2,FALSE)</f>
        <v>#REF!</v>
      </c>
      <c r="AB19" s="142" t="e">
        <f>VLOOKUP(FeedbackFrmFounders[[#This Row],[Venture Name]],#REF!,4,FALSE)</f>
        <v>#REF!</v>
      </c>
    </row>
    <row r="20" spans="1:28" ht="16.95" customHeight="1" x14ac:dyDescent="0.3">
      <c r="A20" s="127">
        <v>115042915820</v>
      </c>
      <c r="B20" s="91">
        <v>438067093</v>
      </c>
      <c r="C20" s="162">
        <v>46071.412928240738</v>
      </c>
      <c r="D20" s="85">
        <v>46071.422384259262</v>
      </c>
      <c r="E20" s="92" t="s">
        <v>589</v>
      </c>
      <c r="F20" s="92"/>
      <c r="G20" s="92"/>
      <c r="H20" s="92"/>
      <c r="I20" s="92"/>
      <c r="J20" s="92" t="s">
        <v>534</v>
      </c>
      <c r="K20" s="93" t="s">
        <v>53</v>
      </c>
      <c r="L20" s="98" t="s">
        <v>53</v>
      </c>
      <c r="M20" s="92" t="s">
        <v>463</v>
      </c>
      <c r="N20" s="94">
        <v>9715129387</v>
      </c>
      <c r="O20" s="94" t="s">
        <v>382</v>
      </c>
      <c r="P20" s="93" t="s">
        <v>85</v>
      </c>
      <c r="Q20" s="92" t="s">
        <v>375</v>
      </c>
      <c r="R20" s="92" t="s">
        <v>358</v>
      </c>
      <c r="S20" s="92" t="s">
        <v>358</v>
      </c>
      <c r="T20" s="104" t="s">
        <v>590</v>
      </c>
      <c r="U20" s="104"/>
      <c r="V20" s="86"/>
      <c r="W20" s="86"/>
      <c r="X20" s="86" t="s">
        <v>358</v>
      </c>
      <c r="Y20" s="140">
        <f>IF(ISBLANK(FeedbackFrmFounders[[#This Row],[Start Date]]),"",FeedbackFrmFounders[[#This Row],[Start Date]]-WEEKDAY(FeedbackFrmFounders[[#This Row],[Start Date]],2)+1)</f>
        <v>46069.412928240738</v>
      </c>
      <c r="Z20" s="161">
        <f>TRUNC(FeedbackFrmFounders[[#This Row],[Start of Week ]],)</f>
        <v>46069</v>
      </c>
      <c r="AA20" s="142" t="e">
        <f>VLOOKUP(FeedbackFrmFounders[[#This Row],[Venture Name]],#REF!,2,FALSE)</f>
        <v>#REF!</v>
      </c>
      <c r="AB20" s="142" t="e">
        <f>VLOOKUP(FeedbackFrmFounders[[#This Row],[Venture Name]],#REF!,4,FALSE)</f>
        <v>#REF!</v>
      </c>
    </row>
    <row r="21" spans="1:28" ht="16.95" customHeight="1" x14ac:dyDescent="0.3">
      <c r="A21" s="127">
        <v>115042914743</v>
      </c>
      <c r="B21" s="91">
        <v>438067093</v>
      </c>
      <c r="C21" s="162">
        <v>46071.392627314817</v>
      </c>
      <c r="D21" s="85">
        <v>46071.419525462959</v>
      </c>
      <c r="E21" s="92" t="s">
        <v>589</v>
      </c>
      <c r="F21" s="92"/>
      <c r="G21" s="92"/>
      <c r="H21" s="92"/>
      <c r="I21" s="92"/>
      <c r="J21" s="92" t="s">
        <v>534</v>
      </c>
      <c r="K21" s="93" t="s">
        <v>488</v>
      </c>
      <c r="L21" s="93" t="s">
        <v>50</v>
      </c>
      <c r="M21" s="92" t="s">
        <v>489</v>
      </c>
      <c r="N21" s="94">
        <v>9428102150</v>
      </c>
      <c r="O21" s="193"/>
      <c r="P21" s="93" t="s">
        <v>5</v>
      </c>
      <c r="Q21" s="92" t="s">
        <v>355</v>
      </c>
      <c r="R21" s="92" t="s">
        <v>358</v>
      </c>
      <c r="S21" s="92" t="s">
        <v>358</v>
      </c>
      <c r="T21" s="104" t="s">
        <v>591</v>
      </c>
      <c r="U21" s="104"/>
      <c r="V21" s="86"/>
      <c r="W21" s="86"/>
      <c r="X21" s="86" t="s">
        <v>358</v>
      </c>
      <c r="Y21" s="140">
        <f>IF(ISBLANK(FeedbackFrmFounders[[#This Row],[Start Date]]),"",FeedbackFrmFounders[[#This Row],[Start Date]]-WEEKDAY(FeedbackFrmFounders[[#This Row],[Start Date]],2)+1)</f>
        <v>46069.392627314817</v>
      </c>
      <c r="Z21" s="161">
        <f>TRUNC(FeedbackFrmFounders[[#This Row],[Start of Week ]],)</f>
        <v>46069</v>
      </c>
      <c r="AA21" s="142" t="e">
        <f>VLOOKUP(FeedbackFrmFounders[[#This Row],[Venture Name]],#REF!,2,FALSE)</f>
        <v>#REF!</v>
      </c>
      <c r="AB21" s="142" t="e">
        <f>VLOOKUP(FeedbackFrmFounders[[#This Row],[Venture Name]],#REF!,4,FALSE)</f>
        <v>#REF!</v>
      </c>
    </row>
    <row r="22" spans="1:28" ht="16.95" customHeight="1" x14ac:dyDescent="0.3">
      <c r="A22" s="127">
        <v>115042911097</v>
      </c>
      <c r="B22" s="91">
        <v>438067093</v>
      </c>
      <c r="C22" s="162">
        <v>46071.40730324074</v>
      </c>
      <c r="D22" s="85">
        <v>46071.411435185182</v>
      </c>
      <c r="E22" s="92" t="s">
        <v>589</v>
      </c>
      <c r="F22" s="92"/>
      <c r="G22" s="92"/>
      <c r="H22" s="92"/>
      <c r="I22" s="92"/>
      <c r="J22" s="92" t="s">
        <v>534</v>
      </c>
      <c r="K22" s="93" t="s">
        <v>477</v>
      </c>
      <c r="L22" s="98" t="s">
        <v>60</v>
      </c>
      <c r="M22" s="100" t="s">
        <v>478</v>
      </c>
      <c r="N22" s="92">
        <v>8220043502</v>
      </c>
      <c r="O22" s="194" t="s">
        <v>592</v>
      </c>
      <c r="P22" s="99" t="s">
        <v>123</v>
      </c>
      <c r="Q22" s="92" t="s">
        <v>355</v>
      </c>
      <c r="R22" s="92" t="s">
        <v>358</v>
      </c>
      <c r="S22" s="92" t="s">
        <v>358</v>
      </c>
      <c r="T22" s="104" t="s">
        <v>593</v>
      </c>
      <c r="U22" s="104"/>
      <c r="V22" s="86"/>
      <c r="W22" s="86"/>
      <c r="X22" s="86" t="s">
        <v>358</v>
      </c>
      <c r="Y22" s="140">
        <f>IF(ISBLANK(FeedbackFrmFounders[[#This Row],[Start Date]]),"",FeedbackFrmFounders[[#This Row],[Start Date]]-WEEKDAY(FeedbackFrmFounders[[#This Row],[Start Date]],2)+1)</f>
        <v>46069.40730324074</v>
      </c>
      <c r="Z22" s="161">
        <f>TRUNC(FeedbackFrmFounders[[#This Row],[Start of Week ]],)</f>
        <v>46069</v>
      </c>
      <c r="AA22" s="142" t="e">
        <f>VLOOKUP(FeedbackFrmFounders[[#This Row],[Venture Name]],#REF!,2,FALSE)</f>
        <v>#REF!</v>
      </c>
      <c r="AB22" s="142" t="e">
        <f>VLOOKUP(FeedbackFrmFounders[[#This Row],[Venture Name]],#REF!,4,FALSE)</f>
        <v>#REF!</v>
      </c>
    </row>
    <row r="23" spans="1:28" ht="16.95" customHeight="1" x14ac:dyDescent="0.3">
      <c r="A23" s="127">
        <v>115042910595</v>
      </c>
      <c r="B23" s="91">
        <v>438067093</v>
      </c>
      <c r="C23" s="162">
        <v>46071.409131944441</v>
      </c>
      <c r="D23" s="85">
        <v>46071.410127314812</v>
      </c>
      <c r="E23" s="92" t="s">
        <v>594</v>
      </c>
      <c r="F23" s="92"/>
      <c r="G23" s="92"/>
      <c r="H23" s="92"/>
      <c r="I23" s="92"/>
      <c r="J23" s="92" t="s">
        <v>534</v>
      </c>
      <c r="K23" s="93" t="s">
        <v>595</v>
      </c>
      <c r="L23" s="95" t="s">
        <v>74</v>
      </c>
      <c r="M23" s="92" t="s">
        <v>596</v>
      </c>
      <c r="N23" s="94" t="s">
        <v>597</v>
      </c>
      <c r="O23" s="94" t="s">
        <v>574</v>
      </c>
      <c r="P23" s="93" t="s">
        <v>598</v>
      </c>
      <c r="Q23" s="92" t="s">
        <v>355</v>
      </c>
      <c r="R23" s="92" t="s">
        <v>358</v>
      </c>
      <c r="S23" s="92" t="s">
        <v>358</v>
      </c>
      <c r="T23" s="104"/>
      <c r="U23" s="104" t="s">
        <v>599</v>
      </c>
      <c r="V23" s="86" t="s">
        <v>599</v>
      </c>
      <c r="W23" s="86" t="s">
        <v>599</v>
      </c>
      <c r="X23" s="86" t="s">
        <v>599</v>
      </c>
      <c r="Y23" s="140">
        <f>IF(ISBLANK(FeedbackFrmFounders[[#This Row],[Start Date]]),"",FeedbackFrmFounders[[#This Row],[Start Date]]-WEEKDAY(FeedbackFrmFounders[[#This Row],[Start Date]],2)+1)</f>
        <v>46069.409131944441</v>
      </c>
      <c r="Z23" s="161">
        <f>TRUNC(FeedbackFrmFounders[[#This Row],[Start of Week ]],)</f>
        <v>46069</v>
      </c>
      <c r="AA23" s="142" t="e">
        <f>VLOOKUP(FeedbackFrmFounders[[#This Row],[Venture Name]],#REF!,2,FALSE)</f>
        <v>#REF!</v>
      </c>
      <c r="AB23" s="142" t="e">
        <f>VLOOKUP(FeedbackFrmFounders[[#This Row],[Venture Name]],#REF!,4,FALSE)</f>
        <v>#REF!</v>
      </c>
    </row>
    <row r="24" spans="1:28" ht="16.95" customHeight="1" x14ac:dyDescent="0.3">
      <c r="A24" s="127">
        <v>115042909248</v>
      </c>
      <c r="B24" s="91">
        <v>438067093</v>
      </c>
      <c r="C24" s="162">
        <v>46071.392511574071</v>
      </c>
      <c r="D24" s="85">
        <v>46071.406817129631</v>
      </c>
      <c r="E24" s="92" t="s">
        <v>589</v>
      </c>
      <c r="F24" s="92"/>
      <c r="G24" s="92"/>
      <c r="H24" s="92"/>
      <c r="I24" s="92"/>
      <c r="J24" s="92" t="s">
        <v>534</v>
      </c>
      <c r="K24" s="93" t="s">
        <v>461</v>
      </c>
      <c r="L24" s="98" t="s">
        <v>62</v>
      </c>
      <c r="M24" s="104" t="s">
        <v>462</v>
      </c>
      <c r="N24" s="127">
        <v>9884497788</v>
      </c>
      <c r="O24" s="12" t="s">
        <v>382</v>
      </c>
      <c r="P24" s="93" t="s">
        <v>5</v>
      </c>
      <c r="Q24" s="92" t="s">
        <v>352</v>
      </c>
      <c r="R24" s="92" t="s">
        <v>350</v>
      </c>
      <c r="S24" s="92" t="s">
        <v>345</v>
      </c>
      <c r="T24" s="104" t="s">
        <v>600</v>
      </c>
      <c r="U24" s="104" t="s">
        <v>601</v>
      </c>
      <c r="V24" s="86" t="s">
        <v>357</v>
      </c>
      <c r="W24" s="86" t="s">
        <v>359</v>
      </c>
      <c r="X24" s="86" t="s">
        <v>345</v>
      </c>
      <c r="Y24" s="140">
        <f>IF(ISBLANK(FeedbackFrmFounders[[#This Row],[Start Date]]),"",FeedbackFrmFounders[[#This Row],[Start Date]]-WEEKDAY(FeedbackFrmFounders[[#This Row],[Start Date]],2)+1)</f>
        <v>46069.392511574071</v>
      </c>
      <c r="Z24" s="161">
        <f>TRUNC(FeedbackFrmFounders[[#This Row],[Start of Week ]],)</f>
        <v>46069</v>
      </c>
      <c r="AA24" s="142" t="e">
        <f>VLOOKUP(FeedbackFrmFounders[[#This Row],[Venture Name]],#REF!,2,FALSE)</f>
        <v>#REF!</v>
      </c>
      <c r="AB24" s="142" t="e">
        <f>VLOOKUP(FeedbackFrmFounders[[#This Row],[Venture Name]],#REF!,4,FALSE)</f>
        <v>#REF!</v>
      </c>
    </row>
    <row r="25" spans="1:28" ht="16.95" customHeight="1" x14ac:dyDescent="0.3">
      <c r="A25" s="127">
        <v>115042335711</v>
      </c>
      <c r="B25" s="91">
        <v>438067093</v>
      </c>
      <c r="C25" s="162">
        <v>46070.74082175926</v>
      </c>
      <c r="D25" s="85">
        <v>46070.741516203707</v>
      </c>
      <c r="E25" s="92" t="s">
        <v>602</v>
      </c>
      <c r="F25" s="92"/>
      <c r="G25" s="92"/>
      <c r="H25" s="92"/>
      <c r="I25" s="92"/>
      <c r="J25" s="92" t="s">
        <v>534</v>
      </c>
      <c r="K25" s="93" t="s">
        <v>150</v>
      </c>
      <c r="L25" s="98" t="s">
        <v>22</v>
      </c>
      <c r="M25" s="100" t="s">
        <v>151</v>
      </c>
      <c r="N25" s="92">
        <v>9881472945</v>
      </c>
      <c r="O25" s="86" t="s">
        <v>432</v>
      </c>
      <c r="P25" s="93" t="s">
        <v>603</v>
      </c>
      <c r="Q25" s="92" t="s">
        <v>355</v>
      </c>
      <c r="R25" s="92" t="s">
        <v>358</v>
      </c>
      <c r="S25" s="92" t="s">
        <v>345</v>
      </c>
      <c r="T25" s="104"/>
      <c r="U25" s="104"/>
      <c r="V25" s="86"/>
      <c r="W25" s="86"/>
      <c r="X25" s="86" t="s">
        <v>345</v>
      </c>
      <c r="Y25" s="140">
        <f>IF(ISBLANK(FeedbackFrmFounders[[#This Row],[Start Date]]),"",FeedbackFrmFounders[[#This Row],[Start Date]]-WEEKDAY(FeedbackFrmFounders[[#This Row],[Start Date]],2)+1)</f>
        <v>46069.74082175926</v>
      </c>
      <c r="Z25" s="161">
        <f>TRUNC(FeedbackFrmFounders[[#This Row],[Start of Week ]],)</f>
        <v>46069</v>
      </c>
      <c r="AA25" s="142" t="e">
        <f>VLOOKUP(FeedbackFrmFounders[[#This Row],[Venture Name]],#REF!,2,FALSE)</f>
        <v>#REF!</v>
      </c>
      <c r="AB25" s="142" t="e">
        <f>VLOOKUP(FeedbackFrmFounders[[#This Row],[Venture Name]],#REF!,4,FALSE)</f>
        <v>#REF!</v>
      </c>
    </row>
    <row r="26" spans="1:28" ht="16.95" customHeight="1" x14ac:dyDescent="0.3">
      <c r="A26" s="127">
        <v>115042311879</v>
      </c>
      <c r="B26" s="91">
        <v>438067093</v>
      </c>
      <c r="C26" s="162">
        <v>46070.692604166667</v>
      </c>
      <c r="D26" s="85">
        <v>46070.703657407408</v>
      </c>
      <c r="E26" s="92" t="s">
        <v>589</v>
      </c>
      <c r="F26" s="92"/>
      <c r="G26" s="92"/>
      <c r="H26" s="92"/>
      <c r="I26" s="92"/>
      <c r="J26" s="92" t="s">
        <v>534</v>
      </c>
      <c r="K26" s="93" t="s">
        <v>497</v>
      </c>
      <c r="L26" s="93" t="s">
        <v>20</v>
      </c>
      <c r="M26" s="104" t="s">
        <v>498</v>
      </c>
      <c r="N26" s="127">
        <v>9879060300</v>
      </c>
      <c r="O26" s="49" t="s">
        <v>344</v>
      </c>
      <c r="P26" s="104" t="s">
        <v>122</v>
      </c>
      <c r="Q26" s="92" t="s">
        <v>346</v>
      </c>
      <c r="R26" s="92" t="s">
        <v>345</v>
      </c>
      <c r="S26" s="92" t="s">
        <v>345</v>
      </c>
      <c r="T26" s="104" t="s">
        <v>604</v>
      </c>
      <c r="U26" s="104" t="s">
        <v>599</v>
      </c>
      <c r="V26" s="86" t="s">
        <v>599</v>
      </c>
      <c r="W26" s="86" t="s">
        <v>599</v>
      </c>
      <c r="X26" s="86" t="s">
        <v>599</v>
      </c>
      <c r="Y26" s="140">
        <f>IF(ISBLANK(FeedbackFrmFounders[[#This Row],[Start Date]]),"",FeedbackFrmFounders[[#This Row],[Start Date]]-WEEKDAY(FeedbackFrmFounders[[#This Row],[Start Date]],2)+1)</f>
        <v>46069.692604166667</v>
      </c>
      <c r="Z26" s="161">
        <f>TRUNC(FeedbackFrmFounders[[#This Row],[Start of Week ]],)</f>
        <v>46069</v>
      </c>
      <c r="AA26" s="142" t="e">
        <f>VLOOKUP(FeedbackFrmFounders[[#This Row],[Venture Name]],#REF!,2,FALSE)</f>
        <v>#REF!</v>
      </c>
      <c r="AB26" s="142" t="e">
        <f>VLOOKUP(FeedbackFrmFounders[[#This Row],[Venture Name]],#REF!,4,FALSE)</f>
        <v>#REF!</v>
      </c>
    </row>
    <row r="27" spans="1:28" ht="16.95" customHeight="1" x14ac:dyDescent="0.3">
      <c r="A27" s="127">
        <v>115042305484</v>
      </c>
      <c r="B27" s="91">
        <v>438067093</v>
      </c>
      <c r="C27" s="162">
        <v>46070.690694444442</v>
      </c>
      <c r="D27" s="85">
        <v>46070.69253472222</v>
      </c>
      <c r="E27" s="92" t="s">
        <v>589</v>
      </c>
      <c r="F27" s="92"/>
      <c r="G27" s="92"/>
      <c r="H27" s="92"/>
      <c r="I27" s="92"/>
      <c r="J27" s="92" t="s">
        <v>534</v>
      </c>
      <c r="K27" s="93" t="s">
        <v>454</v>
      </c>
      <c r="L27" s="98" t="s">
        <v>43</v>
      </c>
      <c r="M27" s="92" t="s">
        <v>455</v>
      </c>
      <c r="N27" s="94">
        <v>9923777020</v>
      </c>
      <c r="O27" s="193" t="s">
        <v>605</v>
      </c>
      <c r="P27" s="93" t="s">
        <v>108</v>
      </c>
      <c r="Q27" s="92" t="s">
        <v>355</v>
      </c>
      <c r="R27" s="92" t="s">
        <v>358</v>
      </c>
      <c r="S27" s="92" t="s">
        <v>358</v>
      </c>
      <c r="T27" s="104" t="s">
        <v>606</v>
      </c>
      <c r="U27" s="104"/>
      <c r="V27" s="86"/>
      <c r="W27" s="86"/>
      <c r="X27" s="86" t="s">
        <v>358</v>
      </c>
      <c r="Y27" s="140">
        <f>IF(ISBLANK(FeedbackFrmFounders[[#This Row],[Start Date]]),"",FeedbackFrmFounders[[#This Row],[Start Date]]-WEEKDAY(FeedbackFrmFounders[[#This Row],[Start Date]],2)+1)</f>
        <v>46069.690694444442</v>
      </c>
      <c r="Z27" s="161">
        <f>TRUNC(FeedbackFrmFounders[[#This Row],[Start of Week ]],)</f>
        <v>46069</v>
      </c>
      <c r="AA27" s="142" t="e">
        <f>VLOOKUP(FeedbackFrmFounders[[#This Row],[Venture Name]],#REF!,2,FALSE)</f>
        <v>#REF!</v>
      </c>
      <c r="AB27" s="142" t="e">
        <f>VLOOKUP(FeedbackFrmFounders[[#This Row],[Venture Name]],#REF!,4,FALSE)</f>
        <v>#REF!</v>
      </c>
    </row>
    <row r="28" spans="1:28" ht="16.95" customHeight="1" x14ac:dyDescent="0.3">
      <c r="A28" s="127">
        <v>115042304010</v>
      </c>
      <c r="B28" s="91">
        <v>438067093</v>
      </c>
      <c r="C28" s="162">
        <v>46070.686238425929</v>
      </c>
      <c r="D28" s="85">
        <v>46070.690092592595</v>
      </c>
      <c r="E28" s="92" t="s">
        <v>589</v>
      </c>
      <c r="F28" s="92"/>
      <c r="G28" s="92"/>
      <c r="H28" s="92"/>
      <c r="I28" s="92"/>
      <c r="J28" s="92" t="s">
        <v>534</v>
      </c>
      <c r="K28" s="93" t="s">
        <v>456</v>
      </c>
      <c r="L28" s="93" t="s">
        <v>72</v>
      </c>
      <c r="M28" s="92" t="s">
        <v>457</v>
      </c>
      <c r="N28" s="92">
        <v>7045604451</v>
      </c>
      <c r="O28" s="86" t="s">
        <v>607</v>
      </c>
      <c r="P28" s="93" t="s">
        <v>109</v>
      </c>
      <c r="Q28" s="92" t="s">
        <v>355</v>
      </c>
      <c r="R28" s="92" t="s">
        <v>358</v>
      </c>
      <c r="S28" s="92" t="s">
        <v>358</v>
      </c>
      <c r="T28" s="104" t="s">
        <v>608</v>
      </c>
      <c r="U28" s="104"/>
      <c r="V28" s="86"/>
      <c r="W28" s="86"/>
      <c r="X28" s="86" t="s">
        <v>358</v>
      </c>
      <c r="Y28" s="140">
        <f>IF(ISBLANK(FeedbackFrmFounders[[#This Row],[Start Date]]),"",FeedbackFrmFounders[[#This Row],[Start Date]]-WEEKDAY(FeedbackFrmFounders[[#This Row],[Start Date]],2)+1)</f>
        <v>46069.686238425929</v>
      </c>
      <c r="Z28" s="161">
        <f>TRUNC(FeedbackFrmFounders[[#This Row],[Start of Week ]],)</f>
        <v>46069</v>
      </c>
      <c r="AA28" s="142" t="e">
        <f>VLOOKUP(FeedbackFrmFounders[[#This Row],[Venture Name]],#REF!,2,FALSE)</f>
        <v>#REF!</v>
      </c>
      <c r="AB28" s="142" t="e">
        <f>VLOOKUP(FeedbackFrmFounders[[#This Row],[Venture Name]],#REF!,4,FALSE)</f>
        <v>#REF!</v>
      </c>
    </row>
    <row r="29" spans="1:28" ht="16.95" customHeight="1" x14ac:dyDescent="0.3">
      <c r="A29" s="127">
        <v>115039714773</v>
      </c>
      <c r="B29" s="91">
        <v>438067093</v>
      </c>
      <c r="C29" s="162">
        <v>46065.825856481482</v>
      </c>
      <c r="D29" s="85">
        <v>46065.826724537037</v>
      </c>
      <c r="E29" s="92" t="s">
        <v>609</v>
      </c>
      <c r="F29" s="92"/>
      <c r="G29" s="92"/>
      <c r="H29" s="92"/>
      <c r="I29" s="92"/>
      <c r="J29" s="92" t="s">
        <v>534</v>
      </c>
      <c r="K29" s="93" t="s">
        <v>610</v>
      </c>
      <c r="L29" s="98" t="s">
        <v>45</v>
      </c>
      <c r="M29" s="92" t="s">
        <v>505</v>
      </c>
      <c r="N29" s="94">
        <v>9881371770</v>
      </c>
      <c r="O29" s="94"/>
      <c r="P29" s="93" t="s">
        <v>5</v>
      </c>
      <c r="Q29" s="92" t="s">
        <v>375</v>
      </c>
      <c r="R29" s="92" t="s">
        <v>358</v>
      </c>
      <c r="S29" s="92" t="s">
        <v>358</v>
      </c>
      <c r="T29" s="104" t="s">
        <v>611</v>
      </c>
      <c r="U29" s="104"/>
      <c r="V29" s="86"/>
      <c r="W29" s="86"/>
      <c r="X29" s="86" t="s">
        <v>345</v>
      </c>
      <c r="Y29" s="140">
        <f>IF(ISBLANK(FeedbackFrmFounders[[#This Row],[Start Date]]),"",FeedbackFrmFounders[[#This Row],[Start Date]]-WEEKDAY(FeedbackFrmFounders[[#This Row],[Start Date]],2)+1)</f>
        <v>46062.825856481482</v>
      </c>
      <c r="Z29" s="161">
        <f>TRUNC(FeedbackFrmFounders[[#This Row],[Start of Week ]],)</f>
        <v>46062</v>
      </c>
      <c r="AA29" s="142" t="e">
        <f>VLOOKUP(FeedbackFrmFounders[[#This Row],[Venture Name]],#REF!,2,FALSE)</f>
        <v>#REF!</v>
      </c>
      <c r="AB29" s="142" t="e">
        <f>VLOOKUP(FeedbackFrmFounders[[#This Row],[Venture Name]],#REF!,4,FALSE)</f>
        <v>#REF!</v>
      </c>
    </row>
    <row r="30" spans="1:28" ht="16.95" customHeight="1" x14ac:dyDescent="0.3">
      <c r="A30" s="127">
        <v>115034932805</v>
      </c>
      <c r="B30" s="91">
        <v>438067093</v>
      </c>
      <c r="C30" s="162">
        <v>46058.500289351854</v>
      </c>
      <c r="D30" s="85">
        <v>46058.500798611109</v>
      </c>
      <c r="E30" s="92" t="s">
        <v>612</v>
      </c>
      <c r="F30" s="92"/>
      <c r="G30" s="92"/>
      <c r="H30" s="92"/>
      <c r="I30" s="92"/>
      <c r="J30" s="92" t="s">
        <v>534</v>
      </c>
      <c r="K30" s="93" t="s">
        <v>613</v>
      </c>
      <c r="L30" s="98" t="s">
        <v>27</v>
      </c>
      <c r="M30" s="92" t="s">
        <v>303</v>
      </c>
      <c r="N30" s="94">
        <v>9500788980</v>
      </c>
      <c r="O30" s="193"/>
      <c r="P30" s="93" t="s">
        <v>614</v>
      </c>
      <c r="Q30" s="92" t="s">
        <v>355</v>
      </c>
      <c r="R30" s="92" t="s">
        <v>358</v>
      </c>
      <c r="S30" s="92" t="s">
        <v>358</v>
      </c>
      <c r="T30" s="104"/>
      <c r="U30" s="104"/>
      <c r="V30" s="86"/>
      <c r="W30" s="86"/>
      <c r="X30" s="86" t="s">
        <v>358</v>
      </c>
      <c r="Y30" s="140">
        <f>IF(ISBLANK(FeedbackFrmFounders[[#This Row],[Start Date]]),"",FeedbackFrmFounders[[#This Row],[Start Date]]-WEEKDAY(FeedbackFrmFounders[[#This Row],[Start Date]],2)+1)</f>
        <v>46055.500289351854</v>
      </c>
      <c r="Z30" s="161">
        <f>TRUNC(FeedbackFrmFounders[[#This Row],[Start of Week ]],)</f>
        <v>46055</v>
      </c>
      <c r="AA30" s="142" t="e">
        <f>VLOOKUP(FeedbackFrmFounders[[#This Row],[Venture Name]],#REF!,2,FALSE)</f>
        <v>#REF!</v>
      </c>
      <c r="AB30" s="142" t="e">
        <f>VLOOKUP(FeedbackFrmFounders[[#This Row],[Venture Name]],#REF!,4,FALSE)</f>
        <v>#REF!</v>
      </c>
    </row>
    <row r="31" spans="1:28" ht="16.95" customHeight="1" x14ac:dyDescent="0.3">
      <c r="A31" s="127">
        <v>115034142437</v>
      </c>
      <c r="B31" s="91">
        <v>438067093</v>
      </c>
      <c r="C31" s="162">
        <v>46057.454062500001</v>
      </c>
      <c r="D31" s="85">
        <v>46057.454884259256</v>
      </c>
      <c r="E31" s="92" t="s">
        <v>615</v>
      </c>
      <c r="F31" s="92"/>
      <c r="G31" s="92"/>
      <c r="H31" s="92"/>
      <c r="I31" s="92"/>
      <c r="J31" s="92" t="s">
        <v>534</v>
      </c>
      <c r="K31" s="93" t="s">
        <v>616</v>
      </c>
      <c r="L31" s="98" t="s">
        <v>69</v>
      </c>
      <c r="M31" s="92" t="s">
        <v>617</v>
      </c>
      <c r="N31" s="92">
        <v>9881303204</v>
      </c>
      <c r="O31" s="142"/>
      <c r="P31" s="99" t="s">
        <v>5</v>
      </c>
      <c r="Q31" s="92" t="s">
        <v>375</v>
      </c>
      <c r="R31" s="92" t="s">
        <v>358</v>
      </c>
      <c r="S31" s="92" t="s">
        <v>358</v>
      </c>
      <c r="T31" s="104" t="s">
        <v>618</v>
      </c>
      <c r="U31" s="104"/>
      <c r="V31" s="86"/>
      <c r="W31" s="86"/>
      <c r="X31" s="86" t="s">
        <v>358</v>
      </c>
      <c r="Y31" s="140">
        <f>IF(ISBLANK(FeedbackFrmFounders[[#This Row],[Start Date]]),"",FeedbackFrmFounders[[#This Row],[Start Date]]-WEEKDAY(FeedbackFrmFounders[[#This Row],[Start Date]],2)+1)</f>
        <v>46055.454062500001</v>
      </c>
      <c r="Z31" s="161">
        <f>TRUNC(FeedbackFrmFounders[[#This Row],[Start of Week ]],)</f>
        <v>46055</v>
      </c>
      <c r="AA31" s="142" t="e">
        <f>VLOOKUP(FeedbackFrmFounders[[#This Row],[Venture Name]],#REF!,2,FALSE)</f>
        <v>#REF!</v>
      </c>
      <c r="AB31" s="142" t="e">
        <f>VLOOKUP(FeedbackFrmFounders[[#This Row],[Venture Name]],#REF!,4,FALSE)</f>
        <v>#REF!</v>
      </c>
    </row>
    <row r="32" spans="1:28" ht="16.95" customHeight="1" x14ac:dyDescent="0.3">
      <c r="A32" s="127">
        <v>115033423062</v>
      </c>
      <c r="B32" s="91">
        <v>438067093</v>
      </c>
      <c r="C32" s="162">
        <v>46056.495150462964</v>
      </c>
      <c r="D32" s="85">
        <v>46056.511203703703</v>
      </c>
      <c r="E32" s="92" t="s">
        <v>619</v>
      </c>
      <c r="F32" s="92"/>
      <c r="G32" s="92"/>
      <c r="H32" s="92"/>
      <c r="I32" s="92"/>
      <c r="J32" s="92" t="s">
        <v>534</v>
      </c>
      <c r="K32" s="93" t="s">
        <v>620</v>
      </c>
      <c r="L32" s="98" t="s">
        <v>67</v>
      </c>
      <c r="M32" s="92" t="s">
        <v>621</v>
      </c>
      <c r="N32" s="94" t="s">
        <v>622</v>
      </c>
      <c r="O32" s="195"/>
      <c r="P32" s="99" t="s">
        <v>131</v>
      </c>
      <c r="Q32" s="92" t="s">
        <v>355</v>
      </c>
      <c r="R32" s="92" t="s">
        <v>358</v>
      </c>
      <c r="S32" s="92" t="s">
        <v>358</v>
      </c>
      <c r="T32" s="104" t="s">
        <v>623</v>
      </c>
      <c r="U32" s="104"/>
      <c r="V32" s="86"/>
      <c r="W32" s="86"/>
      <c r="X32" s="86" t="s">
        <v>358</v>
      </c>
      <c r="Y32" s="140">
        <f>IF(ISBLANK(FeedbackFrmFounders[[#This Row],[Start Date]]),"",FeedbackFrmFounders[[#This Row],[Start Date]]-WEEKDAY(FeedbackFrmFounders[[#This Row],[Start Date]],2)+1)</f>
        <v>46055.495150462964</v>
      </c>
      <c r="Z32" s="161">
        <f>TRUNC(FeedbackFrmFounders[[#This Row],[Start of Week ]],)</f>
        <v>46055</v>
      </c>
      <c r="AA32" s="142" t="e">
        <f>VLOOKUP(FeedbackFrmFounders[[#This Row],[Venture Name]],#REF!,2,FALSE)</f>
        <v>#REF!</v>
      </c>
      <c r="AB32" s="142" t="e">
        <f>VLOOKUP(FeedbackFrmFounders[[#This Row],[Venture Name]],#REF!,4,FALSE)</f>
        <v>#REF!</v>
      </c>
    </row>
    <row r="33" spans="1:28" ht="16.95" customHeight="1" x14ac:dyDescent="0.3">
      <c r="A33" s="127">
        <v>115030546274</v>
      </c>
      <c r="B33" s="91">
        <v>438067093</v>
      </c>
      <c r="C33" s="162">
        <v>46051.625173611108</v>
      </c>
      <c r="D33" s="85">
        <v>46051.758935185186</v>
      </c>
      <c r="E33" s="92" t="s">
        <v>624</v>
      </c>
      <c r="F33" s="92"/>
      <c r="G33" s="92"/>
      <c r="H33" s="92"/>
      <c r="I33" s="92"/>
      <c r="J33" s="92" t="s">
        <v>534</v>
      </c>
      <c r="K33" s="93" t="s">
        <v>620</v>
      </c>
      <c r="L33" s="98" t="s">
        <v>67</v>
      </c>
      <c r="M33" s="104" t="s">
        <v>621</v>
      </c>
      <c r="N33" s="127" t="s">
        <v>622</v>
      </c>
      <c r="O33" s="140" t="s">
        <v>625</v>
      </c>
      <c r="P33" s="99" t="s">
        <v>131</v>
      </c>
      <c r="Q33" s="92" t="s">
        <v>351</v>
      </c>
      <c r="R33" s="92" t="s">
        <v>350</v>
      </c>
      <c r="S33" s="92" t="s">
        <v>358</v>
      </c>
      <c r="T33" s="104"/>
      <c r="U33" s="104" t="s">
        <v>389</v>
      </c>
      <c r="V33" s="86" t="s">
        <v>390</v>
      </c>
      <c r="W33" s="86" t="s">
        <v>359</v>
      </c>
      <c r="X33" s="86" t="s">
        <v>358</v>
      </c>
      <c r="Y33" s="140">
        <f>IF(ISBLANK(FeedbackFrmFounders[[#This Row],[Start Date]]),"",FeedbackFrmFounders[[#This Row],[Start Date]]-WEEKDAY(FeedbackFrmFounders[[#This Row],[Start Date]],2)+1)</f>
        <v>46048.625173611108</v>
      </c>
      <c r="Z33" s="161">
        <f>TRUNC(FeedbackFrmFounders[[#This Row],[Start of Week ]],)</f>
        <v>46048</v>
      </c>
      <c r="AA33" s="142" t="e">
        <f>VLOOKUP(FeedbackFrmFounders[[#This Row],[Venture Name]],#REF!,2,FALSE)</f>
        <v>#REF!</v>
      </c>
      <c r="AB33" s="142" t="e">
        <f>VLOOKUP(FeedbackFrmFounders[[#This Row],[Venture Name]],#REF!,4,FALSE)</f>
        <v>#REF!</v>
      </c>
    </row>
    <row r="34" spans="1:28" ht="16.95" customHeight="1" x14ac:dyDescent="0.3">
      <c r="A34" s="127">
        <v>115029762864</v>
      </c>
      <c r="B34" s="91">
        <v>438067093</v>
      </c>
      <c r="C34" s="162">
        <v>46050.602569444447</v>
      </c>
      <c r="D34" s="85">
        <v>46050.605023148149</v>
      </c>
      <c r="E34" s="92" t="s">
        <v>626</v>
      </c>
      <c r="F34" s="92"/>
      <c r="G34" s="92"/>
      <c r="H34" s="92"/>
      <c r="I34" s="92"/>
      <c r="J34" s="92" t="s">
        <v>534</v>
      </c>
      <c r="K34" s="93" t="s">
        <v>627</v>
      </c>
      <c r="L34" s="97" t="s">
        <v>21</v>
      </c>
      <c r="M34" s="104" t="s">
        <v>328</v>
      </c>
      <c r="N34" s="94">
        <v>9822020629</v>
      </c>
      <c r="O34" s="193"/>
      <c r="P34" s="93" t="s">
        <v>101</v>
      </c>
      <c r="Q34" s="92" t="s">
        <v>355</v>
      </c>
      <c r="R34" s="92" t="s">
        <v>358</v>
      </c>
      <c r="S34" s="92" t="s">
        <v>358</v>
      </c>
      <c r="T34" s="104" t="s">
        <v>628</v>
      </c>
      <c r="U34" s="104"/>
      <c r="V34" s="86"/>
      <c r="W34" s="86"/>
      <c r="X34" s="86" t="s">
        <v>358</v>
      </c>
      <c r="Y34" s="140">
        <f>IF(ISBLANK(FeedbackFrmFounders[[#This Row],[Start Date]]),"",FeedbackFrmFounders[[#This Row],[Start Date]]-WEEKDAY(FeedbackFrmFounders[[#This Row],[Start Date]],2)+1)</f>
        <v>46048.602569444447</v>
      </c>
      <c r="Z34" s="161">
        <f>TRUNC(FeedbackFrmFounders[[#This Row],[Start of Week ]],)</f>
        <v>46048</v>
      </c>
      <c r="AA34" s="142" t="e">
        <f>VLOOKUP(FeedbackFrmFounders[[#This Row],[Venture Name]],#REF!,2,FALSE)</f>
        <v>#REF!</v>
      </c>
      <c r="AB34" s="142" t="e">
        <f>VLOOKUP(FeedbackFrmFounders[[#This Row],[Venture Name]],#REF!,4,FALSE)</f>
        <v>#REF!</v>
      </c>
    </row>
    <row r="35" spans="1:28" ht="16.95" customHeight="1" x14ac:dyDescent="0.3">
      <c r="A35" s="127">
        <v>115029759318</v>
      </c>
      <c r="B35" s="91">
        <v>438067093</v>
      </c>
      <c r="C35" s="162">
        <v>46050.597442129627</v>
      </c>
      <c r="D35" s="85">
        <v>46050.598287037035</v>
      </c>
      <c r="E35" s="92" t="s">
        <v>629</v>
      </c>
      <c r="F35" s="92"/>
      <c r="G35" s="92"/>
      <c r="H35" s="92"/>
      <c r="I35" s="92"/>
      <c r="J35" s="92" t="s">
        <v>534</v>
      </c>
      <c r="K35" s="93" t="s">
        <v>610</v>
      </c>
      <c r="L35" s="98" t="s">
        <v>45</v>
      </c>
      <c r="M35" s="104" t="s">
        <v>630</v>
      </c>
      <c r="N35" s="94">
        <v>9881371770</v>
      </c>
      <c r="O35" s="195"/>
      <c r="P35" s="99" t="s">
        <v>132</v>
      </c>
      <c r="Q35" s="92" t="s">
        <v>355</v>
      </c>
      <c r="R35" s="92" t="s">
        <v>358</v>
      </c>
      <c r="S35" s="92" t="s">
        <v>358</v>
      </c>
      <c r="T35" s="104" t="s">
        <v>631</v>
      </c>
      <c r="U35" s="104"/>
      <c r="V35" s="86"/>
      <c r="W35" s="86"/>
      <c r="X35" s="86" t="s">
        <v>358</v>
      </c>
      <c r="Y35" s="140">
        <f>IF(ISBLANK(FeedbackFrmFounders[[#This Row],[Start Date]]),"",FeedbackFrmFounders[[#This Row],[Start Date]]-WEEKDAY(FeedbackFrmFounders[[#This Row],[Start Date]],2)+1)</f>
        <v>46048.597442129627</v>
      </c>
      <c r="Z35" s="161">
        <f>TRUNC(FeedbackFrmFounders[[#This Row],[Start of Week ]],)</f>
        <v>46048</v>
      </c>
      <c r="AA35" s="142" t="e">
        <f>VLOOKUP(FeedbackFrmFounders[[#This Row],[Venture Name]],#REF!,2,FALSE)</f>
        <v>#REF!</v>
      </c>
      <c r="AB35" s="142" t="e">
        <f>VLOOKUP(FeedbackFrmFounders[[#This Row],[Venture Name]],#REF!,4,FALSE)</f>
        <v>#REF!</v>
      </c>
    </row>
    <row r="36" spans="1:28" ht="16.95" customHeight="1" x14ac:dyDescent="0.3">
      <c r="A36" s="127">
        <v>115029736543</v>
      </c>
      <c r="B36" s="91">
        <v>438067093</v>
      </c>
      <c r="C36" s="162">
        <v>46050.547002314815</v>
      </c>
      <c r="D36" s="85">
        <v>46050.549120370371</v>
      </c>
      <c r="E36" s="92" t="s">
        <v>632</v>
      </c>
      <c r="F36" s="92"/>
      <c r="G36" s="92"/>
      <c r="H36" s="92"/>
      <c r="I36" s="92"/>
      <c r="J36" s="92" t="s">
        <v>534</v>
      </c>
      <c r="K36" s="93" t="s">
        <v>633</v>
      </c>
      <c r="L36" s="158" t="s">
        <v>8</v>
      </c>
      <c r="M36" s="104" t="s">
        <v>634</v>
      </c>
      <c r="N36" s="94">
        <v>9873545857</v>
      </c>
      <c r="O36" s="141"/>
      <c r="P36" s="99" t="s">
        <v>84</v>
      </c>
      <c r="Q36" s="92" t="s">
        <v>375</v>
      </c>
      <c r="R36" s="92" t="s">
        <v>358</v>
      </c>
      <c r="S36" s="92" t="s">
        <v>358</v>
      </c>
      <c r="T36" s="104" t="s">
        <v>635</v>
      </c>
      <c r="U36" s="104"/>
      <c r="V36" s="86"/>
      <c r="W36" s="86"/>
      <c r="X36" s="86" t="s">
        <v>358</v>
      </c>
      <c r="Y36" s="140">
        <f>IF(ISBLANK(FeedbackFrmFounders[[#This Row],[Start Date]]),"",FeedbackFrmFounders[[#This Row],[Start Date]]-WEEKDAY(FeedbackFrmFounders[[#This Row],[Start Date]],2)+1)</f>
        <v>46048.547002314815</v>
      </c>
      <c r="Z36" s="161">
        <f>TRUNC(FeedbackFrmFounders[[#This Row],[Start of Week ]],)</f>
        <v>46048</v>
      </c>
      <c r="AA36" s="142" t="e">
        <f>VLOOKUP(FeedbackFrmFounders[[#This Row],[Venture Name]],#REF!,2,FALSE)</f>
        <v>#REF!</v>
      </c>
      <c r="AB36" s="142" t="e">
        <f>VLOOKUP(FeedbackFrmFounders[[#This Row],[Venture Name]],#REF!,4,FALSE)</f>
        <v>#REF!</v>
      </c>
    </row>
    <row r="37" spans="1:28" ht="16.95" customHeight="1" x14ac:dyDescent="0.3">
      <c r="A37" s="127">
        <v>115029735861</v>
      </c>
      <c r="B37" s="94">
        <v>438067093</v>
      </c>
      <c r="C37" s="162">
        <v>46050.539594907408</v>
      </c>
      <c r="D37" s="85">
        <v>46050.547476851854</v>
      </c>
      <c r="E37" s="92" t="s">
        <v>636</v>
      </c>
      <c r="F37" s="92"/>
      <c r="G37" s="92"/>
      <c r="H37" s="92"/>
      <c r="I37" s="92"/>
      <c r="J37" s="92" t="s">
        <v>534</v>
      </c>
      <c r="K37" s="93" t="s">
        <v>205</v>
      </c>
      <c r="L37" s="93" t="s">
        <v>23</v>
      </c>
      <c r="M37" s="104" t="s">
        <v>206</v>
      </c>
      <c r="N37" s="94">
        <v>8149993555</v>
      </c>
      <c r="O37" s="193"/>
      <c r="P37" s="93" t="s">
        <v>93</v>
      </c>
      <c r="Q37" s="92" t="s">
        <v>355</v>
      </c>
      <c r="R37" s="92" t="s">
        <v>358</v>
      </c>
      <c r="S37" s="92" t="s">
        <v>358</v>
      </c>
      <c r="T37" s="104" t="s">
        <v>637</v>
      </c>
      <c r="U37" s="104"/>
      <c r="V37" s="86"/>
      <c r="W37" s="86"/>
      <c r="X37" s="86" t="s">
        <v>358</v>
      </c>
      <c r="Y37" s="140">
        <f>IF(ISBLANK(FeedbackFrmFounders[[#This Row],[Start Date]]),"",FeedbackFrmFounders[[#This Row],[Start Date]]-WEEKDAY(FeedbackFrmFounders[[#This Row],[Start Date]],2)+1)</f>
        <v>46048.539594907408</v>
      </c>
      <c r="Z37" s="161">
        <f>TRUNC(FeedbackFrmFounders[[#This Row],[Start of Week ]],)</f>
        <v>46048</v>
      </c>
      <c r="AA37" s="142" t="e">
        <f>VLOOKUP(FeedbackFrmFounders[[#This Row],[Venture Name]],#REF!,2,FALSE)</f>
        <v>#REF!</v>
      </c>
      <c r="AB37" s="142" t="e">
        <f>VLOOKUP(FeedbackFrmFounders[[#This Row],[Venture Name]],#REF!,4,FALSE)</f>
        <v>#REF!</v>
      </c>
    </row>
    <row r="38" spans="1:28" ht="16.95" customHeight="1" x14ac:dyDescent="0.3">
      <c r="A38" s="127">
        <v>115029732350</v>
      </c>
      <c r="B38" s="94">
        <v>438067093</v>
      </c>
      <c r="C38" s="162">
        <v>46050.537662037037</v>
      </c>
      <c r="D38" s="85">
        <v>46050.539502314816</v>
      </c>
      <c r="E38" s="92" t="s">
        <v>636</v>
      </c>
      <c r="F38" s="92"/>
      <c r="G38" s="92"/>
      <c r="H38" s="92"/>
      <c r="I38" s="92"/>
      <c r="J38" s="92" t="s">
        <v>534</v>
      </c>
      <c r="K38" s="93" t="s">
        <v>205</v>
      </c>
      <c r="L38" s="93" t="s">
        <v>23</v>
      </c>
      <c r="M38" s="104" t="s">
        <v>206</v>
      </c>
      <c r="N38" s="94">
        <v>8149993555</v>
      </c>
      <c r="O38" s="193"/>
      <c r="P38" s="93" t="s">
        <v>85</v>
      </c>
      <c r="Q38" s="92" t="s">
        <v>355</v>
      </c>
      <c r="R38" s="92" t="s">
        <v>358</v>
      </c>
      <c r="S38" s="92" t="s">
        <v>358</v>
      </c>
      <c r="T38" s="104" t="s">
        <v>638</v>
      </c>
      <c r="U38" s="104"/>
      <c r="V38" s="86"/>
      <c r="W38" s="86"/>
      <c r="X38" s="86" t="s">
        <v>358</v>
      </c>
      <c r="Y38" s="140">
        <f>IF(ISBLANK(FeedbackFrmFounders[[#This Row],[Start Date]]),"",FeedbackFrmFounders[[#This Row],[Start Date]]-WEEKDAY(FeedbackFrmFounders[[#This Row],[Start Date]],2)+1)</f>
        <v>46048.537662037037</v>
      </c>
      <c r="Z38" s="161">
        <f>TRUNC(FeedbackFrmFounders[[#This Row],[Start of Week ]],)</f>
        <v>46048</v>
      </c>
      <c r="AA38" s="142" t="e">
        <f>VLOOKUP(FeedbackFrmFounders[[#This Row],[Venture Name]],#REF!,2,FALSE)</f>
        <v>#REF!</v>
      </c>
      <c r="AB38" s="142" t="e">
        <f>VLOOKUP(FeedbackFrmFounders[[#This Row],[Venture Name]],#REF!,4,FALSE)</f>
        <v>#REF!</v>
      </c>
    </row>
    <row r="39" spans="1:28" ht="16.95" customHeight="1" x14ac:dyDescent="0.3">
      <c r="A39" s="127">
        <v>115029727801</v>
      </c>
      <c r="B39" s="94">
        <v>438067093</v>
      </c>
      <c r="C39" s="162">
        <v>46050.488738425927</v>
      </c>
      <c r="D39" s="85">
        <v>46050.528310185182</v>
      </c>
      <c r="E39" s="92" t="s">
        <v>636</v>
      </c>
      <c r="F39" s="92"/>
      <c r="G39" s="92"/>
      <c r="H39" s="92"/>
      <c r="I39" s="92"/>
      <c r="J39" s="92" t="s">
        <v>534</v>
      </c>
      <c r="K39" s="93" t="s">
        <v>311</v>
      </c>
      <c r="L39" s="93" t="s">
        <v>4</v>
      </c>
      <c r="M39" s="104" t="s">
        <v>312</v>
      </c>
      <c r="N39" s="92">
        <v>94</v>
      </c>
      <c r="O39" s="86"/>
      <c r="P39" s="93" t="s">
        <v>6</v>
      </c>
      <c r="Q39" s="92" t="s">
        <v>355</v>
      </c>
      <c r="R39" s="92" t="s">
        <v>358</v>
      </c>
      <c r="S39" s="92" t="s">
        <v>345</v>
      </c>
      <c r="T39" s="104" t="s">
        <v>639</v>
      </c>
      <c r="U39" s="104"/>
      <c r="V39" s="86"/>
      <c r="W39" s="86"/>
      <c r="X39" s="86" t="s">
        <v>358</v>
      </c>
      <c r="Y39" s="140">
        <f>IF(ISBLANK(FeedbackFrmFounders[[#This Row],[Start Date]]),"",FeedbackFrmFounders[[#This Row],[Start Date]]-WEEKDAY(FeedbackFrmFounders[[#This Row],[Start Date]],2)+1)</f>
        <v>46048.488738425927</v>
      </c>
      <c r="Z39" s="161">
        <f>TRUNC(FeedbackFrmFounders[[#This Row],[Start of Week ]],)</f>
        <v>46048</v>
      </c>
      <c r="AA39" s="142" t="e">
        <f>VLOOKUP(FeedbackFrmFounders[[#This Row],[Venture Name]],#REF!,2,FALSE)</f>
        <v>#REF!</v>
      </c>
      <c r="AB39" s="142" t="e">
        <f>VLOOKUP(FeedbackFrmFounders[[#This Row],[Venture Name]],#REF!,4,FALSE)</f>
        <v>#REF!</v>
      </c>
    </row>
    <row r="40" spans="1:28" ht="16.95" customHeight="1" x14ac:dyDescent="0.3">
      <c r="A40" s="127">
        <v>115029724214</v>
      </c>
      <c r="B40" s="94">
        <v>438067093</v>
      </c>
      <c r="C40" s="162">
        <v>46050.518831018519</v>
      </c>
      <c r="D40" s="85">
        <v>46050.520173611112</v>
      </c>
      <c r="E40" s="92" t="s">
        <v>640</v>
      </c>
      <c r="F40" s="92"/>
      <c r="G40" s="92"/>
      <c r="H40" s="92"/>
      <c r="I40" s="92"/>
      <c r="J40" s="92" t="s">
        <v>534</v>
      </c>
      <c r="K40" s="93" t="s">
        <v>641</v>
      </c>
      <c r="L40" s="93" t="s">
        <v>22</v>
      </c>
      <c r="M40" s="104" t="s">
        <v>151</v>
      </c>
      <c r="N40" s="94">
        <v>9881472945</v>
      </c>
      <c r="O40" s="193"/>
      <c r="P40" s="93" t="s">
        <v>5</v>
      </c>
      <c r="Q40" s="92" t="s">
        <v>355</v>
      </c>
      <c r="R40" s="92" t="s">
        <v>358</v>
      </c>
      <c r="S40" s="92" t="s">
        <v>358</v>
      </c>
      <c r="T40" s="104" t="s">
        <v>642</v>
      </c>
      <c r="U40" s="104"/>
      <c r="V40" s="86"/>
      <c r="W40" s="86"/>
      <c r="X40" s="86" t="s">
        <v>345</v>
      </c>
      <c r="Y40" s="140">
        <f>IF(ISBLANK(FeedbackFrmFounders[[#This Row],[Start Date]]),"",FeedbackFrmFounders[[#This Row],[Start Date]]-WEEKDAY(FeedbackFrmFounders[[#This Row],[Start Date]],2)+1)</f>
        <v>46048.518831018519</v>
      </c>
      <c r="Z40" s="161">
        <f>TRUNC(FeedbackFrmFounders[[#This Row],[Start of Week ]],)</f>
        <v>46048</v>
      </c>
      <c r="AA40" s="142" t="e">
        <f>VLOOKUP(FeedbackFrmFounders[[#This Row],[Venture Name]],#REF!,2,FALSE)</f>
        <v>#REF!</v>
      </c>
      <c r="AB40" s="142" t="e">
        <f>VLOOKUP(FeedbackFrmFounders[[#This Row],[Venture Name]],#REF!,4,FALSE)</f>
        <v>#REF!</v>
      </c>
    </row>
    <row r="41" spans="1:28" ht="16.95" customHeight="1" x14ac:dyDescent="0.3">
      <c r="A41" s="127">
        <v>115029714292</v>
      </c>
      <c r="B41" s="94">
        <v>438067093</v>
      </c>
      <c r="C41" s="162">
        <v>46050.474722222221</v>
      </c>
      <c r="D41" s="85">
        <v>46050.495023148149</v>
      </c>
      <c r="E41" s="92" t="s">
        <v>636</v>
      </c>
      <c r="F41" s="92"/>
      <c r="G41" s="92"/>
      <c r="H41" s="92"/>
      <c r="I41" s="92"/>
      <c r="J41" s="92" t="s">
        <v>534</v>
      </c>
      <c r="K41" s="93" t="s">
        <v>311</v>
      </c>
      <c r="L41" s="93" t="s">
        <v>4</v>
      </c>
      <c r="M41" s="104" t="s">
        <v>312</v>
      </c>
      <c r="N41" s="94">
        <v>9409611194</v>
      </c>
      <c r="O41" s="193"/>
      <c r="P41" s="93" t="s">
        <v>7</v>
      </c>
      <c r="Q41" s="92" t="s">
        <v>355</v>
      </c>
      <c r="R41" s="92" t="s">
        <v>358</v>
      </c>
      <c r="S41" s="92" t="s">
        <v>345</v>
      </c>
      <c r="T41" s="104" t="s">
        <v>643</v>
      </c>
      <c r="U41" s="104"/>
      <c r="V41" s="86"/>
      <c r="W41" s="86"/>
      <c r="X41" s="86" t="s">
        <v>345</v>
      </c>
      <c r="Y41" s="140">
        <f>IF(ISBLANK(FeedbackFrmFounders[[#This Row],[Start Date]]),"",FeedbackFrmFounders[[#This Row],[Start Date]]-WEEKDAY(FeedbackFrmFounders[[#This Row],[Start Date]],2)+1)</f>
        <v>46048.474722222221</v>
      </c>
      <c r="Z41" s="161">
        <f>TRUNC(FeedbackFrmFounders[[#This Row],[Start of Week ]],)</f>
        <v>46048</v>
      </c>
      <c r="AA41" s="142" t="e">
        <f>VLOOKUP(FeedbackFrmFounders[[#This Row],[Venture Name]],#REF!,2,FALSE)</f>
        <v>#REF!</v>
      </c>
      <c r="AB41" s="142" t="e">
        <f>VLOOKUP(FeedbackFrmFounders[[#This Row],[Venture Name]],#REF!,4,FALSE)</f>
        <v>#REF!</v>
      </c>
    </row>
    <row r="42" spans="1:28" ht="16.95" customHeight="1" x14ac:dyDescent="0.3">
      <c r="A42" s="127">
        <v>115029714002</v>
      </c>
      <c r="B42" s="94">
        <v>438067093</v>
      </c>
      <c r="C42" s="162">
        <v>46050.491770833331</v>
      </c>
      <c r="D42" s="85">
        <v>46050.494131944448</v>
      </c>
      <c r="E42" s="92" t="s">
        <v>636</v>
      </c>
      <c r="F42" s="92"/>
      <c r="G42" s="92"/>
      <c r="H42" s="92"/>
      <c r="I42" s="92"/>
      <c r="J42" s="92" t="s">
        <v>534</v>
      </c>
      <c r="K42" s="93" t="s">
        <v>644</v>
      </c>
      <c r="L42" s="98" t="s">
        <v>31</v>
      </c>
      <c r="M42" s="104" t="s">
        <v>310</v>
      </c>
      <c r="N42" s="92">
        <v>8511100751</v>
      </c>
      <c r="O42" s="86"/>
      <c r="P42" s="93" t="s">
        <v>110</v>
      </c>
      <c r="Q42" s="92" t="s">
        <v>355</v>
      </c>
      <c r="R42" s="92" t="s">
        <v>358</v>
      </c>
      <c r="S42" s="92" t="s">
        <v>358</v>
      </c>
      <c r="T42" s="104" t="s">
        <v>645</v>
      </c>
      <c r="U42" s="104"/>
      <c r="V42" s="86"/>
      <c r="W42" s="86"/>
      <c r="X42" s="86" t="s">
        <v>358</v>
      </c>
      <c r="Y42" s="140">
        <f>IF(ISBLANK(FeedbackFrmFounders[[#This Row],[Start Date]]),"",FeedbackFrmFounders[[#This Row],[Start Date]]-WEEKDAY(FeedbackFrmFounders[[#This Row],[Start Date]],2)+1)</f>
        <v>46048.491770833331</v>
      </c>
      <c r="Z42" s="161">
        <f>TRUNC(FeedbackFrmFounders[[#This Row],[Start of Week ]],)</f>
        <v>46048</v>
      </c>
      <c r="AA42" s="142" t="e">
        <f>VLOOKUP(FeedbackFrmFounders[[#This Row],[Venture Name]],#REF!,2,FALSE)</f>
        <v>#REF!</v>
      </c>
      <c r="AB42" s="142" t="e">
        <f>VLOOKUP(FeedbackFrmFounders[[#This Row],[Venture Name]],#REF!,4,FALSE)</f>
        <v>#REF!</v>
      </c>
    </row>
    <row r="43" spans="1:28" ht="16.95" customHeight="1" x14ac:dyDescent="0.3">
      <c r="A43" s="127">
        <v>115029706380</v>
      </c>
      <c r="B43" s="94">
        <v>438067093</v>
      </c>
      <c r="C43" s="162">
        <v>46050.466597222221</v>
      </c>
      <c r="D43" s="85">
        <v>46050.474618055552</v>
      </c>
      <c r="E43" s="92" t="s">
        <v>636</v>
      </c>
      <c r="F43" s="92"/>
      <c r="G43" s="92"/>
      <c r="H43" s="92"/>
      <c r="I43" s="92"/>
      <c r="J43" s="92" t="s">
        <v>534</v>
      </c>
      <c r="K43" s="93" t="s">
        <v>481</v>
      </c>
      <c r="L43" s="98" t="s">
        <v>36</v>
      </c>
      <c r="M43" s="104" t="s">
        <v>482</v>
      </c>
      <c r="N43" s="127">
        <v>8789731953</v>
      </c>
      <c r="O43" s="191" t="s">
        <v>646</v>
      </c>
      <c r="P43" s="93" t="s">
        <v>94</v>
      </c>
      <c r="Q43" s="92" t="s">
        <v>355</v>
      </c>
      <c r="R43" s="92" t="s">
        <v>350</v>
      </c>
      <c r="S43" s="92" t="s">
        <v>345</v>
      </c>
      <c r="T43" s="104" t="s">
        <v>647</v>
      </c>
      <c r="U43" s="104" t="s">
        <v>372</v>
      </c>
      <c r="V43" s="86" t="s">
        <v>367</v>
      </c>
      <c r="W43" s="86" t="s">
        <v>359</v>
      </c>
      <c r="X43" s="86" t="s">
        <v>345</v>
      </c>
      <c r="Y43" s="140">
        <f>IF(ISBLANK(FeedbackFrmFounders[[#This Row],[Start Date]]),"",FeedbackFrmFounders[[#This Row],[Start Date]]-WEEKDAY(FeedbackFrmFounders[[#This Row],[Start Date]],2)+1)</f>
        <v>46048.466597222221</v>
      </c>
      <c r="Z43" s="161">
        <f>TRUNC(FeedbackFrmFounders[[#This Row],[Start of Week ]],)</f>
        <v>46048</v>
      </c>
      <c r="AA43" s="142" t="e">
        <f>VLOOKUP(FeedbackFrmFounders[[#This Row],[Venture Name]],#REF!,2,FALSE)</f>
        <v>#REF!</v>
      </c>
      <c r="AB43" s="142" t="e">
        <f>VLOOKUP(FeedbackFrmFounders[[#This Row],[Venture Name]],#REF!,4,FALSE)</f>
        <v>#REF!</v>
      </c>
    </row>
    <row r="44" spans="1:28" ht="16.95" customHeight="1" x14ac:dyDescent="0.3">
      <c r="A44" s="127">
        <v>115029703375</v>
      </c>
      <c r="B44" s="94">
        <v>438067093</v>
      </c>
      <c r="C44" s="162">
        <v>46050.45894675926</v>
      </c>
      <c r="D44" s="85">
        <v>46050.466527777775</v>
      </c>
      <c r="E44" s="92" t="s">
        <v>636</v>
      </c>
      <c r="F44" s="92"/>
      <c r="G44" s="92"/>
      <c r="H44" s="92"/>
      <c r="I44" s="92"/>
      <c r="J44" s="92" t="s">
        <v>534</v>
      </c>
      <c r="K44" s="93" t="s">
        <v>454</v>
      </c>
      <c r="L44" s="98" t="s">
        <v>43</v>
      </c>
      <c r="M44" s="104" t="s">
        <v>455</v>
      </c>
      <c r="N44" s="94">
        <v>9923777020</v>
      </c>
      <c r="O44" s="94"/>
      <c r="P44" s="93" t="s">
        <v>5</v>
      </c>
      <c r="Q44" s="92" t="s">
        <v>375</v>
      </c>
      <c r="R44" s="92" t="s">
        <v>358</v>
      </c>
      <c r="S44" s="92" t="s">
        <v>358</v>
      </c>
      <c r="T44" s="104" t="s">
        <v>648</v>
      </c>
      <c r="U44" s="104"/>
      <c r="V44" s="86"/>
      <c r="W44" s="86"/>
      <c r="X44" s="86" t="s">
        <v>345</v>
      </c>
      <c r="Y44" s="140">
        <f>IF(ISBLANK(FeedbackFrmFounders[[#This Row],[Start Date]]),"",FeedbackFrmFounders[[#This Row],[Start Date]]-WEEKDAY(FeedbackFrmFounders[[#This Row],[Start Date]],2)+1)</f>
        <v>46048.45894675926</v>
      </c>
      <c r="Z44" s="161">
        <f>TRUNC(FeedbackFrmFounders[[#This Row],[Start of Week ]],)</f>
        <v>46048</v>
      </c>
      <c r="AA44" s="142" t="e">
        <f>VLOOKUP(FeedbackFrmFounders[[#This Row],[Venture Name]],#REF!,2,FALSE)</f>
        <v>#REF!</v>
      </c>
      <c r="AB44" s="142" t="e">
        <f>VLOOKUP(FeedbackFrmFounders[[#This Row],[Venture Name]],#REF!,4,FALSE)</f>
        <v>#REF!</v>
      </c>
    </row>
    <row r="45" spans="1:28" ht="16.95" customHeight="1" x14ac:dyDescent="0.3">
      <c r="A45" s="127">
        <v>115025883593</v>
      </c>
      <c r="B45" s="94">
        <v>438067093</v>
      </c>
      <c r="C45" s="162">
        <v>46044.747037037036</v>
      </c>
      <c r="D45" s="85">
        <v>46044.750787037039</v>
      </c>
      <c r="E45" s="92" t="s">
        <v>649</v>
      </c>
      <c r="F45" s="92"/>
      <c r="G45" s="92"/>
      <c r="H45" s="92"/>
      <c r="I45" s="92"/>
      <c r="J45" s="92" t="s">
        <v>534</v>
      </c>
      <c r="K45" s="93" t="s">
        <v>302</v>
      </c>
      <c r="L45" s="98" t="s">
        <v>27</v>
      </c>
      <c r="M45" s="104" t="s">
        <v>303</v>
      </c>
      <c r="N45" s="127">
        <v>9500788980</v>
      </c>
      <c r="O45" s="191" t="s">
        <v>384</v>
      </c>
      <c r="P45" s="93" t="s">
        <v>100</v>
      </c>
      <c r="Q45" s="92" t="s">
        <v>355</v>
      </c>
      <c r="R45" s="92" t="s">
        <v>350</v>
      </c>
      <c r="S45" s="92" t="s">
        <v>345</v>
      </c>
      <c r="T45" s="104" t="s">
        <v>650</v>
      </c>
      <c r="U45" s="104" t="s">
        <v>385</v>
      </c>
      <c r="V45" s="86" t="s">
        <v>561</v>
      </c>
      <c r="W45" s="86" t="s">
        <v>359</v>
      </c>
      <c r="X45" s="86" t="s">
        <v>358</v>
      </c>
      <c r="Y45" s="140">
        <f>IF(ISBLANK(FeedbackFrmFounders[[#This Row],[Start Date]]),"",FeedbackFrmFounders[[#This Row],[Start Date]]-WEEKDAY(FeedbackFrmFounders[[#This Row],[Start Date]],2)+1)</f>
        <v>46041.747037037036</v>
      </c>
      <c r="Z45" s="161">
        <f>TRUNC(FeedbackFrmFounders[[#This Row],[Start of Week ]],)</f>
        <v>46041</v>
      </c>
      <c r="AA45" s="142" t="e">
        <f>VLOOKUP(FeedbackFrmFounders[[#This Row],[Venture Name]],#REF!,2,FALSE)</f>
        <v>#REF!</v>
      </c>
      <c r="AB45" s="142" t="e">
        <f>VLOOKUP(FeedbackFrmFounders[[#This Row],[Venture Name]],#REF!,4,FALSE)</f>
        <v>#REF!</v>
      </c>
    </row>
    <row r="46" spans="1:28" ht="16.95" customHeight="1" x14ac:dyDescent="0.3">
      <c r="A46" s="127">
        <v>115025880088</v>
      </c>
      <c r="B46" s="94">
        <v>438067093</v>
      </c>
      <c r="C46" s="162">
        <v>46044.744664351849</v>
      </c>
      <c r="D46" s="85">
        <v>46044.746099537035</v>
      </c>
      <c r="E46" s="92" t="s">
        <v>649</v>
      </c>
      <c r="F46" s="92"/>
      <c r="G46" s="92"/>
      <c r="H46" s="92"/>
      <c r="I46" s="92"/>
      <c r="J46" s="92" t="s">
        <v>534</v>
      </c>
      <c r="K46" s="93" t="s">
        <v>495</v>
      </c>
      <c r="L46" s="104" t="s">
        <v>65</v>
      </c>
      <c r="M46" s="104" t="s">
        <v>496</v>
      </c>
      <c r="N46" s="94">
        <v>7623072273</v>
      </c>
      <c r="O46" s="193"/>
      <c r="P46" s="93" t="s">
        <v>575</v>
      </c>
      <c r="Q46" s="92" t="s">
        <v>355</v>
      </c>
      <c r="R46" s="92" t="s">
        <v>358</v>
      </c>
      <c r="S46" s="92" t="s">
        <v>345</v>
      </c>
      <c r="T46" s="104" t="s">
        <v>651</v>
      </c>
      <c r="U46" s="104"/>
      <c r="V46" s="86"/>
      <c r="W46" s="86"/>
      <c r="X46" s="86" t="s">
        <v>358</v>
      </c>
      <c r="Y46" s="140">
        <f>IF(ISBLANK(FeedbackFrmFounders[[#This Row],[Start Date]]),"",FeedbackFrmFounders[[#This Row],[Start Date]]-WEEKDAY(FeedbackFrmFounders[[#This Row],[Start Date]],2)+1)</f>
        <v>46041.744664351849</v>
      </c>
      <c r="Z46" s="161">
        <f>TRUNC(FeedbackFrmFounders[[#This Row],[Start of Week ]],)</f>
        <v>46041</v>
      </c>
      <c r="AA46" s="142" t="e">
        <f>VLOOKUP(FeedbackFrmFounders[[#This Row],[Venture Name]],#REF!,2,FALSE)</f>
        <v>#REF!</v>
      </c>
      <c r="AB46" s="142" t="e">
        <f>VLOOKUP(FeedbackFrmFounders[[#This Row],[Venture Name]],#REF!,4,FALSE)</f>
        <v>#REF!</v>
      </c>
    </row>
    <row r="47" spans="1:28" ht="16.95" customHeight="1" x14ac:dyDescent="0.3">
      <c r="A47" s="127">
        <v>115025861257</v>
      </c>
      <c r="B47" s="94">
        <v>438067093</v>
      </c>
      <c r="C47" s="162">
        <v>46044.716168981482</v>
      </c>
      <c r="D47" s="85">
        <v>46044.718240740738</v>
      </c>
      <c r="E47" s="92" t="s">
        <v>649</v>
      </c>
      <c r="F47" s="92"/>
      <c r="G47" s="92"/>
      <c r="H47" s="92"/>
      <c r="I47" s="92"/>
      <c r="J47" s="92" t="s">
        <v>534</v>
      </c>
      <c r="K47" s="93" t="s">
        <v>327</v>
      </c>
      <c r="L47" s="97" t="s">
        <v>21</v>
      </c>
      <c r="M47" s="104" t="s">
        <v>328</v>
      </c>
      <c r="N47" s="94" t="s">
        <v>450</v>
      </c>
      <c r="O47" s="195"/>
      <c r="P47" s="99" t="s">
        <v>102</v>
      </c>
      <c r="Q47" s="92" t="s">
        <v>355</v>
      </c>
      <c r="R47" s="92" t="s">
        <v>358</v>
      </c>
      <c r="S47" s="92" t="s">
        <v>358</v>
      </c>
      <c r="T47" s="104" t="s">
        <v>652</v>
      </c>
      <c r="U47" s="104"/>
      <c r="V47" s="86"/>
      <c r="W47" s="86"/>
      <c r="X47" s="86" t="s">
        <v>358</v>
      </c>
      <c r="Y47" s="140">
        <f>IF(ISBLANK(FeedbackFrmFounders[[#This Row],[Start Date]]),"",FeedbackFrmFounders[[#This Row],[Start Date]]-WEEKDAY(FeedbackFrmFounders[[#This Row],[Start Date]],2)+1)</f>
        <v>46041.716168981482</v>
      </c>
      <c r="Z47" s="161">
        <f>TRUNC(FeedbackFrmFounders[[#This Row],[Start of Week ]],)</f>
        <v>46041</v>
      </c>
      <c r="AA47" s="142" t="e">
        <f>VLOOKUP(FeedbackFrmFounders[[#This Row],[Venture Name]],#REF!,2,FALSE)</f>
        <v>#REF!</v>
      </c>
      <c r="AB47" s="142" t="e">
        <f>VLOOKUP(FeedbackFrmFounders[[#This Row],[Venture Name]],#REF!,4,FALSE)</f>
        <v>#REF!</v>
      </c>
    </row>
    <row r="48" spans="1:28" ht="16.95" customHeight="1" x14ac:dyDescent="0.3">
      <c r="A48" s="127">
        <v>115024940419</v>
      </c>
      <c r="B48" s="94">
        <v>438067093</v>
      </c>
      <c r="C48" s="162">
        <v>46043.52375</v>
      </c>
      <c r="D48" s="85">
        <v>46043.524085648147</v>
      </c>
      <c r="E48" s="92" t="s">
        <v>653</v>
      </c>
      <c r="F48" s="92"/>
      <c r="G48" s="92"/>
      <c r="H48" s="92"/>
      <c r="I48" s="92"/>
      <c r="J48" s="92" t="s">
        <v>534</v>
      </c>
      <c r="K48" s="93" t="s">
        <v>654</v>
      </c>
      <c r="L48" s="93" t="s">
        <v>25</v>
      </c>
      <c r="M48" s="104" t="s">
        <v>473</v>
      </c>
      <c r="N48" s="127">
        <v>9998969892</v>
      </c>
      <c r="O48" s="143" t="s">
        <v>421</v>
      </c>
      <c r="P48" s="101" t="s">
        <v>121</v>
      </c>
      <c r="Q48" s="92" t="s">
        <v>351</v>
      </c>
      <c r="R48" s="92" t="s">
        <v>350</v>
      </c>
      <c r="S48" s="92" t="s">
        <v>358</v>
      </c>
      <c r="T48" s="104"/>
      <c r="U48" s="104" t="s">
        <v>655</v>
      </c>
      <c r="V48" s="86" t="s">
        <v>357</v>
      </c>
      <c r="W48" s="86" t="s">
        <v>359</v>
      </c>
      <c r="X48" s="86" t="s">
        <v>358</v>
      </c>
      <c r="Y48" s="140">
        <f>IF(ISBLANK(FeedbackFrmFounders[[#This Row],[Start Date]]),"",FeedbackFrmFounders[[#This Row],[Start Date]]-WEEKDAY(FeedbackFrmFounders[[#This Row],[Start Date]],2)+1)</f>
        <v>46041.52375</v>
      </c>
      <c r="Z48" s="161">
        <f>TRUNC(FeedbackFrmFounders[[#This Row],[Start of Week ]],)</f>
        <v>46041</v>
      </c>
      <c r="AA48" s="142" t="e">
        <f>VLOOKUP(FeedbackFrmFounders[[#This Row],[Venture Name]],#REF!,2,FALSE)</f>
        <v>#REF!</v>
      </c>
      <c r="AB48" s="142" t="e">
        <f>VLOOKUP(FeedbackFrmFounders[[#This Row],[Venture Name]],#REF!,4,FALSE)</f>
        <v>#REF!</v>
      </c>
    </row>
    <row r="49" spans="1:28" ht="16.95" customHeight="1" x14ac:dyDescent="0.3">
      <c r="A49" s="127">
        <v>115024937956</v>
      </c>
      <c r="B49" s="94">
        <v>438067093</v>
      </c>
      <c r="C49" s="162">
        <v>46043.51053240741</v>
      </c>
      <c r="D49" s="85">
        <v>46043.519328703704</v>
      </c>
      <c r="E49" s="92" t="s">
        <v>649</v>
      </c>
      <c r="F49" s="92"/>
      <c r="G49" s="92"/>
      <c r="H49" s="92"/>
      <c r="I49" s="92"/>
      <c r="J49" s="92" t="s">
        <v>534</v>
      </c>
      <c r="K49" s="93" t="s">
        <v>314</v>
      </c>
      <c r="L49" s="93" t="s">
        <v>26</v>
      </c>
      <c r="M49" s="104" t="s">
        <v>315</v>
      </c>
      <c r="N49" s="127">
        <v>9444796926</v>
      </c>
      <c r="O49" s="191" t="s">
        <v>382</v>
      </c>
      <c r="P49" s="93" t="s">
        <v>88</v>
      </c>
      <c r="Q49" s="92" t="s">
        <v>346</v>
      </c>
      <c r="R49" s="92" t="s">
        <v>345</v>
      </c>
      <c r="S49" s="92" t="s">
        <v>345</v>
      </c>
      <c r="T49" s="104" t="s">
        <v>656</v>
      </c>
      <c r="U49" s="104" t="s">
        <v>887</v>
      </c>
      <c r="V49" s="86" t="s">
        <v>357</v>
      </c>
      <c r="W49" s="86" t="s">
        <v>359</v>
      </c>
      <c r="X49" s="86" t="s">
        <v>345</v>
      </c>
      <c r="Y49" s="140">
        <f>IF(ISBLANK(FeedbackFrmFounders[[#This Row],[Start Date]]),"",FeedbackFrmFounders[[#This Row],[Start Date]]-WEEKDAY(FeedbackFrmFounders[[#This Row],[Start Date]],2)+1)</f>
        <v>46041.51053240741</v>
      </c>
      <c r="Z49" s="161">
        <f>TRUNC(FeedbackFrmFounders[[#This Row],[Start of Week ]],)</f>
        <v>46041</v>
      </c>
      <c r="AA49" s="142" t="e">
        <f>VLOOKUP(FeedbackFrmFounders[[#This Row],[Venture Name]],#REF!,2,FALSE)</f>
        <v>#REF!</v>
      </c>
      <c r="AB49" s="142" t="e">
        <f>VLOOKUP(FeedbackFrmFounders[[#This Row],[Venture Name]],#REF!,4,FALSE)</f>
        <v>#REF!</v>
      </c>
    </row>
    <row r="50" spans="1:28" ht="16.95" customHeight="1" x14ac:dyDescent="0.3">
      <c r="A50" s="127">
        <v>115023428054</v>
      </c>
      <c r="B50" s="94">
        <v>438067093</v>
      </c>
      <c r="C50" s="162">
        <v>46041.410833333335</v>
      </c>
      <c r="D50" s="85">
        <v>46041.453773148147</v>
      </c>
      <c r="E50" s="92" t="s">
        <v>649</v>
      </c>
      <c r="F50" s="92"/>
      <c r="G50" s="92"/>
      <c r="H50" s="92"/>
      <c r="I50" s="92"/>
      <c r="J50" s="92" t="s">
        <v>534</v>
      </c>
      <c r="K50" s="93" t="s">
        <v>191</v>
      </c>
      <c r="L50" s="93" t="s">
        <v>28</v>
      </c>
      <c r="M50" s="104" t="s">
        <v>192</v>
      </c>
      <c r="N50" s="127" t="s">
        <v>193</v>
      </c>
      <c r="O50" s="191" t="s">
        <v>382</v>
      </c>
      <c r="P50" s="93" t="s">
        <v>113</v>
      </c>
      <c r="Q50" s="92" t="s">
        <v>352</v>
      </c>
      <c r="R50" s="92" t="s">
        <v>345</v>
      </c>
      <c r="S50" s="92" t="s">
        <v>345</v>
      </c>
      <c r="T50" s="104" t="s">
        <v>657</v>
      </c>
      <c r="U50" s="104" t="s">
        <v>403</v>
      </c>
      <c r="V50" s="86" t="s">
        <v>357</v>
      </c>
      <c r="W50" s="86" t="s">
        <v>359</v>
      </c>
      <c r="X50" s="86" t="s">
        <v>345</v>
      </c>
      <c r="Y50" s="140">
        <f>IF(ISBLANK(FeedbackFrmFounders[[#This Row],[Start Date]]),"",FeedbackFrmFounders[[#This Row],[Start Date]]-WEEKDAY(FeedbackFrmFounders[[#This Row],[Start Date]],2)+1)</f>
        <v>46041.410833333335</v>
      </c>
      <c r="Z50" s="161">
        <f>TRUNC(FeedbackFrmFounders[[#This Row],[Start of Week ]],)</f>
        <v>46041</v>
      </c>
      <c r="AA50" s="142" t="e">
        <f>VLOOKUP(FeedbackFrmFounders[[#This Row],[Venture Name]],#REF!,2,FALSE)</f>
        <v>#REF!</v>
      </c>
      <c r="AB50" s="142" t="e">
        <f>VLOOKUP(FeedbackFrmFounders[[#This Row],[Venture Name]],#REF!,4,FALSE)</f>
        <v>#REF!</v>
      </c>
    </row>
    <row r="51" spans="1:28" ht="16.95" customHeight="1" x14ac:dyDescent="0.3">
      <c r="A51" s="127">
        <v>115023047140</v>
      </c>
      <c r="B51" s="94">
        <v>438067093</v>
      </c>
      <c r="C51" s="162">
        <v>46040.42701388889</v>
      </c>
      <c r="D51" s="85">
        <v>46040.428807870368</v>
      </c>
      <c r="E51" s="92" t="s">
        <v>658</v>
      </c>
      <c r="F51" s="92"/>
      <c r="G51" s="92"/>
      <c r="H51" s="92"/>
      <c r="I51" s="92"/>
      <c r="J51" s="92" t="s">
        <v>534</v>
      </c>
      <c r="K51" s="93" t="s">
        <v>471</v>
      </c>
      <c r="L51" s="98" t="s">
        <v>39</v>
      </c>
      <c r="M51" s="104" t="s">
        <v>659</v>
      </c>
      <c r="N51" s="127">
        <v>9904806846</v>
      </c>
      <c r="O51" s="140" t="s">
        <v>412</v>
      </c>
      <c r="P51" s="99" t="s">
        <v>119</v>
      </c>
      <c r="Q51" s="92" t="s">
        <v>351</v>
      </c>
      <c r="R51" s="92" t="s">
        <v>350</v>
      </c>
      <c r="S51" s="92" t="s">
        <v>358</v>
      </c>
      <c r="T51" s="104"/>
      <c r="U51" s="104" t="s">
        <v>404</v>
      </c>
      <c r="V51" s="86" t="s">
        <v>367</v>
      </c>
      <c r="W51" s="86" t="s">
        <v>359</v>
      </c>
      <c r="X51" s="86" t="s">
        <v>358</v>
      </c>
      <c r="Y51" s="140">
        <f>IF(ISBLANK(FeedbackFrmFounders[[#This Row],[Start Date]]),"",FeedbackFrmFounders[[#This Row],[Start Date]]-WEEKDAY(FeedbackFrmFounders[[#This Row],[Start Date]],2)+1)</f>
        <v>46034.42701388889</v>
      </c>
      <c r="Z51" s="161">
        <f>TRUNC(FeedbackFrmFounders[[#This Row],[Start of Week ]],)</f>
        <v>46034</v>
      </c>
      <c r="AA51" s="142" t="e">
        <f>VLOOKUP(FeedbackFrmFounders[[#This Row],[Venture Name]],#REF!,2,FALSE)</f>
        <v>#REF!</v>
      </c>
      <c r="AB51" s="142" t="e">
        <f>VLOOKUP(FeedbackFrmFounders[[#This Row],[Venture Name]],#REF!,4,FALSE)</f>
        <v>#REF!</v>
      </c>
    </row>
    <row r="52" spans="1:28" ht="16.95" customHeight="1" x14ac:dyDescent="0.3">
      <c r="A52" s="127">
        <v>115018962266</v>
      </c>
      <c r="B52" s="94">
        <v>438067093</v>
      </c>
      <c r="C52" s="162">
        <v>46034.492766203701</v>
      </c>
      <c r="D52" s="85">
        <v>46034.495428240742</v>
      </c>
      <c r="E52" s="92" t="s">
        <v>649</v>
      </c>
      <c r="F52" s="92"/>
      <c r="G52" s="92"/>
      <c r="H52" s="92"/>
      <c r="I52" s="92"/>
      <c r="J52" s="92" t="s">
        <v>534</v>
      </c>
      <c r="K52" s="93" t="s">
        <v>486</v>
      </c>
      <c r="L52" s="93" t="s">
        <v>55</v>
      </c>
      <c r="M52" s="104" t="s">
        <v>487</v>
      </c>
      <c r="N52" s="94">
        <v>9884051390</v>
      </c>
      <c r="O52" s="141"/>
      <c r="P52" s="99" t="s">
        <v>127</v>
      </c>
      <c r="Q52" s="92" t="s">
        <v>351</v>
      </c>
      <c r="R52" s="92" t="s">
        <v>358</v>
      </c>
      <c r="S52" s="92" t="s">
        <v>358</v>
      </c>
      <c r="T52" s="104" t="s">
        <v>660</v>
      </c>
      <c r="U52" s="104" t="s">
        <v>661</v>
      </c>
      <c r="V52" s="86" t="s">
        <v>367</v>
      </c>
      <c r="W52" s="86" t="s">
        <v>359</v>
      </c>
      <c r="X52" s="86" t="s">
        <v>358</v>
      </c>
      <c r="Y52" s="140">
        <f>IF(ISBLANK(FeedbackFrmFounders[[#This Row],[Start Date]]),"",FeedbackFrmFounders[[#This Row],[Start Date]]-WEEKDAY(FeedbackFrmFounders[[#This Row],[Start Date]],2)+1)</f>
        <v>46034.492766203701</v>
      </c>
      <c r="Z52" s="161">
        <f>TRUNC(FeedbackFrmFounders[[#This Row],[Start of Week ]],)</f>
        <v>46034</v>
      </c>
      <c r="AA52" s="142" t="e">
        <f>VLOOKUP(FeedbackFrmFounders[[#This Row],[Venture Name]],#REF!,2,FALSE)</f>
        <v>#REF!</v>
      </c>
      <c r="AB52" s="142" t="e">
        <f>VLOOKUP(FeedbackFrmFounders[[#This Row],[Venture Name]],#REF!,4,FALSE)</f>
        <v>#REF!</v>
      </c>
    </row>
    <row r="53" spans="1:28" ht="16.95" customHeight="1" x14ac:dyDescent="0.3">
      <c r="A53" s="127">
        <v>115018340690</v>
      </c>
      <c r="B53" s="94">
        <v>438067093</v>
      </c>
      <c r="C53" s="162">
        <v>46032.786979166667</v>
      </c>
      <c r="D53" s="85">
        <v>46032.787835648145</v>
      </c>
      <c r="E53" s="92" t="s">
        <v>662</v>
      </c>
      <c r="F53" s="92"/>
      <c r="G53" s="92"/>
      <c r="H53" s="92"/>
      <c r="I53" s="92"/>
      <c r="J53" s="92" t="s">
        <v>534</v>
      </c>
      <c r="K53" s="93" t="s">
        <v>663</v>
      </c>
      <c r="L53" s="98" t="s">
        <v>33</v>
      </c>
      <c r="M53" s="104" t="s">
        <v>664</v>
      </c>
      <c r="N53" s="94">
        <v>7906834282</v>
      </c>
      <c r="O53" s="193"/>
      <c r="P53" s="102" t="s">
        <v>117</v>
      </c>
      <c r="Q53" s="92" t="s">
        <v>355</v>
      </c>
      <c r="R53" s="92" t="s">
        <v>358</v>
      </c>
      <c r="S53" s="92" t="s">
        <v>358</v>
      </c>
      <c r="T53" s="104"/>
      <c r="U53" s="104"/>
      <c r="V53" s="86"/>
      <c r="W53" s="86"/>
      <c r="X53" s="86" t="s">
        <v>358</v>
      </c>
      <c r="Y53" s="140">
        <f>IF(ISBLANK(FeedbackFrmFounders[[#This Row],[Start Date]]),"",FeedbackFrmFounders[[#This Row],[Start Date]]-WEEKDAY(FeedbackFrmFounders[[#This Row],[Start Date]],2)+1)</f>
        <v>46027.786979166667</v>
      </c>
      <c r="Z53" s="161">
        <f>TRUNC(FeedbackFrmFounders[[#This Row],[Start of Week ]],)</f>
        <v>46027</v>
      </c>
      <c r="AA53" s="142" t="e">
        <f>VLOOKUP(FeedbackFrmFounders[[#This Row],[Venture Name]],#REF!,2,FALSE)</f>
        <v>#REF!</v>
      </c>
      <c r="AB53" s="142" t="e">
        <f>VLOOKUP(FeedbackFrmFounders[[#This Row],[Venture Name]],#REF!,4,FALSE)</f>
        <v>#REF!</v>
      </c>
    </row>
    <row r="54" spans="1:28" ht="16.95" customHeight="1" x14ac:dyDescent="0.3">
      <c r="A54" s="127">
        <v>115017277742</v>
      </c>
      <c r="B54" s="94">
        <v>438067093</v>
      </c>
      <c r="C54" s="162">
        <v>46031.017488425925</v>
      </c>
      <c r="D54" s="85">
        <v>46031.017939814818</v>
      </c>
      <c r="E54" s="92" t="s">
        <v>665</v>
      </c>
      <c r="F54" s="92"/>
      <c r="G54" s="92"/>
      <c r="H54" s="92"/>
      <c r="I54" s="92"/>
      <c r="J54" s="92" t="s">
        <v>534</v>
      </c>
      <c r="K54" s="93" t="s">
        <v>314</v>
      </c>
      <c r="L54" s="93" t="s">
        <v>396</v>
      </c>
      <c r="M54" s="104" t="s">
        <v>666</v>
      </c>
      <c r="N54" s="94">
        <v>9444796926</v>
      </c>
      <c r="O54" s="141"/>
      <c r="P54" s="99" t="s">
        <v>86</v>
      </c>
      <c r="Q54" s="92" t="s">
        <v>375</v>
      </c>
      <c r="R54" s="92" t="s">
        <v>358</v>
      </c>
      <c r="S54" s="92" t="s">
        <v>358</v>
      </c>
      <c r="T54" s="104" t="s">
        <v>667</v>
      </c>
      <c r="U54" s="104"/>
      <c r="V54" s="86"/>
      <c r="W54" s="86"/>
      <c r="X54" s="86" t="s">
        <v>345</v>
      </c>
      <c r="Y54" s="140">
        <f>IF(ISBLANK(FeedbackFrmFounders[[#This Row],[Start Date]]),"",FeedbackFrmFounders[[#This Row],[Start Date]]-WEEKDAY(FeedbackFrmFounders[[#This Row],[Start Date]],2)+1)</f>
        <v>46027.017488425925</v>
      </c>
      <c r="Z54" s="161">
        <f>TRUNC(FeedbackFrmFounders[[#This Row],[Start of Week ]],)</f>
        <v>46027</v>
      </c>
      <c r="AA54" s="142" t="e">
        <f>VLOOKUP(FeedbackFrmFounders[[#This Row],[Venture Name]],#REF!,2,FALSE)</f>
        <v>#REF!</v>
      </c>
      <c r="AB54" s="142" t="e">
        <f>VLOOKUP(FeedbackFrmFounders[[#This Row],[Venture Name]],#REF!,4,FALSE)</f>
        <v>#REF!</v>
      </c>
    </row>
    <row r="55" spans="1:28" ht="16.95" customHeight="1" x14ac:dyDescent="0.3">
      <c r="A55" s="127">
        <v>115017009833</v>
      </c>
      <c r="B55" s="94">
        <v>438067093</v>
      </c>
      <c r="C55" s="162">
        <v>46030.721597222226</v>
      </c>
      <c r="D55" s="85">
        <v>46030.722662037035</v>
      </c>
      <c r="E55" s="92" t="s">
        <v>668</v>
      </c>
      <c r="F55" s="92"/>
      <c r="G55" s="92"/>
      <c r="H55" s="92"/>
      <c r="I55" s="92"/>
      <c r="J55" s="92" t="s">
        <v>534</v>
      </c>
      <c r="K55" s="93" t="s">
        <v>669</v>
      </c>
      <c r="L55" s="98" t="s">
        <v>30</v>
      </c>
      <c r="M55" s="104" t="s">
        <v>179</v>
      </c>
      <c r="N55" s="92">
        <v>9850819688</v>
      </c>
      <c r="O55" s="142"/>
      <c r="P55" s="99" t="s">
        <v>89</v>
      </c>
      <c r="Q55" s="92" t="s">
        <v>375</v>
      </c>
      <c r="R55" s="92" t="s">
        <v>358</v>
      </c>
      <c r="S55" s="92" t="s">
        <v>358</v>
      </c>
      <c r="T55" s="104" t="s">
        <v>670</v>
      </c>
      <c r="U55" s="104"/>
      <c r="V55" s="86"/>
      <c r="W55" s="86"/>
      <c r="X55" s="86" t="s">
        <v>358</v>
      </c>
      <c r="Y55" s="140">
        <f>IF(ISBLANK(FeedbackFrmFounders[[#This Row],[Start Date]]),"",FeedbackFrmFounders[[#This Row],[Start Date]]-WEEKDAY(FeedbackFrmFounders[[#This Row],[Start Date]],2)+1)</f>
        <v>46027.721597222226</v>
      </c>
      <c r="Z55" s="161">
        <f>TRUNC(FeedbackFrmFounders[[#This Row],[Start of Week ]],)</f>
        <v>46027</v>
      </c>
      <c r="AA55" s="142" t="e">
        <f>VLOOKUP(FeedbackFrmFounders[[#This Row],[Venture Name]],#REF!,2,FALSE)</f>
        <v>#REF!</v>
      </c>
      <c r="AB55" s="142" t="e">
        <f>VLOOKUP(FeedbackFrmFounders[[#This Row],[Venture Name]],#REF!,4,FALSE)</f>
        <v>#REF!</v>
      </c>
    </row>
    <row r="56" spans="1:28" ht="16.95" customHeight="1" x14ac:dyDescent="0.3">
      <c r="A56" s="127">
        <v>115016986081</v>
      </c>
      <c r="B56" s="94">
        <v>438067093</v>
      </c>
      <c r="C56" s="162">
        <v>46030.402974537035</v>
      </c>
      <c r="D56" s="85">
        <v>46030.67900462963</v>
      </c>
      <c r="E56" s="92" t="s">
        <v>671</v>
      </c>
      <c r="F56" s="92"/>
      <c r="G56" s="92"/>
      <c r="H56" s="92"/>
      <c r="I56" s="92"/>
      <c r="J56" s="92" t="s">
        <v>534</v>
      </c>
      <c r="K56" s="93" t="s">
        <v>672</v>
      </c>
      <c r="L56" s="93" t="s">
        <v>38</v>
      </c>
      <c r="M56" s="104">
        <v>9409669724</v>
      </c>
      <c r="N56" s="94">
        <v>9409669724</v>
      </c>
      <c r="O56" s="94"/>
      <c r="P56" s="93" t="s">
        <v>5</v>
      </c>
      <c r="Q56" s="92" t="s">
        <v>351</v>
      </c>
      <c r="R56" s="92" t="s">
        <v>358</v>
      </c>
      <c r="S56" s="92" t="s">
        <v>358</v>
      </c>
      <c r="T56" s="104" t="s">
        <v>673</v>
      </c>
      <c r="U56" s="104" t="s">
        <v>674</v>
      </c>
      <c r="V56" s="86" t="s">
        <v>367</v>
      </c>
      <c r="W56" s="86" t="s">
        <v>359</v>
      </c>
      <c r="X56" s="86" t="s">
        <v>358</v>
      </c>
      <c r="Y56" s="140">
        <f>IF(ISBLANK(FeedbackFrmFounders[[#This Row],[Start Date]]),"",FeedbackFrmFounders[[#This Row],[Start Date]]-WEEKDAY(FeedbackFrmFounders[[#This Row],[Start Date]],2)+1)</f>
        <v>46027.402974537035</v>
      </c>
      <c r="Z56" s="161">
        <f>TRUNC(FeedbackFrmFounders[[#This Row],[Start of Week ]],)</f>
        <v>46027</v>
      </c>
      <c r="AA56" s="142" t="e">
        <f>VLOOKUP(FeedbackFrmFounders[[#This Row],[Venture Name]],#REF!,2,FALSE)</f>
        <v>#REF!</v>
      </c>
      <c r="AB56" s="142" t="e">
        <f>VLOOKUP(FeedbackFrmFounders[[#This Row],[Venture Name]],#REF!,4,FALSE)</f>
        <v>#REF!</v>
      </c>
    </row>
    <row r="57" spans="1:28" ht="16.95" customHeight="1" x14ac:dyDescent="0.3">
      <c r="A57" s="127">
        <v>115016261180</v>
      </c>
      <c r="B57" s="94">
        <v>438067093</v>
      </c>
      <c r="C57" s="162">
        <v>46029.541770833333</v>
      </c>
      <c r="D57" s="85">
        <v>46029.542303240742</v>
      </c>
      <c r="E57" s="92" t="s">
        <v>675</v>
      </c>
      <c r="F57" s="92"/>
      <c r="G57" s="92"/>
      <c r="H57" s="92"/>
      <c r="I57" s="92"/>
      <c r="J57" s="92" t="s">
        <v>534</v>
      </c>
      <c r="K57" s="93" t="s">
        <v>676</v>
      </c>
      <c r="L57" s="93" t="s">
        <v>25</v>
      </c>
      <c r="M57" s="104" t="s">
        <v>473</v>
      </c>
      <c r="N57" s="127">
        <v>9998969892</v>
      </c>
      <c r="O57" s="127" t="s">
        <v>423</v>
      </c>
      <c r="P57" s="93" t="s">
        <v>120</v>
      </c>
      <c r="Q57" s="92" t="s">
        <v>351</v>
      </c>
      <c r="R57" s="92" t="s">
        <v>350</v>
      </c>
      <c r="S57" s="92" t="s">
        <v>358</v>
      </c>
      <c r="T57" s="104" t="s">
        <v>677</v>
      </c>
      <c r="U57" s="104" t="s">
        <v>678</v>
      </c>
      <c r="V57" s="86" t="s">
        <v>679</v>
      </c>
      <c r="W57" s="86" t="s">
        <v>359</v>
      </c>
      <c r="X57" s="86" t="s">
        <v>358</v>
      </c>
      <c r="Y57" s="140">
        <f>IF(ISBLANK(FeedbackFrmFounders[[#This Row],[Start Date]]),"",FeedbackFrmFounders[[#This Row],[Start Date]]-WEEKDAY(FeedbackFrmFounders[[#This Row],[Start Date]],2)+1)</f>
        <v>46027.541770833333</v>
      </c>
      <c r="Z57" s="161">
        <f>TRUNC(FeedbackFrmFounders[[#This Row],[Start of Week ]],)</f>
        <v>46027</v>
      </c>
      <c r="AA57" s="142" t="e">
        <f>VLOOKUP(FeedbackFrmFounders[[#This Row],[Venture Name]],#REF!,2,FALSE)</f>
        <v>#REF!</v>
      </c>
      <c r="AB57" s="142" t="e">
        <f>VLOOKUP(FeedbackFrmFounders[[#This Row],[Venture Name]],#REF!,4,FALSE)</f>
        <v>#REF!</v>
      </c>
    </row>
    <row r="58" spans="1:28" ht="16.95" customHeight="1" x14ac:dyDescent="0.3">
      <c r="A58" s="127">
        <v>115015684851</v>
      </c>
      <c r="B58" s="94">
        <v>438067093</v>
      </c>
      <c r="C58" s="162">
        <v>46028.76226851852</v>
      </c>
      <c r="D58" s="85">
        <v>46028.763553240744</v>
      </c>
      <c r="E58" s="92" t="s">
        <v>680</v>
      </c>
      <c r="F58" s="92"/>
      <c r="G58" s="92"/>
      <c r="H58" s="92"/>
      <c r="I58" s="92"/>
      <c r="J58" s="92" t="s">
        <v>534</v>
      </c>
      <c r="K58" s="93" t="s">
        <v>681</v>
      </c>
      <c r="L58" s="93" t="s">
        <v>76</v>
      </c>
      <c r="M58" s="104" t="s">
        <v>682</v>
      </c>
      <c r="N58" s="127">
        <v>9840069712</v>
      </c>
      <c r="O58" s="127" t="s">
        <v>378</v>
      </c>
      <c r="P58" s="93" t="s">
        <v>377</v>
      </c>
      <c r="Q58" s="92" t="s">
        <v>351</v>
      </c>
      <c r="R58" s="92" t="s">
        <v>345</v>
      </c>
      <c r="S58" s="92" t="s">
        <v>345</v>
      </c>
      <c r="T58" s="104"/>
      <c r="U58" s="104" t="s">
        <v>379</v>
      </c>
      <c r="V58" s="86" t="s">
        <v>357</v>
      </c>
      <c r="W58" s="86" t="s">
        <v>359</v>
      </c>
      <c r="X58" s="86" t="s">
        <v>358</v>
      </c>
      <c r="Y58" s="140">
        <f>IF(ISBLANK(FeedbackFrmFounders[[#This Row],[Start Date]]),"",FeedbackFrmFounders[[#This Row],[Start Date]]-WEEKDAY(FeedbackFrmFounders[[#This Row],[Start Date]],2)+1)</f>
        <v>46027.76226851852</v>
      </c>
      <c r="Z58" s="161">
        <f>TRUNC(FeedbackFrmFounders[[#This Row],[Start of Week ]],)</f>
        <v>46027</v>
      </c>
      <c r="AA58" s="142" t="e">
        <f>VLOOKUP(FeedbackFrmFounders[[#This Row],[Venture Name]],#REF!,2,FALSE)</f>
        <v>#REF!</v>
      </c>
      <c r="AB58" s="142" t="e">
        <f>VLOOKUP(FeedbackFrmFounders[[#This Row],[Venture Name]],#REF!,4,FALSE)</f>
        <v>#REF!</v>
      </c>
    </row>
    <row r="59" spans="1:28" ht="16.95" customHeight="1" x14ac:dyDescent="0.3">
      <c r="A59" s="127">
        <v>115015667192</v>
      </c>
      <c r="B59" s="94">
        <v>438067093</v>
      </c>
      <c r="C59" s="162">
        <v>46028.72896990741</v>
      </c>
      <c r="D59" s="85">
        <v>46028.735451388886</v>
      </c>
      <c r="E59" s="92" t="s">
        <v>671</v>
      </c>
      <c r="F59" s="92"/>
      <c r="G59" s="92"/>
      <c r="H59" s="92"/>
      <c r="I59" s="92"/>
      <c r="J59" s="92" t="s">
        <v>534</v>
      </c>
      <c r="K59" s="93" t="s">
        <v>468</v>
      </c>
      <c r="L59" s="93" t="s">
        <v>33</v>
      </c>
      <c r="M59" s="104" t="s">
        <v>469</v>
      </c>
      <c r="N59" s="94">
        <v>9510106336</v>
      </c>
      <c r="O59" s="94"/>
      <c r="P59" s="93" t="s">
        <v>118</v>
      </c>
      <c r="Q59" s="92" t="s">
        <v>351</v>
      </c>
      <c r="R59" s="92" t="s">
        <v>358</v>
      </c>
      <c r="S59" s="92" t="s">
        <v>358</v>
      </c>
      <c r="T59" s="104" t="s">
        <v>683</v>
      </c>
      <c r="U59" s="104" t="s">
        <v>684</v>
      </c>
      <c r="V59" s="86"/>
      <c r="W59" s="86" t="s">
        <v>348</v>
      </c>
      <c r="X59" s="86" t="s">
        <v>358</v>
      </c>
      <c r="Y59" s="140">
        <f>IF(ISBLANK(FeedbackFrmFounders[[#This Row],[Start Date]]),"",FeedbackFrmFounders[[#This Row],[Start Date]]-WEEKDAY(FeedbackFrmFounders[[#This Row],[Start Date]],2)+1)</f>
        <v>46027.72896990741</v>
      </c>
      <c r="Z59" s="161">
        <f>TRUNC(FeedbackFrmFounders[[#This Row],[Start of Week ]],)</f>
        <v>46027</v>
      </c>
      <c r="AA59" s="142" t="e">
        <f>VLOOKUP(FeedbackFrmFounders[[#This Row],[Venture Name]],#REF!,2,FALSE)</f>
        <v>#REF!</v>
      </c>
      <c r="AB59" s="142" t="e">
        <f>VLOOKUP(FeedbackFrmFounders[[#This Row],[Venture Name]],#REF!,4,FALSE)</f>
        <v>#REF!</v>
      </c>
    </row>
    <row r="60" spans="1:28" ht="16.95" customHeight="1" x14ac:dyDescent="0.3">
      <c r="A60" s="127">
        <v>115013186956</v>
      </c>
      <c r="B60" s="94">
        <v>438067093</v>
      </c>
      <c r="C60" s="162">
        <v>46022.557025462964</v>
      </c>
      <c r="D60" s="85">
        <v>46022.558506944442</v>
      </c>
      <c r="E60" s="92" t="s">
        <v>685</v>
      </c>
      <c r="F60" s="92"/>
      <c r="G60" s="92"/>
      <c r="H60" s="92"/>
      <c r="I60" s="92"/>
      <c r="J60" s="92" t="s">
        <v>534</v>
      </c>
      <c r="K60" s="93" t="s">
        <v>686</v>
      </c>
      <c r="L60" s="93" t="s">
        <v>12</v>
      </c>
      <c r="M60" s="104" t="s">
        <v>480</v>
      </c>
      <c r="N60" s="127">
        <v>8347488000</v>
      </c>
      <c r="O60" s="127" t="s">
        <v>13</v>
      </c>
      <c r="P60" s="93" t="s">
        <v>14</v>
      </c>
      <c r="Q60" s="92" t="s">
        <v>351</v>
      </c>
      <c r="R60" s="92" t="s">
        <v>350</v>
      </c>
      <c r="S60" s="92" t="s">
        <v>358</v>
      </c>
      <c r="T60" s="104"/>
      <c r="U60" s="95" t="s">
        <v>687</v>
      </c>
      <c r="V60" s="86"/>
      <c r="W60" s="86" t="s">
        <v>348</v>
      </c>
      <c r="X60" s="86" t="s">
        <v>358</v>
      </c>
      <c r="Y60" s="140">
        <f>IF(ISBLANK(FeedbackFrmFounders[[#This Row],[Start Date]]),"",FeedbackFrmFounders[[#This Row],[Start Date]]-WEEKDAY(FeedbackFrmFounders[[#This Row],[Start Date]],2)+1)</f>
        <v>46020.557025462964</v>
      </c>
      <c r="Z60" s="161">
        <f>TRUNC(FeedbackFrmFounders[[#This Row],[Start of Week ]],)</f>
        <v>46020</v>
      </c>
      <c r="AA60" s="142" t="e">
        <f>VLOOKUP(FeedbackFrmFounders[[#This Row],[Venture Name]],#REF!,2,FALSE)</f>
        <v>#REF!</v>
      </c>
      <c r="AB60" s="142" t="e">
        <f>VLOOKUP(FeedbackFrmFounders[[#This Row],[Venture Name]],#REF!,4,FALSE)</f>
        <v>#REF!</v>
      </c>
    </row>
    <row r="61" spans="1:28" ht="16.95" customHeight="1" x14ac:dyDescent="0.3">
      <c r="A61" s="127">
        <v>115012660017</v>
      </c>
      <c r="B61" s="94">
        <v>438067093</v>
      </c>
      <c r="C61" s="162">
        <v>46021.481574074074</v>
      </c>
      <c r="D61" s="85">
        <v>46021.481990740744</v>
      </c>
      <c r="E61" s="92" t="s">
        <v>688</v>
      </c>
      <c r="F61" s="92"/>
      <c r="G61" s="92"/>
      <c r="H61" s="92"/>
      <c r="I61" s="92"/>
      <c r="J61" s="92" t="s">
        <v>534</v>
      </c>
      <c r="K61" s="93" t="s">
        <v>159</v>
      </c>
      <c r="L61" s="93" t="s">
        <v>68</v>
      </c>
      <c r="M61" s="104" t="s">
        <v>160</v>
      </c>
      <c r="N61" s="127">
        <v>9328371557</v>
      </c>
      <c r="O61" s="127" t="s">
        <v>689</v>
      </c>
      <c r="P61" s="103" t="s">
        <v>97</v>
      </c>
      <c r="Q61" s="92" t="s">
        <v>355</v>
      </c>
      <c r="R61" s="92" t="s">
        <v>350</v>
      </c>
      <c r="S61" s="92" t="s">
        <v>358</v>
      </c>
      <c r="T61" s="104"/>
      <c r="U61" s="104" t="s">
        <v>366</v>
      </c>
      <c r="V61" s="86" t="s">
        <v>367</v>
      </c>
      <c r="W61" s="86" t="s">
        <v>359</v>
      </c>
      <c r="X61" s="86" t="s">
        <v>358</v>
      </c>
      <c r="Y61" s="140">
        <f>IF(ISBLANK(FeedbackFrmFounders[[#This Row],[Start Date]]),"",FeedbackFrmFounders[[#This Row],[Start Date]]-WEEKDAY(FeedbackFrmFounders[[#This Row],[Start Date]],2)+1)</f>
        <v>46020.481574074074</v>
      </c>
      <c r="Z61" s="161">
        <f>TRUNC(FeedbackFrmFounders[[#This Row],[Start of Week ]],)</f>
        <v>46020</v>
      </c>
      <c r="AA61" s="142" t="e">
        <f>VLOOKUP(FeedbackFrmFounders[[#This Row],[Venture Name]],#REF!,2,FALSE)</f>
        <v>#REF!</v>
      </c>
      <c r="AB61" s="142" t="e">
        <f>VLOOKUP(FeedbackFrmFounders[[#This Row],[Venture Name]],#REF!,4,FALSE)</f>
        <v>#REF!</v>
      </c>
    </row>
    <row r="62" spans="1:28" ht="16.95" customHeight="1" x14ac:dyDescent="0.3">
      <c r="A62" s="127">
        <v>115012289070</v>
      </c>
      <c r="B62" s="94">
        <v>438067093</v>
      </c>
      <c r="C62" s="162">
        <v>46020.713472222225</v>
      </c>
      <c r="D62" s="85">
        <v>46020.733831018515</v>
      </c>
      <c r="E62" s="92" t="s">
        <v>690</v>
      </c>
      <c r="F62" s="92"/>
      <c r="G62" s="92"/>
      <c r="H62" s="92"/>
      <c r="I62" s="92"/>
      <c r="J62" s="92" t="s">
        <v>534</v>
      </c>
      <c r="K62" s="93" t="s">
        <v>284</v>
      </c>
      <c r="L62" s="93" t="s">
        <v>40</v>
      </c>
      <c r="M62" s="104" t="s">
        <v>285</v>
      </c>
      <c r="N62" s="94">
        <v>9552435003</v>
      </c>
      <c r="O62" s="94"/>
      <c r="P62" s="93" t="s">
        <v>96</v>
      </c>
      <c r="Q62" s="92" t="s">
        <v>375</v>
      </c>
      <c r="R62" s="92" t="s">
        <v>358</v>
      </c>
      <c r="S62" s="92" t="s">
        <v>358</v>
      </c>
      <c r="T62" s="104" t="s">
        <v>691</v>
      </c>
      <c r="U62" s="104"/>
      <c r="V62" s="86"/>
      <c r="W62" s="86"/>
      <c r="X62" s="86" t="s">
        <v>358</v>
      </c>
      <c r="Y62" s="140">
        <f>IF(ISBLANK(FeedbackFrmFounders[[#This Row],[Start Date]]),"",FeedbackFrmFounders[[#This Row],[Start Date]]-WEEKDAY(FeedbackFrmFounders[[#This Row],[Start Date]],2)+1)</f>
        <v>46020.713472222225</v>
      </c>
      <c r="Z62" s="161">
        <f>TRUNC(FeedbackFrmFounders[[#This Row],[Start of Week ]],)</f>
        <v>46020</v>
      </c>
      <c r="AA62" s="142" t="e">
        <f>VLOOKUP(FeedbackFrmFounders[[#This Row],[Venture Name]],#REF!,2,FALSE)</f>
        <v>#REF!</v>
      </c>
      <c r="AB62" s="142" t="e">
        <f>VLOOKUP(FeedbackFrmFounders[[#This Row],[Venture Name]],#REF!,4,FALSE)</f>
        <v>#REF!</v>
      </c>
    </row>
    <row r="63" spans="1:28" ht="16.95" customHeight="1" x14ac:dyDescent="0.3">
      <c r="A63" s="127">
        <v>115012288408</v>
      </c>
      <c r="B63" s="94">
        <v>438067093</v>
      </c>
      <c r="C63" s="162">
        <v>46020.730787037035</v>
      </c>
      <c r="D63" s="85">
        <v>46020.732442129629</v>
      </c>
      <c r="E63" s="92" t="s">
        <v>690</v>
      </c>
      <c r="F63" s="92"/>
      <c r="G63" s="92"/>
      <c r="H63" s="92"/>
      <c r="I63" s="92"/>
      <c r="J63" s="92" t="s">
        <v>534</v>
      </c>
      <c r="K63" s="93" t="s">
        <v>191</v>
      </c>
      <c r="L63" s="93" t="s">
        <v>28</v>
      </c>
      <c r="M63" s="104" t="s">
        <v>192</v>
      </c>
      <c r="N63" s="127" t="s">
        <v>193</v>
      </c>
      <c r="O63" s="32" t="s">
        <v>382</v>
      </c>
      <c r="P63" s="93" t="s">
        <v>112</v>
      </c>
      <c r="Q63" s="92" t="s">
        <v>351</v>
      </c>
      <c r="R63" s="92" t="s">
        <v>350</v>
      </c>
      <c r="S63" s="92" t="s">
        <v>345</v>
      </c>
      <c r="T63" s="104" t="s">
        <v>692</v>
      </c>
      <c r="U63" s="104" t="s">
        <v>693</v>
      </c>
      <c r="V63" s="86" t="s">
        <v>367</v>
      </c>
      <c r="W63" s="86" t="s">
        <v>359</v>
      </c>
      <c r="X63" s="86" t="s">
        <v>345</v>
      </c>
      <c r="Y63" s="140">
        <f>IF(ISBLANK(FeedbackFrmFounders[[#This Row],[Start Date]]),"",FeedbackFrmFounders[[#This Row],[Start Date]]-WEEKDAY(FeedbackFrmFounders[[#This Row],[Start Date]],2)+1)</f>
        <v>46020.730787037035</v>
      </c>
      <c r="Z63" s="161">
        <f>TRUNC(FeedbackFrmFounders[[#This Row],[Start of Week ]],)</f>
        <v>46020</v>
      </c>
      <c r="AA63" s="142" t="e">
        <f>VLOOKUP(FeedbackFrmFounders[[#This Row],[Venture Name]],#REF!,2,FALSE)</f>
        <v>#REF!</v>
      </c>
      <c r="AB63" s="142" t="e">
        <f>VLOOKUP(FeedbackFrmFounders[[#This Row],[Venture Name]],#REF!,4,FALSE)</f>
        <v>#REF!</v>
      </c>
    </row>
    <row r="64" spans="1:28" ht="16.95" customHeight="1" x14ac:dyDescent="0.3">
      <c r="A64" s="127">
        <v>115012177987</v>
      </c>
      <c r="B64" s="94">
        <v>438067093</v>
      </c>
      <c r="C64" s="162">
        <v>46020.393807870372</v>
      </c>
      <c r="D64" s="85">
        <v>46020.409409722219</v>
      </c>
      <c r="E64" s="92" t="s">
        <v>690</v>
      </c>
      <c r="F64" s="92"/>
      <c r="G64" s="92"/>
      <c r="H64" s="92"/>
      <c r="I64" s="92"/>
      <c r="J64" s="92" t="s">
        <v>534</v>
      </c>
      <c r="K64" s="93" t="s">
        <v>481</v>
      </c>
      <c r="L64" s="98" t="s">
        <v>36</v>
      </c>
      <c r="M64" s="104" t="s">
        <v>482</v>
      </c>
      <c r="N64" s="94">
        <v>8789731953</v>
      </c>
      <c r="O64" s="94"/>
      <c r="P64" s="93" t="s">
        <v>87</v>
      </c>
      <c r="Q64" s="92" t="s">
        <v>375</v>
      </c>
      <c r="R64" s="92" t="s">
        <v>358</v>
      </c>
      <c r="S64" s="92" t="s">
        <v>358</v>
      </c>
      <c r="T64" s="104" t="s">
        <v>694</v>
      </c>
      <c r="U64" s="104"/>
      <c r="V64" s="86"/>
      <c r="W64" s="86"/>
      <c r="X64" s="86" t="s">
        <v>358</v>
      </c>
      <c r="Y64" s="140">
        <f>IF(ISBLANK(FeedbackFrmFounders[[#This Row],[Start Date]]),"",FeedbackFrmFounders[[#This Row],[Start Date]]-WEEKDAY(FeedbackFrmFounders[[#This Row],[Start Date]],2)+1)</f>
        <v>46020.393807870372</v>
      </c>
      <c r="Z64" s="161">
        <f>TRUNC(FeedbackFrmFounders[[#This Row],[Start of Week ]],)</f>
        <v>46020</v>
      </c>
      <c r="AA64" s="142" t="e">
        <f>VLOOKUP(FeedbackFrmFounders[[#This Row],[Venture Name]],#REF!,2,FALSE)</f>
        <v>#REF!</v>
      </c>
      <c r="AB64" s="142" t="e">
        <f>VLOOKUP(FeedbackFrmFounders[[#This Row],[Venture Name]],#REF!,4,FALSE)</f>
        <v>#REF!</v>
      </c>
    </row>
    <row r="65" spans="1:28" ht="16.95" customHeight="1" x14ac:dyDescent="0.3">
      <c r="A65" s="127">
        <v>115011737997</v>
      </c>
      <c r="B65" s="94">
        <v>438067093</v>
      </c>
      <c r="C65" s="162">
        <v>46018.772083333337</v>
      </c>
      <c r="D65" s="85">
        <v>46018.77275462963</v>
      </c>
      <c r="E65" s="92" t="s">
        <v>695</v>
      </c>
      <c r="F65" s="92"/>
      <c r="G65" s="92"/>
      <c r="H65" s="92"/>
      <c r="I65" s="92"/>
      <c r="J65" s="92" t="s">
        <v>534</v>
      </c>
      <c r="K65" s="93" t="s">
        <v>696</v>
      </c>
      <c r="L65" s="98" t="s">
        <v>16</v>
      </c>
      <c r="M65" s="104" t="s">
        <v>697</v>
      </c>
      <c r="N65" s="94">
        <v>9727733782</v>
      </c>
      <c r="O65" s="94"/>
      <c r="P65" s="102" t="s">
        <v>14</v>
      </c>
      <c r="Q65" s="92" t="s">
        <v>375</v>
      </c>
      <c r="R65" s="92" t="s">
        <v>358</v>
      </c>
      <c r="S65" s="92" t="s">
        <v>358</v>
      </c>
      <c r="T65" s="104" t="s">
        <v>698</v>
      </c>
      <c r="U65" s="104"/>
      <c r="V65" s="86"/>
      <c r="W65" s="86"/>
      <c r="X65" s="86" t="s">
        <v>358</v>
      </c>
      <c r="Y65" s="140">
        <f>IF(ISBLANK(FeedbackFrmFounders[[#This Row],[Start Date]]),"",FeedbackFrmFounders[[#This Row],[Start Date]]-WEEKDAY(FeedbackFrmFounders[[#This Row],[Start Date]],2)+1)</f>
        <v>46013.772083333337</v>
      </c>
      <c r="Z65" s="161">
        <f>TRUNC(FeedbackFrmFounders[[#This Row],[Start of Week ]],)</f>
        <v>46013</v>
      </c>
      <c r="AA65" s="142" t="e">
        <f>VLOOKUP(FeedbackFrmFounders[[#This Row],[Venture Name]],#REF!,2,FALSE)</f>
        <v>#REF!</v>
      </c>
      <c r="AB65" s="142" t="e">
        <f>VLOOKUP(FeedbackFrmFounders[[#This Row],[Venture Name]],#REF!,4,FALSE)</f>
        <v>#REF!</v>
      </c>
    </row>
    <row r="66" spans="1:28" ht="16.95" customHeight="1" x14ac:dyDescent="0.3">
      <c r="A66" s="127">
        <v>115010691070</v>
      </c>
      <c r="B66" s="94">
        <v>438067093</v>
      </c>
      <c r="C66" s="162">
        <v>46015.40425925926</v>
      </c>
      <c r="D66" s="85">
        <v>46015.523923611108</v>
      </c>
      <c r="E66" s="92" t="s">
        <v>690</v>
      </c>
      <c r="F66" s="92"/>
      <c r="G66" s="92"/>
      <c r="H66" s="92"/>
      <c r="I66" s="92"/>
      <c r="J66" s="92" t="s">
        <v>534</v>
      </c>
      <c r="K66" s="93" t="s">
        <v>453</v>
      </c>
      <c r="L66" s="98" t="s">
        <v>16</v>
      </c>
      <c r="M66" s="104" t="s">
        <v>699</v>
      </c>
      <c r="N66" s="94">
        <v>8141747037</v>
      </c>
      <c r="O66" s="94"/>
      <c r="P66" s="93" t="s">
        <v>14</v>
      </c>
      <c r="Q66" s="92" t="s">
        <v>355</v>
      </c>
      <c r="R66" s="92" t="s">
        <v>358</v>
      </c>
      <c r="S66" s="92" t="s">
        <v>358</v>
      </c>
      <c r="T66" s="104" t="s">
        <v>700</v>
      </c>
      <c r="U66" s="104" t="s">
        <v>599</v>
      </c>
      <c r="V66" s="86" t="s">
        <v>599</v>
      </c>
      <c r="W66" s="86" t="s">
        <v>599</v>
      </c>
      <c r="X66" s="86" t="s">
        <v>599</v>
      </c>
      <c r="Y66" s="140">
        <f>IF(ISBLANK(FeedbackFrmFounders[[#This Row],[Start Date]]),"",FeedbackFrmFounders[[#This Row],[Start Date]]-WEEKDAY(FeedbackFrmFounders[[#This Row],[Start Date]],2)+1)</f>
        <v>46013.40425925926</v>
      </c>
      <c r="Z66" s="161">
        <f>TRUNC(FeedbackFrmFounders[[#This Row],[Start of Week ]],)</f>
        <v>46013</v>
      </c>
      <c r="AA66" s="142" t="e">
        <f>VLOOKUP(FeedbackFrmFounders[[#This Row],[Venture Name]],#REF!,2,FALSE)</f>
        <v>#REF!</v>
      </c>
      <c r="AB66" s="142" t="e">
        <f>VLOOKUP(FeedbackFrmFounders[[#This Row],[Venture Name]],#REF!,4,FALSE)</f>
        <v>#REF!</v>
      </c>
    </row>
    <row r="67" spans="1:28" ht="16.95" customHeight="1" x14ac:dyDescent="0.3">
      <c r="A67" s="127">
        <v>115010658032</v>
      </c>
      <c r="B67" s="94">
        <v>438067093</v>
      </c>
      <c r="C67" s="162">
        <v>46015.405798611115</v>
      </c>
      <c r="D67" s="85">
        <v>46015.408935185187</v>
      </c>
      <c r="E67" s="92" t="s">
        <v>701</v>
      </c>
      <c r="F67" s="92"/>
      <c r="G67" s="92"/>
      <c r="H67" s="92"/>
      <c r="I67" s="92"/>
      <c r="J67" s="92" t="s">
        <v>534</v>
      </c>
      <c r="K67" s="93" t="s">
        <v>702</v>
      </c>
      <c r="L67" s="158" t="s">
        <v>8</v>
      </c>
      <c r="M67" s="104" t="s">
        <v>634</v>
      </c>
      <c r="N67" s="94">
        <v>9873545857</v>
      </c>
      <c r="O67" s="141"/>
      <c r="P67" s="99" t="s">
        <v>84</v>
      </c>
      <c r="Q67" s="92" t="s">
        <v>375</v>
      </c>
      <c r="R67" s="92" t="s">
        <v>358</v>
      </c>
      <c r="S67" s="92" t="s">
        <v>358</v>
      </c>
      <c r="T67" s="104" t="s">
        <v>703</v>
      </c>
      <c r="U67" s="104" t="s">
        <v>599</v>
      </c>
      <c r="V67" s="86" t="s">
        <v>599</v>
      </c>
      <c r="W67" s="86" t="s">
        <v>599</v>
      </c>
      <c r="X67" s="86" t="s">
        <v>599</v>
      </c>
      <c r="Y67" s="140">
        <f>IF(ISBLANK(FeedbackFrmFounders[[#This Row],[Start Date]]),"",FeedbackFrmFounders[[#This Row],[Start Date]]-WEEKDAY(FeedbackFrmFounders[[#This Row],[Start Date]],2)+1)</f>
        <v>46013.405798611115</v>
      </c>
      <c r="Z67" s="161">
        <f>TRUNC(FeedbackFrmFounders[[#This Row],[Start of Week ]],)</f>
        <v>46013</v>
      </c>
      <c r="AA67" s="142" t="e">
        <f>VLOOKUP(FeedbackFrmFounders[[#This Row],[Venture Name]],#REF!,2,FALSE)</f>
        <v>#REF!</v>
      </c>
      <c r="AB67" s="142" t="e">
        <f>VLOOKUP(FeedbackFrmFounders[[#This Row],[Venture Name]],#REF!,4,FALSE)</f>
        <v>#REF!</v>
      </c>
    </row>
    <row r="68" spans="1:28" ht="16.95" customHeight="1" x14ac:dyDescent="0.3">
      <c r="A68" s="127">
        <v>115010656706</v>
      </c>
      <c r="B68" s="94">
        <v>438067093</v>
      </c>
      <c r="C68" s="162">
        <v>46015.402083333334</v>
      </c>
      <c r="D68" s="85">
        <v>46015.403900462959</v>
      </c>
      <c r="E68" s="92" t="s">
        <v>690</v>
      </c>
      <c r="F68" s="92"/>
      <c r="G68" s="92"/>
      <c r="H68" s="92"/>
      <c r="I68" s="92"/>
      <c r="J68" s="92" t="s">
        <v>534</v>
      </c>
      <c r="K68" s="93" t="s">
        <v>302</v>
      </c>
      <c r="L68" s="98" t="s">
        <v>27</v>
      </c>
      <c r="M68" s="104" t="s">
        <v>303</v>
      </c>
      <c r="N68" s="94">
        <v>9500788980</v>
      </c>
      <c r="O68" s="94"/>
      <c r="P68" s="93" t="s">
        <v>99</v>
      </c>
      <c r="Q68" s="92" t="s">
        <v>351</v>
      </c>
      <c r="R68" s="92" t="s">
        <v>358</v>
      </c>
      <c r="S68" s="92" t="s">
        <v>358</v>
      </c>
      <c r="T68" s="104" t="s">
        <v>704</v>
      </c>
      <c r="U68" s="104" t="s">
        <v>705</v>
      </c>
      <c r="V68" s="86" t="s">
        <v>390</v>
      </c>
      <c r="W68" s="86" t="s">
        <v>359</v>
      </c>
      <c r="X68" s="86" t="s">
        <v>358</v>
      </c>
      <c r="Y68" s="140">
        <f>IF(ISBLANK(FeedbackFrmFounders[[#This Row],[Start Date]]),"",FeedbackFrmFounders[[#This Row],[Start Date]]-WEEKDAY(FeedbackFrmFounders[[#This Row],[Start Date]],2)+1)</f>
        <v>46013.402083333334</v>
      </c>
      <c r="Z68" s="161">
        <f>TRUNC(FeedbackFrmFounders[[#This Row],[Start of Week ]],)</f>
        <v>46013</v>
      </c>
      <c r="AA68" s="142" t="e">
        <f>VLOOKUP(FeedbackFrmFounders[[#This Row],[Venture Name]],#REF!,2,FALSE)</f>
        <v>#REF!</v>
      </c>
      <c r="AB68" s="142" t="e">
        <f>VLOOKUP(FeedbackFrmFounders[[#This Row],[Venture Name]],#REF!,4,FALSE)</f>
        <v>#REF!</v>
      </c>
    </row>
    <row r="69" spans="1:28" ht="16.95" customHeight="1" x14ac:dyDescent="0.3">
      <c r="A69" s="127">
        <v>115010120828</v>
      </c>
      <c r="B69" s="94">
        <v>438067093</v>
      </c>
      <c r="C69" s="162">
        <v>46014.410763888889</v>
      </c>
      <c r="D69" s="85">
        <v>46014.411666666667</v>
      </c>
      <c r="E69" s="92" t="s">
        <v>706</v>
      </c>
      <c r="F69" s="92"/>
      <c r="G69" s="92"/>
      <c r="H69" s="92"/>
      <c r="I69" s="92"/>
      <c r="J69" s="92" t="s">
        <v>534</v>
      </c>
      <c r="K69" s="93" t="s">
        <v>194</v>
      </c>
      <c r="L69" s="98" t="s">
        <v>79</v>
      </c>
      <c r="M69" s="104" t="s">
        <v>195</v>
      </c>
      <c r="N69" s="94">
        <v>9974393935</v>
      </c>
      <c r="O69" s="141"/>
      <c r="P69" s="99" t="s">
        <v>107</v>
      </c>
      <c r="Q69" s="92" t="s">
        <v>375</v>
      </c>
      <c r="R69" s="92" t="s">
        <v>358</v>
      </c>
      <c r="S69" s="92" t="s">
        <v>358</v>
      </c>
      <c r="T69" s="104"/>
      <c r="U69" s="104"/>
      <c r="V69" s="86"/>
      <c r="W69" s="86"/>
      <c r="X69" s="86" t="s">
        <v>358</v>
      </c>
      <c r="Y69" s="140">
        <f>IF(ISBLANK(FeedbackFrmFounders[[#This Row],[Start Date]]),"",FeedbackFrmFounders[[#This Row],[Start Date]]-WEEKDAY(FeedbackFrmFounders[[#This Row],[Start Date]],2)+1)</f>
        <v>46013.410763888889</v>
      </c>
      <c r="Z69" s="161">
        <f>TRUNC(FeedbackFrmFounders[[#This Row],[Start of Week ]],)</f>
        <v>46013</v>
      </c>
      <c r="AA69" s="142" t="e">
        <f>VLOOKUP(FeedbackFrmFounders[[#This Row],[Venture Name]],#REF!,2,FALSE)</f>
        <v>#REF!</v>
      </c>
      <c r="AB69" s="142" t="e">
        <f>VLOOKUP(FeedbackFrmFounders[[#This Row],[Venture Name]],#REF!,4,FALSE)</f>
        <v>#REF!</v>
      </c>
    </row>
    <row r="70" spans="1:28" ht="16.95" customHeight="1" x14ac:dyDescent="0.3">
      <c r="A70" s="127">
        <v>115010117943</v>
      </c>
      <c r="B70" s="94">
        <v>438067093</v>
      </c>
      <c r="C70" s="162">
        <v>46014.383958333332</v>
      </c>
      <c r="D70" s="85">
        <v>46014.401342592595</v>
      </c>
      <c r="E70" s="92" t="s">
        <v>690</v>
      </c>
      <c r="F70" s="92"/>
      <c r="G70" s="92"/>
      <c r="H70" s="92"/>
      <c r="I70" s="92"/>
      <c r="J70" s="92" t="s">
        <v>534</v>
      </c>
      <c r="K70" s="93" t="s">
        <v>205</v>
      </c>
      <c r="L70" s="93" t="s">
        <v>23</v>
      </c>
      <c r="M70" s="104" t="s">
        <v>206</v>
      </c>
      <c r="N70" s="127">
        <v>8149993555</v>
      </c>
      <c r="O70" s="144" t="s">
        <v>425</v>
      </c>
      <c r="P70" s="93" t="s">
        <v>101</v>
      </c>
      <c r="Q70" s="92" t="s">
        <v>351</v>
      </c>
      <c r="R70" s="92" t="s">
        <v>350</v>
      </c>
      <c r="S70" s="92" t="s">
        <v>358</v>
      </c>
      <c r="T70" s="104" t="s">
        <v>707</v>
      </c>
      <c r="U70" s="104" t="s">
        <v>426</v>
      </c>
      <c r="V70" s="86" t="s">
        <v>357</v>
      </c>
      <c r="W70" s="86" t="s">
        <v>359</v>
      </c>
      <c r="X70" s="86" t="s">
        <v>358</v>
      </c>
      <c r="Y70" s="140">
        <f>IF(ISBLANK(FeedbackFrmFounders[[#This Row],[Start Date]]),"",FeedbackFrmFounders[[#This Row],[Start Date]]-WEEKDAY(FeedbackFrmFounders[[#This Row],[Start Date]],2)+1)</f>
        <v>46013.383958333332</v>
      </c>
      <c r="Z70" s="161">
        <f>TRUNC(FeedbackFrmFounders[[#This Row],[Start of Week ]],)</f>
        <v>46013</v>
      </c>
      <c r="AA70" s="142" t="e">
        <f>VLOOKUP(FeedbackFrmFounders[[#This Row],[Venture Name]],#REF!,2,FALSE)</f>
        <v>#REF!</v>
      </c>
      <c r="AB70" s="142" t="e">
        <f>VLOOKUP(FeedbackFrmFounders[[#This Row],[Venture Name]],#REF!,4,FALSE)</f>
        <v>#REF!</v>
      </c>
    </row>
    <row r="71" spans="1:28" ht="16.95" customHeight="1" x14ac:dyDescent="0.3">
      <c r="A71" s="127">
        <v>115010117925</v>
      </c>
      <c r="B71" s="94">
        <v>438067093</v>
      </c>
      <c r="C71" s="162">
        <v>46014.395868055559</v>
      </c>
      <c r="D71" s="85">
        <v>46014.401296296295</v>
      </c>
      <c r="E71" s="92" t="s">
        <v>690</v>
      </c>
      <c r="F71" s="92"/>
      <c r="G71" s="92"/>
      <c r="H71" s="92"/>
      <c r="I71" s="92"/>
      <c r="J71" s="92" t="s">
        <v>534</v>
      </c>
      <c r="K71" s="93" t="s">
        <v>205</v>
      </c>
      <c r="L71" s="93" t="s">
        <v>23</v>
      </c>
      <c r="M71" s="104" t="s">
        <v>206</v>
      </c>
      <c r="N71" s="127">
        <v>8149993555</v>
      </c>
      <c r="O71" s="145" t="s">
        <v>427</v>
      </c>
      <c r="P71" s="93" t="s">
        <v>102</v>
      </c>
      <c r="Q71" s="92" t="s">
        <v>351</v>
      </c>
      <c r="R71" s="92" t="s">
        <v>350</v>
      </c>
      <c r="S71" s="92" t="s">
        <v>358</v>
      </c>
      <c r="T71" s="104" t="s">
        <v>708</v>
      </c>
      <c r="U71" s="104" t="s">
        <v>428</v>
      </c>
      <c r="V71" s="84" t="s">
        <v>367</v>
      </c>
      <c r="W71" s="86" t="s">
        <v>359</v>
      </c>
      <c r="X71" s="86" t="s">
        <v>358</v>
      </c>
      <c r="Y71" s="140">
        <f>IF(ISBLANK(FeedbackFrmFounders[[#This Row],[Start Date]]),"",FeedbackFrmFounders[[#This Row],[Start Date]]-WEEKDAY(FeedbackFrmFounders[[#This Row],[Start Date]],2)+1)</f>
        <v>46013.395868055559</v>
      </c>
      <c r="Z71" s="161">
        <f>TRUNC(FeedbackFrmFounders[[#This Row],[Start of Week ]],)</f>
        <v>46013</v>
      </c>
      <c r="AA71" s="142" t="e">
        <f>VLOOKUP(FeedbackFrmFounders[[#This Row],[Venture Name]],#REF!,2,FALSE)</f>
        <v>#REF!</v>
      </c>
      <c r="AB71" s="142" t="e">
        <f>VLOOKUP(FeedbackFrmFounders[[#This Row],[Venture Name]],#REF!,4,FALSE)</f>
        <v>#REF!</v>
      </c>
    </row>
    <row r="72" spans="1:28" ht="16.95" customHeight="1" x14ac:dyDescent="0.3">
      <c r="A72" s="127">
        <v>115009560473</v>
      </c>
      <c r="B72" s="94">
        <v>438067093</v>
      </c>
      <c r="C72" s="162">
        <v>46013.407395833332</v>
      </c>
      <c r="D72" s="85">
        <v>46013.408703703702</v>
      </c>
      <c r="E72" s="92" t="s">
        <v>709</v>
      </c>
      <c r="F72" s="92"/>
      <c r="G72" s="92"/>
      <c r="H72" s="92"/>
      <c r="I72" s="92"/>
      <c r="J72" s="92" t="s">
        <v>534</v>
      </c>
      <c r="K72" s="93" t="s">
        <v>710</v>
      </c>
      <c r="L72" s="98" t="s">
        <v>56</v>
      </c>
      <c r="M72" s="104" t="s">
        <v>711</v>
      </c>
      <c r="N72" s="94">
        <v>7358712151</v>
      </c>
      <c r="O72" s="94"/>
      <c r="P72" s="93" t="s">
        <v>96</v>
      </c>
      <c r="Q72" s="92" t="s">
        <v>375</v>
      </c>
      <c r="R72" s="92" t="s">
        <v>358</v>
      </c>
      <c r="S72" s="92" t="s">
        <v>345</v>
      </c>
      <c r="T72" s="104"/>
      <c r="U72" s="104"/>
      <c r="V72" s="86"/>
      <c r="W72" s="86"/>
      <c r="X72" s="86" t="s">
        <v>358</v>
      </c>
      <c r="Y72" s="140">
        <f>IF(ISBLANK(FeedbackFrmFounders[[#This Row],[Start Date]]),"",FeedbackFrmFounders[[#This Row],[Start Date]]-WEEKDAY(FeedbackFrmFounders[[#This Row],[Start Date]],2)+1)</f>
        <v>46013.407395833332</v>
      </c>
      <c r="Z72" s="161">
        <f>TRUNC(FeedbackFrmFounders[[#This Row],[Start of Week ]],)</f>
        <v>46013</v>
      </c>
      <c r="AA72" s="142" t="e">
        <f>VLOOKUP(FeedbackFrmFounders[[#This Row],[Venture Name]],#REF!,2,FALSE)</f>
        <v>#REF!</v>
      </c>
      <c r="AB72" s="142" t="e">
        <f>VLOOKUP(FeedbackFrmFounders[[#This Row],[Venture Name]],#REF!,4,FALSE)</f>
        <v>#REF!</v>
      </c>
    </row>
    <row r="73" spans="1:28" ht="16.95" customHeight="1" x14ac:dyDescent="0.3">
      <c r="A73" s="127">
        <v>115008303612</v>
      </c>
      <c r="B73" s="94">
        <v>438067093</v>
      </c>
      <c r="C73" s="162">
        <v>46010.466539351852</v>
      </c>
      <c r="D73" s="85">
        <v>46010.468680555554</v>
      </c>
      <c r="E73" s="92" t="s">
        <v>690</v>
      </c>
      <c r="F73" s="92"/>
      <c r="G73" s="92"/>
      <c r="H73" s="92"/>
      <c r="I73" s="92"/>
      <c r="J73" s="92" t="s">
        <v>534</v>
      </c>
      <c r="K73" s="93" t="s">
        <v>257</v>
      </c>
      <c r="L73" s="95" t="s">
        <v>46</v>
      </c>
      <c r="M73" s="104" t="s">
        <v>258</v>
      </c>
      <c r="N73" s="127">
        <v>9884422270</v>
      </c>
      <c r="O73" s="140" t="s">
        <v>712</v>
      </c>
      <c r="P73" s="148" t="s">
        <v>91</v>
      </c>
      <c r="Q73" s="92" t="s">
        <v>355</v>
      </c>
      <c r="R73" s="92" t="s">
        <v>350</v>
      </c>
      <c r="S73" s="92" t="s">
        <v>358</v>
      </c>
      <c r="T73" s="104" t="s">
        <v>713</v>
      </c>
      <c r="U73" s="104" t="s">
        <v>714</v>
      </c>
      <c r="V73" s="86" t="s">
        <v>367</v>
      </c>
      <c r="W73" s="86" t="s">
        <v>359</v>
      </c>
      <c r="X73" s="86" t="s">
        <v>358</v>
      </c>
      <c r="Y73" s="140">
        <f>IF(ISBLANK(FeedbackFrmFounders[[#This Row],[Start Date]]),"",FeedbackFrmFounders[[#This Row],[Start Date]]-WEEKDAY(FeedbackFrmFounders[[#This Row],[Start Date]],2)+1)</f>
        <v>46006.466539351852</v>
      </c>
      <c r="Z73" s="161">
        <f>TRUNC(FeedbackFrmFounders[[#This Row],[Start of Week ]],)</f>
        <v>46006</v>
      </c>
      <c r="AA73" s="142" t="e">
        <f>VLOOKUP(FeedbackFrmFounders[[#This Row],[Venture Name]],#REF!,2,FALSE)</f>
        <v>#REF!</v>
      </c>
      <c r="AB73" s="142" t="e">
        <f>VLOOKUP(FeedbackFrmFounders[[#This Row],[Venture Name]],#REF!,4,FALSE)</f>
        <v>#REF!</v>
      </c>
    </row>
    <row r="74" spans="1:28" ht="16.95" customHeight="1" x14ac:dyDescent="0.3">
      <c r="A74" s="127">
        <v>115008276429</v>
      </c>
      <c r="B74" s="94">
        <v>438067093</v>
      </c>
      <c r="C74" s="162">
        <v>46010.397280092591</v>
      </c>
      <c r="D74" s="85">
        <v>46010.398148148146</v>
      </c>
      <c r="E74" s="92" t="s">
        <v>715</v>
      </c>
      <c r="F74" s="92"/>
      <c r="G74" s="92"/>
      <c r="H74" s="92"/>
      <c r="I74" s="92"/>
      <c r="J74" s="92" t="s">
        <v>534</v>
      </c>
      <c r="K74" s="93" t="s">
        <v>716</v>
      </c>
      <c r="L74" s="93" t="s">
        <v>399</v>
      </c>
      <c r="M74" s="104" t="s">
        <v>183</v>
      </c>
      <c r="N74" s="127">
        <v>9845467896</v>
      </c>
      <c r="O74" s="127" t="s">
        <v>717</v>
      </c>
      <c r="P74" s="93" t="s">
        <v>85</v>
      </c>
      <c r="Q74" s="92" t="s">
        <v>355</v>
      </c>
      <c r="R74" s="92" t="s">
        <v>350</v>
      </c>
      <c r="S74" s="92" t="s">
        <v>358</v>
      </c>
      <c r="T74" s="104" t="s">
        <v>718</v>
      </c>
      <c r="U74" s="104" t="s">
        <v>719</v>
      </c>
      <c r="V74" s="86"/>
      <c r="W74" s="86" t="s">
        <v>348</v>
      </c>
      <c r="X74" s="86" t="s">
        <v>358</v>
      </c>
      <c r="Y74" s="140">
        <f>IF(ISBLANK(FeedbackFrmFounders[[#This Row],[Start Date]]),"",FeedbackFrmFounders[[#This Row],[Start Date]]-WEEKDAY(FeedbackFrmFounders[[#This Row],[Start Date]],2)+1)</f>
        <v>46006.397280092591</v>
      </c>
      <c r="Z74" s="161">
        <f>TRUNC(FeedbackFrmFounders[[#This Row],[Start of Week ]],)</f>
        <v>46006</v>
      </c>
      <c r="AA74" s="142" t="e">
        <f>VLOOKUP(FeedbackFrmFounders[[#This Row],[Venture Name]],#REF!,2,FALSE)</f>
        <v>#REF!</v>
      </c>
      <c r="AB74" s="142" t="e">
        <f>VLOOKUP(FeedbackFrmFounders[[#This Row],[Venture Name]],#REF!,4,FALSE)</f>
        <v>#REF!</v>
      </c>
    </row>
    <row r="75" spans="1:28" ht="16.95" customHeight="1" x14ac:dyDescent="0.3">
      <c r="A75" s="127">
        <v>115007761748</v>
      </c>
      <c r="B75" s="94">
        <v>438067093</v>
      </c>
      <c r="C75" s="162">
        <v>46009.812719907408</v>
      </c>
      <c r="D75" s="85">
        <v>46009.822013888886</v>
      </c>
      <c r="E75" s="92" t="s">
        <v>720</v>
      </c>
      <c r="F75" s="92"/>
      <c r="G75" s="92"/>
      <c r="H75" s="92"/>
      <c r="I75" s="92"/>
      <c r="J75" s="92" t="s">
        <v>534</v>
      </c>
      <c r="K75" s="93" t="s">
        <v>165</v>
      </c>
      <c r="L75" s="95" t="s">
        <v>57</v>
      </c>
      <c r="M75" s="104" t="s">
        <v>721</v>
      </c>
      <c r="N75" s="94">
        <v>8459270858</v>
      </c>
      <c r="O75" s="94"/>
      <c r="P75" s="93" t="s">
        <v>85</v>
      </c>
      <c r="Q75" s="92" t="s">
        <v>375</v>
      </c>
      <c r="R75" s="92" t="s">
        <v>358</v>
      </c>
      <c r="S75" s="92" t="s">
        <v>358</v>
      </c>
      <c r="T75" s="104" t="s">
        <v>722</v>
      </c>
      <c r="U75" s="104"/>
      <c r="V75" s="86"/>
      <c r="W75" s="86"/>
      <c r="X75" s="86" t="s">
        <v>358</v>
      </c>
      <c r="Y75" s="140">
        <f>IF(ISBLANK(FeedbackFrmFounders[[#This Row],[Start Date]]),"",FeedbackFrmFounders[[#This Row],[Start Date]]-WEEKDAY(FeedbackFrmFounders[[#This Row],[Start Date]],2)+1)</f>
        <v>46006.812719907408</v>
      </c>
      <c r="Z75" s="161">
        <f>TRUNC(FeedbackFrmFounders[[#This Row],[Start of Week ]],)</f>
        <v>46006</v>
      </c>
      <c r="AA75" s="142" t="e">
        <f>VLOOKUP(FeedbackFrmFounders[[#This Row],[Venture Name]],#REF!,2,FALSE)</f>
        <v>#REF!</v>
      </c>
      <c r="AB75" s="142" t="e">
        <f>VLOOKUP(FeedbackFrmFounders[[#This Row],[Venture Name]],#REF!,4,FALSE)</f>
        <v>#REF!</v>
      </c>
    </row>
    <row r="76" spans="1:28" ht="16.95" customHeight="1" x14ac:dyDescent="0.3">
      <c r="A76" s="127">
        <v>115007336842</v>
      </c>
      <c r="B76" s="94">
        <v>438067093</v>
      </c>
      <c r="C76" s="162">
        <v>46009.387071759258</v>
      </c>
      <c r="D76" s="85">
        <v>46009.408356481479</v>
      </c>
      <c r="E76" s="92" t="s">
        <v>723</v>
      </c>
      <c r="F76" s="92"/>
      <c r="G76" s="92"/>
      <c r="H76" s="92"/>
      <c r="I76" s="92"/>
      <c r="J76" s="92" t="s">
        <v>534</v>
      </c>
      <c r="K76" s="93" t="s">
        <v>307</v>
      </c>
      <c r="L76" s="98" t="s">
        <v>2</v>
      </c>
      <c r="M76" s="104" t="s">
        <v>724</v>
      </c>
      <c r="N76" s="94">
        <v>8320421625</v>
      </c>
      <c r="O76" s="141"/>
      <c r="P76" s="99" t="s">
        <v>3</v>
      </c>
      <c r="Q76" s="92" t="s">
        <v>355</v>
      </c>
      <c r="R76" s="92" t="s">
        <v>358</v>
      </c>
      <c r="S76" s="92" t="s">
        <v>345</v>
      </c>
      <c r="T76" s="104" t="s">
        <v>725</v>
      </c>
      <c r="U76" s="104"/>
      <c r="V76" s="86"/>
      <c r="W76" s="86"/>
      <c r="X76" s="86" t="s">
        <v>358</v>
      </c>
      <c r="Y76" s="140">
        <f>IF(ISBLANK(FeedbackFrmFounders[[#This Row],[Start Date]]),"",FeedbackFrmFounders[[#This Row],[Start Date]]-WEEKDAY(FeedbackFrmFounders[[#This Row],[Start Date]],2)+1)</f>
        <v>46006.387071759258</v>
      </c>
      <c r="Z76" s="161">
        <f>TRUNC(FeedbackFrmFounders[[#This Row],[Start of Week ]],)</f>
        <v>46006</v>
      </c>
      <c r="AA76" s="142" t="e">
        <f>VLOOKUP(FeedbackFrmFounders[[#This Row],[Venture Name]],#REF!,2,FALSE)</f>
        <v>#REF!</v>
      </c>
      <c r="AB76" s="142" t="e">
        <f>VLOOKUP(FeedbackFrmFounders[[#This Row],[Venture Name]],#REF!,4,FALSE)</f>
        <v>#REF!</v>
      </c>
    </row>
    <row r="77" spans="1:28" ht="16.95" customHeight="1" x14ac:dyDescent="0.3">
      <c r="A77" s="127">
        <v>115007336371</v>
      </c>
      <c r="B77" s="94">
        <v>438067093</v>
      </c>
      <c r="C77" s="162">
        <v>46009.405659722222</v>
      </c>
      <c r="D77" s="85">
        <v>46009.407337962963</v>
      </c>
      <c r="E77" s="92" t="s">
        <v>726</v>
      </c>
      <c r="F77" s="92"/>
      <c r="G77" s="92"/>
      <c r="H77" s="92"/>
      <c r="I77" s="92"/>
      <c r="J77" s="92" t="s">
        <v>534</v>
      </c>
      <c r="K77" s="93" t="s">
        <v>727</v>
      </c>
      <c r="L77" s="93" t="s">
        <v>71</v>
      </c>
      <c r="M77" s="104" t="s">
        <v>187</v>
      </c>
      <c r="N77" s="127">
        <v>9722063653</v>
      </c>
      <c r="O77" s="144" t="s">
        <v>392</v>
      </c>
      <c r="P77" s="99" t="s">
        <v>5</v>
      </c>
      <c r="Q77" s="92" t="s">
        <v>355</v>
      </c>
      <c r="R77" s="92" t="s">
        <v>350</v>
      </c>
      <c r="S77" s="92" t="s">
        <v>358</v>
      </c>
      <c r="T77" s="104" t="s">
        <v>728</v>
      </c>
      <c r="U77" s="104" t="s">
        <v>599</v>
      </c>
      <c r="V77" s="86" t="s">
        <v>599</v>
      </c>
      <c r="W77" s="86" t="s">
        <v>599</v>
      </c>
      <c r="X77" s="86" t="s">
        <v>599</v>
      </c>
      <c r="Y77" s="140">
        <f>IF(ISBLANK(FeedbackFrmFounders[[#This Row],[Start Date]]),"",FeedbackFrmFounders[[#This Row],[Start Date]]-WEEKDAY(FeedbackFrmFounders[[#This Row],[Start Date]],2)+1)</f>
        <v>46006.405659722222</v>
      </c>
      <c r="Z77" s="161">
        <f>TRUNC(FeedbackFrmFounders[[#This Row],[Start of Week ]],)</f>
        <v>46006</v>
      </c>
      <c r="AA77" s="142" t="e">
        <f>VLOOKUP(FeedbackFrmFounders[[#This Row],[Venture Name]],#REF!,2,FALSE)</f>
        <v>#REF!</v>
      </c>
      <c r="AB77" s="142" t="e">
        <f>VLOOKUP(FeedbackFrmFounders[[#This Row],[Venture Name]],#REF!,4,FALSE)</f>
        <v>#REF!</v>
      </c>
    </row>
    <row r="78" spans="1:28" ht="16.95" customHeight="1" x14ac:dyDescent="0.3">
      <c r="A78" s="127">
        <v>115007335452</v>
      </c>
      <c r="B78" s="94">
        <v>438067093</v>
      </c>
      <c r="C78" s="162">
        <v>46009.402719907404</v>
      </c>
      <c r="D78" s="85">
        <v>46009.405358796299</v>
      </c>
      <c r="E78" s="92" t="s">
        <v>726</v>
      </c>
      <c r="F78" s="92"/>
      <c r="G78" s="92"/>
      <c r="H78" s="92"/>
      <c r="I78" s="92"/>
      <c r="J78" s="92" t="s">
        <v>534</v>
      </c>
      <c r="K78" s="93" t="s">
        <v>727</v>
      </c>
      <c r="L78" s="93" t="s">
        <v>71</v>
      </c>
      <c r="M78" s="104" t="s">
        <v>187</v>
      </c>
      <c r="N78" s="127">
        <v>9722063653</v>
      </c>
      <c r="O78" s="145" t="s">
        <v>392</v>
      </c>
      <c r="P78" s="99" t="s">
        <v>5</v>
      </c>
      <c r="Q78" s="92" t="s">
        <v>355</v>
      </c>
      <c r="R78" s="92" t="s">
        <v>350</v>
      </c>
      <c r="S78" s="92" t="s">
        <v>358</v>
      </c>
      <c r="T78" s="104" t="s">
        <v>729</v>
      </c>
      <c r="U78" s="104" t="s">
        <v>393</v>
      </c>
      <c r="V78" s="86" t="s">
        <v>367</v>
      </c>
      <c r="W78" s="86" t="s">
        <v>359</v>
      </c>
      <c r="X78" s="86" t="s">
        <v>358</v>
      </c>
      <c r="Y78" s="140">
        <f>IF(ISBLANK(FeedbackFrmFounders[[#This Row],[Start Date]]),"",FeedbackFrmFounders[[#This Row],[Start Date]]-WEEKDAY(FeedbackFrmFounders[[#This Row],[Start Date]],2)+1)</f>
        <v>46006.402719907404</v>
      </c>
      <c r="Z78" s="161">
        <f>TRUNC(FeedbackFrmFounders[[#This Row],[Start of Week ]],)</f>
        <v>46006</v>
      </c>
      <c r="AA78" s="142" t="e">
        <f>VLOOKUP(FeedbackFrmFounders[[#This Row],[Venture Name]],#REF!,2,FALSE)</f>
        <v>#REF!</v>
      </c>
      <c r="AB78" s="142" t="e">
        <f>VLOOKUP(FeedbackFrmFounders[[#This Row],[Venture Name]],#REF!,4,FALSE)</f>
        <v>#REF!</v>
      </c>
    </row>
    <row r="79" spans="1:28" ht="16.95" customHeight="1" x14ac:dyDescent="0.3">
      <c r="A79" s="127">
        <v>115007047056</v>
      </c>
      <c r="B79" s="94">
        <v>438067093</v>
      </c>
      <c r="C79" s="162">
        <v>46009.008692129632</v>
      </c>
      <c r="D79" s="85">
        <v>46009.014270833337</v>
      </c>
      <c r="E79" s="92" t="s">
        <v>730</v>
      </c>
      <c r="F79" s="92"/>
      <c r="G79" s="92"/>
      <c r="H79" s="92"/>
      <c r="I79" s="92"/>
      <c r="J79" s="92" t="s">
        <v>534</v>
      </c>
      <c r="K79" s="93" t="s">
        <v>731</v>
      </c>
      <c r="L79" s="93" t="s">
        <v>75</v>
      </c>
      <c r="M79" s="104" t="s">
        <v>295</v>
      </c>
      <c r="N79" s="127">
        <v>9962279984</v>
      </c>
      <c r="O79" s="127" t="s">
        <v>406</v>
      </c>
      <c r="P79" s="93" t="s">
        <v>405</v>
      </c>
      <c r="Q79" s="92" t="s">
        <v>351</v>
      </c>
      <c r="R79" s="92" t="s">
        <v>350</v>
      </c>
      <c r="S79" s="92" t="s">
        <v>345</v>
      </c>
      <c r="T79" s="104" t="s">
        <v>732</v>
      </c>
      <c r="U79" s="104" t="s">
        <v>733</v>
      </c>
      <c r="V79" s="86" t="s">
        <v>357</v>
      </c>
      <c r="W79" s="86" t="s">
        <v>359</v>
      </c>
      <c r="X79" s="86" t="s">
        <v>358</v>
      </c>
      <c r="Y79" s="140">
        <f>IF(ISBLANK(FeedbackFrmFounders[[#This Row],[Start Date]]),"",FeedbackFrmFounders[[#This Row],[Start Date]]-WEEKDAY(FeedbackFrmFounders[[#This Row],[Start Date]],2)+1)</f>
        <v>46006.008692129632</v>
      </c>
      <c r="Z79" s="161">
        <f>TRUNC(FeedbackFrmFounders[[#This Row],[Start of Week ]],)</f>
        <v>46006</v>
      </c>
      <c r="AA79" s="142" t="e">
        <f>VLOOKUP(FeedbackFrmFounders[[#This Row],[Venture Name]],#REF!,2,FALSE)</f>
        <v>#REF!</v>
      </c>
      <c r="AB79" s="142" t="e">
        <f>VLOOKUP(FeedbackFrmFounders[[#This Row],[Venture Name]],#REF!,4,FALSE)</f>
        <v>#REF!</v>
      </c>
    </row>
    <row r="80" spans="1:28" ht="16.95" customHeight="1" x14ac:dyDescent="0.3">
      <c r="A80" s="127">
        <v>115006771773</v>
      </c>
      <c r="B80" s="94">
        <v>438067093</v>
      </c>
      <c r="C80" s="162">
        <v>46008.72351851852</v>
      </c>
      <c r="D80" s="85">
        <v>46008.726666666669</v>
      </c>
      <c r="E80" s="92" t="s">
        <v>626</v>
      </c>
      <c r="F80" s="92"/>
      <c r="G80" s="92"/>
      <c r="H80" s="92"/>
      <c r="I80" s="92"/>
      <c r="J80" s="92" t="s">
        <v>534</v>
      </c>
      <c r="K80" s="93" t="s">
        <v>627</v>
      </c>
      <c r="L80" s="97" t="s">
        <v>21</v>
      </c>
      <c r="M80" s="104" t="s">
        <v>328</v>
      </c>
      <c r="N80" s="94">
        <v>9822020629</v>
      </c>
      <c r="O80" s="141"/>
      <c r="P80" s="99" t="s">
        <v>5</v>
      </c>
      <c r="Q80" s="92" t="s">
        <v>355</v>
      </c>
      <c r="R80" s="92" t="s">
        <v>358</v>
      </c>
      <c r="S80" s="92" t="s">
        <v>358</v>
      </c>
      <c r="T80" s="104" t="s">
        <v>734</v>
      </c>
      <c r="U80" s="104"/>
      <c r="V80" s="86"/>
      <c r="W80" s="86"/>
      <c r="X80" s="86" t="s">
        <v>345</v>
      </c>
      <c r="Y80" s="140">
        <f>IF(ISBLANK(FeedbackFrmFounders[[#This Row],[Start Date]]),"",FeedbackFrmFounders[[#This Row],[Start Date]]-WEEKDAY(FeedbackFrmFounders[[#This Row],[Start Date]],2)+1)</f>
        <v>46006.72351851852</v>
      </c>
      <c r="Z80" s="161">
        <f>TRUNC(FeedbackFrmFounders[[#This Row],[Start of Week ]],)</f>
        <v>46006</v>
      </c>
      <c r="AA80" s="142" t="e">
        <f>VLOOKUP(FeedbackFrmFounders[[#This Row],[Venture Name]],#REF!,2,FALSE)</f>
        <v>#REF!</v>
      </c>
      <c r="AB80" s="142" t="e">
        <f>VLOOKUP(FeedbackFrmFounders[[#This Row],[Venture Name]],#REF!,4,FALSE)</f>
        <v>#REF!</v>
      </c>
    </row>
    <row r="81" spans="1:28" ht="16.95" customHeight="1" x14ac:dyDescent="0.3">
      <c r="A81" s="127">
        <v>115006769848</v>
      </c>
      <c r="B81" s="94">
        <v>438067093</v>
      </c>
      <c r="C81" s="162">
        <v>46008.717777777776</v>
      </c>
      <c r="D81" s="85">
        <v>46008.723379629628</v>
      </c>
      <c r="E81" s="92" t="s">
        <v>626</v>
      </c>
      <c r="F81" s="92"/>
      <c r="G81" s="92"/>
      <c r="H81" s="92"/>
      <c r="I81" s="92"/>
      <c r="J81" s="92" t="s">
        <v>534</v>
      </c>
      <c r="K81" s="93" t="s">
        <v>627</v>
      </c>
      <c r="L81" s="97" t="s">
        <v>21</v>
      </c>
      <c r="M81" s="104" t="s">
        <v>328</v>
      </c>
      <c r="N81" s="94">
        <v>9822020629</v>
      </c>
      <c r="O81" s="94"/>
      <c r="P81" s="93" t="s">
        <v>85</v>
      </c>
      <c r="Q81" s="92" t="s">
        <v>355</v>
      </c>
      <c r="R81" s="92" t="s">
        <v>358</v>
      </c>
      <c r="S81" s="92" t="s">
        <v>358</v>
      </c>
      <c r="T81" s="104" t="s">
        <v>735</v>
      </c>
      <c r="U81" s="104"/>
      <c r="V81" s="86"/>
      <c r="W81" s="86"/>
      <c r="X81" s="86" t="s">
        <v>358</v>
      </c>
      <c r="Y81" s="140">
        <f>IF(ISBLANK(FeedbackFrmFounders[[#This Row],[Start Date]]),"",FeedbackFrmFounders[[#This Row],[Start Date]]-WEEKDAY(FeedbackFrmFounders[[#This Row],[Start Date]],2)+1)</f>
        <v>46006.717777777776</v>
      </c>
      <c r="Z81" s="161">
        <f>TRUNC(FeedbackFrmFounders[[#This Row],[Start of Week ]],)</f>
        <v>46006</v>
      </c>
      <c r="AA81" s="142" t="e">
        <f>VLOOKUP(FeedbackFrmFounders[[#This Row],[Venture Name]],#REF!,2,FALSE)</f>
        <v>#REF!</v>
      </c>
      <c r="AB81" s="142" t="e">
        <f>VLOOKUP(FeedbackFrmFounders[[#This Row],[Venture Name]],#REF!,4,FALSE)</f>
        <v>#REF!</v>
      </c>
    </row>
    <row r="82" spans="1:28" ht="16.95" customHeight="1" x14ac:dyDescent="0.3">
      <c r="A82" s="127">
        <v>115006767952</v>
      </c>
      <c r="B82" s="94">
        <v>438067093</v>
      </c>
      <c r="C82" s="162">
        <v>46008.718472222223</v>
      </c>
      <c r="D82" s="85">
        <v>46008.720046296294</v>
      </c>
      <c r="E82" s="92" t="s">
        <v>736</v>
      </c>
      <c r="F82" s="92"/>
      <c r="G82" s="92"/>
      <c r="H82" s="92"/>
      <c r="I82" s="92"/>
      <c r="J82" s="92" t="s">
        <v>534</v>
      </c>
      <c r="K82" s="133" t="s">
        <v>146</v>
      </c>
      <c r="L82" s="104" t="s">
        <v>34</v>
      </c>
      <c r="M82" s="104" t="s">
        <v>737</v>
      </c>
      <c r="N82" s="127">
        <v>7386895860</v>
      </c>
      <c r="O82" s="127" t="s">
        <v>360</v>
      </c>
      <c r="P82" s="93" t="s">
        <v>106</v>
      </c>
      <c r="Q82" s="92" t="s">
        <v>352</v>
      </c>
      <c r="R82" s="92" t="s">
        <v>345</v>
      </c>
      <c r="S82" s="92" t="s">
        <v>345</v>
      </c>
      <c r="T82" s="104" t="s">
        <v>738</v>
      </c>
      <c r="U82" s="104" t="s">
        <v>739</v>
      </c>
      <c r="V82" s="86" t="s">
        <v>357</v>
      </c>
      <c r="W82" s="86" t="s">
        <v>359</v>
      </c>
      <c r="X82" s="86" t="s">
        <v>358</v>
      </c>
      <c r="Y82" s="140">
        <f>IF(ISBLANK(FeedbackFrmFounders[[#This Row],[Start Date]]),"",FeedbackFrmFounders[[#This Row],[Start Date]]-WEEKDAY(FeedbackFrmFounders[[#This Row],[Start Date]],2)+1)</f>
        <v>46006.718472222223</v>
      </c>
      <c r="Z82" s="161">
        <f>TRUNC(FeedbackFrmFounders[[#This Row],[Start of Week ]],)</f>
        <v>46006</v>
      </c>
      <c r="AA82" s="142" t="e">
        <f>VLOOKUP(FeedbackFrmFounders[[#This Row],[Venture Name]],#REF!,2,FALSE)</f>
        <v>#REF!</v>
      </c>
      <c r="AB82" s="142" t="e">
        <f>VLOOKUP(FeedbackFrmFounders[[#This Row],[Venture Name]],#REF!,4,FALSE)</f>
        <v>#REF!</v>
      </c>
    </row>
    <row r="83" spans="1:28" ht="16.95" customHeight="1" x14ac:dyDescent="0.3">
      <c r="A83" s="127">
        <v>115006766979</v>
      </c>
      <c r="B83" s="94">
        <v>438067093</v>
      </c>
      <c r="C83" s="162">
        <v>46008.717731481483</v>
      </c>
      <c r="D83" s="85">
        <v>46008.718391203707</v>
      </c>
      <c r="E83" s="92" t="s">
        <v>736</v>
      </c>
      <c r="F83" s="92"/>
      <c r="G83" s="92"/>
      <c r="H83" s="92"/>
      <c r="I83" s="92"/>
      <c r="J83" s="92" t="s">
        <v>534</v>
      </c>
      <c r="K83" s="93" t="s">
        <v>740</v>
      </c>
      <c r="L83" s="93" t="s">
        <v>34</v>
      </c>
      <c r="M83" s="92" t="s">
        <v>737</v>
      </c>
      <c r="N83" s="127">
        <v>7386895860</v>
      </c>
      <c r="O83" s="127"/>
      <c r="P83" s="93" t="s">
        <v>105</v>
      </c>
      <c r="Q83" s="92" t="s">
        <v>351</v>
      </c>
      <c r="R83" s="92" t="s">
        <v>358</v>
      </c>
      <c r="S83" s="92" t="s">
        <v>345</v>
      </c>
      <c r="T83" s="104"/>
      <c r="U83" s="104" t="s">
        <v>741</v>
      </c>
      <c r="V83" s="86"/>
      <c r="W83" s="86" t="s">
        <v>742</v>
      </c>
      <c r="X83" s="86" t="s">
        <v>358</v>
      </c>
      <c r="Y83" s="140">
        <f>IF(ISBLANK(FeedbackFrmFounders[[#This Row],[Start Date]]),"",FeedbackFrmFounders[[#This Row],[Start Date]]-WEEKDAY(FeedbackFrmFounders[[#This Row],[Start Date]],2)+1)</f>
        <v>46006.717731481483</v>
      </c>
      <c r="Z83" s="161">
        <f>TRUNC(FeedbackFrmFounders[[#This Row],[Start of Week ]],)</f>
        <v>46006</v>
      </c>
      <c r="AA83" s="142" t="e">
        <f>VLOOKUP(FeedbackFrmFounders[[#This Row],[Venture Name]],#REF!,2,FALSE)</f>
        <v>#REF!</v>
      </c>
      <c r="AB83" s="142" t="e">
        <f>VLOOKUP(FeedbackFrmFounders[[#This Row],[Venture Name]],#REF!,4,FALSE)</f>
        <v>#REF!</v>
      </c>
    </row>
    <row r="84" spans="1:28" ht="16.95" customHeight="1" x14ac:dyDescent="0.3">
      <c r="A84" s="127">
        <v>115006764647</v>
      </c>
      <c r="B84" s="94">
        <v>438067093</v>
      </c>
      <c r="C84" s="162">
        <v>46008.707986111112</v>
      </c>
      <c r="D84" s="85">
        <v>46008.714282407411</v>
      </c>
      <c r="E84" s="92" t="s">
        <v>743</v>
      </c>
      <c r="F84" s="92"/>
      <c r="G84" s="92"/>
      <c r="H84" s="92"/>
      <c r="I84" s="92"/>
      <c r="J84" s="92" t="s">
        <v>534</v>
      </c>
      <c r="K84" s="93" t="s">
        <v>744</v>
      </c>
      <c r="L84" s="93" t="s">
        <v>66</v>
      </c>
      <c r="M84" s="104" t="s">
        <v>745</v>
      </c>
      <c r="N84" s="127">
        <v>9920695995</v>
      </c>
      <c r="O84" s="127" t="s">
        <v>746</v>
      </c>
      <c r="P84" s="93" t="s">
        <v>89</v>
      </c>
      <c r="Q84" s="92" t="s">
        <v>351</v>
      </c>
      <c r="R84" s="92" t="s">
        <v>350</v>
      </c>
      <c r="S84" s="92" t="s">
        <v>345</v>
      </c>
      <c r="T84" s="104" t="s">
        <v>747</v>
      </c>
      <c r="U84" s="104" t="s">
        <v>419</v>
      </c>
      <c r="V84" s="86" t="s">
        <v>357</v>
      </c>
      <c r="W84" s="86" t="s">
        <v>359</v>
      </c>
      <c r="X84" s="86" t="s">
        <v>358</v>
      </c>
      <c r="Y84" s="140">
        <f>IF(ISBLANK(FeedbackFrmFounders[[#This Row],[Start Date]]),"",FeedbackFrmFounders[[#This Row],[Start Date]]-WEEKDAY(FeedbackFrmFounders[[#This Row],[Start Date]],2)+1)</f>
        <v>46006.707986111112</v>
      </c>
      <c r="Z84" s="161">
        <f>TRUNC(FeedbackFrmFounders[[#This Row],[Start of Week ]],)</f>
        <v>46006</v>
      </c>
      <c r="AA84" s="142" t="e">
        <f>VLOOKUP(FeedbackFrmFounders[[#This Row],[Venture Name]],#REF!,2,FALSE)</f>
        <v>#REF!</v>
      </c>
      <c r="AB84" s="142" t="e">
        <f>VLOOKUP(FeedbackFrmFounders[[#This Row],[Venture Name]],#REF!,4,FALSE)</f>
        <v>#REF!</v>
      </c>
    </row>
    <row r="85" spans="1:28" ht="16.95" customHeight="1" x14ac:dyDescent="0.3">
      <c r="A85" s="127">
        <v>115006760019</v>
      </c>
      <c r="B85" s="94">
        <v>438067093</v>
      </c>
      <c r="C85" s="162">
        <v>46008.704930555556</v>
      </c>
      <c r="D85" s="85">
        <v>46008.706238425926</v>
      </c>
      <c r="E85" s="92" t="s">
        <v>748</v>
      </c>
      <c r="F85" s="92"/>
      <c r="G85" s="92"/>
      <c r="H85" s="92"/>
      <c r="I85" s="92"/>
      <c r="J85" s="92" t="s">
        <v>534</v>
      </c>
      <c r="K85" s="93" t="s">
        <v>749</v>
      </c>
      <c r="L85" s="93" t="s">
        <v>48</v>
      </c>
      <c r="M85" s="104" t="s">
        <v>750</v>
      </c>
      <c r="N85" s="127">
        <v>9133925836</v>
      </c>
      <c r="O85" s="127" t="s">
        <v>751</v>
      </c>
      <c r="P85" s="93" t="s">
        <v>416</v>
      </c>
      <c r="Q85" s="92" t="s">
        <v>352</v>
      </c>
      <c r="R85" s="92" t="s">
        <v>345</v>
      </c>
      <c r="S85" s="92" t="s">
        <v>345</v>
      </c>
      <c r="T85" s="104" t="s">
        <v>752</v>
      </c>
      <c r="U85" s="104" t="s">
        <v>599</v>
      </c>
      <c r="V85" s="86" t="s">
        <v>599</v>
      </c>
      <c r="W85" s="86" t="s">
        <v>599</v>
      </c>
      <c r="X85" s="86" t="s">
        <v>599</v>
      </c>
      <c r="Y85" s="140">
        <f>IF(ISBLANK(FeedbackFrmFounders[[#This Row],[Start Date]]),"",FeedbackFrmFounders[[#This Row],[Start Date]]-WEEKDAY(FeedbackFrmFounders[[#This Row],[Start Date]],2)+1)</f>
        <v>46006.704930555556</v>
      </c>
      <c r="Z85" s="161">
        <f>TRUNC(FeedbackFrmFounders[[#This Row],[Start of Week ]],)</f>
        <v>46006</v>
      </c>
      <c r="AA85" s="142" t="e">
        <f>VLOOKUP(FeedbackFrmFounders[[#This Row],[Venture Name]],#REF!,2,FALSE)</f>
        <v>#REF!</v>
      </c>
      <c r="AB85" s="142" t="e">
        <f>VLOOKUP(FeedbackFrmFounders[[#This Row],[Venture Name]],#REF!,4,FALSE)</f>
        <v>#REF!</v>
      </c>
    </row>
    <row r="86" spans="1:28" ht="16.95" customHeight="1" x14ac:dyDescent="0.3">
      <c r="A86" s="127">
        <v>115006758570</v>
      </c>
      <c r="B86" s="94">
        <v>438067093</v>
      </c>
      <c r="C86" s="162">
        <v>46008.664722222224</v>
      </c>
      <c r="D86" s="85">
        <v>46008.703796296293</v>
      </c>
      <c r="E86" s="92" t="s">
        <v>723</v>
      </c>
      <c r="F86" s="92"/>
      <c r="G86" s="92"/>
      <c r="H86" s="92"/>
      <c r="I86" s="92"/>
      <c r="J86" s="92" t="s">
        <v>534</v>
      </c>
      <c r="K86" s="93" t="s">
        <v>199</v>
      </c>
      <c r="L86" s="93" t="s">
        <v>48</v>
      </c>
      <c r="M86" s="104" t="s">
        <v>753</v>
      </c>
      <c r="N86" s="127">
        <v>9133925836</v>
      </c>
      <c r="O86" s="164" t="s">
        <v>754</v>
      </c>
      <c r="P86" s="93" t="s">
        <v>89</v>
      </c>
      <c r="Q86" s="92" t="s">
        <v>351</v>
      </c>
      <c r="R86" s="92" t="s">
        <v>345</v>
      </c>
      <c r="S86" s="92" t="s">
        <v>345</v>
      </c>
      <c r="T86" s="104" t="s">
        <v>755</v>
      </c>
      <c r="U86" s="104" t="s">
        <v>415</v>
      </c>
      <c r="V86" s="86" t="s">
        <v>357</v>
      </c>
      <c r="W86" s="86" t="s">
        <v>359</v>
      </c>
      <c r="X86" s="86" t="s">
        <v>358</v>
      </c>
      <c r="Y86" s="140">
        <f>IF(ISBLANK(FeedbackFrmFounders[[#This Row],[Start Date]]),"",FeedbackFrmFounders[[#This Row],[Start Date]]-WEEKDAY(FeedbackFrmFounders[[#This Row],[Start Date]],2)+1)</f>
        <v>46006.664722222224</v>
      </c>
      <c r="Z86" s="161">
        <f>TRUNC(FeedbackFrmFounders[[#This Row],[Start of Week ]],)</f>
        <v>46006</v>
      </c>
      <c r="AA86" s="142" t="e">
        <f>VLOOKUP(FeedbackFrmFounders[[#This Row],[Venture Name]],#REF!,2,FALSE)</f>
        <v>#REF!</v>
      </c>
      <c r="AB86" s="142" t="e">
        <f>VLOOKUP(FeedbackFrmFounders[[#This Row],[Venture Name]],#REF!,4,FALSE)</f>
        <v>#REF!</v>
      </c>
    </row>
    <row r="87" spans="1:28" ht="16.95" customHeight="1" x14ac:dyDescent="0.3">
      <c r="A87" s="127">
        <v>115006731217</v>
      </c>
      <c r="B87" s="94">
        <v>438067093</v>
      </c>
      <c r="C87" s="162">
        <v>46008.654756944445</v>
      </c>
      <c r="D87" s="85">
        <v>46008.659629629627</v>
      </c>
      <c r="E87" s="92" t="s">
        <v>723</v>
      </c>
      <c r="F87" s="92"/>
      <c r="G87" s="92"/>
      <c r="H87" s="92"/>
      <c r="I87" s="92"/>
      <c r="J87" s="92" t="s">
        <v>534</v>
      </c>
      <c r="K87" s="93" t="s">
        <v>756</v>
      </c>
      <c r="L87" s="158" t="s">
        <v>8</v>
      </c>
      <c r="M87" s="92" t="s">
        <v>634</v>
      </c>
      <c r="N87" s="94">
        <v>9873545857</v>
      </c>
      <c r="O87" s="141"/>
      <c r="P87" s="99" t="s">
        <v>10</v>
      </c>
      <c r="Q87" s="92" t="s">
        <v>355</v>
      </c>
      <c r="R87" s="92" t="s">
        <v>358</v>
      </c>
      <c r="S87" s="92" t="s">
        <v>345</v>
      </c>
      <c r="T87" s="104" t="s">
        <v>757</v>
      </c>
      <c r="U87" s="104"/>
      <c r="V87" s="86"/>
      <c r="W87" s="86"/>
      <c r="X87" s="86" t="s">
        <v>358</v>
      </c>
      <c r="Y87" s="140">
        <f>IF(ISBLANK(FeedbackFrmFounders[[#This Row],[Start Date]]),"",FeedbackFrmFounders[[#This Row],[Start Date]]-WEEKDAY(FeedbackFrmFounders[[#This Row],[Start Date]],2)+1)</f>
        <v>46006.654756944445</v>
      </c>
      <c r="Z87" s="161">
        <f>TRUNC(FeedbackFrmFounders[[#This Row],[Start of Week ]],)</f>
        <v>46006</v>
      </c>
      <c r="AA87" s="142" t="e">
        <f>VLOOKUP(FeedbackFrmFounders[[#This Row],[Venture Name]],#REF!,2,FALSE)</f>
        <v>#REF!</v>
      </c>
      <c r="AB87" s="142" t="e">
        <f>VLOOKUP(FeedbackFrmFounders[[#This Row],[Venture Name]],#REF!,4,FALSE)</f>
        <v>#REF!</v>
      </c>
    </row>
    <row r="88" spans="1:28" ht="16.95" customHeight="1" x14ac:dyDescent="0.3">
      <c r="A88" s="127">
        <v>115006727644</v>
      </c>
      <c r="B88" s="94">
        <v>438067093</v>
      </c>
      <c r="C88" s="162">
        <v>46008.65215277778</v>
      </c>
      <c r="D88" s="85">
        <v>46008.654016203705</v>
      </c>
      <c r="E88" s="92" t="s">
        <v>723</v>
      </c>
      <c r="F88" s="92"/>
      <c r="G88" s="92"/>
      <c r="H88" s="92"/>
      <c r="I88" s="92"/>
      <c r="J88" s="92" t="s">
        <v>534</v>
      </c>
      <c r="K88" s="93" t="s">
        <v>311</v>
      </c>
      <c r="L88" s="93" t="s">
        <v>4</v>
      </c>
      <c r="M88" s="92" t="s">
        <v>312</v>
      </c>
      <c r="N88" s="94">
        <v>9409611194</v>
      </c>
      <c r="O88" s="94"/>
      <c r="P88" s="93" t="s">
        <v>5</v>
      </c>
      <c r="Q88" s="92" t="s">
        <v>355</v>
      </c>
      <c r="R88" s="92" t="s">
        <v>358</v>
      </c>
      <c r="S88" s="92" t="s">
        <v>345</v>
      </c>
      <c r="T88" s="104" t="s">
        <v>758</v>
      </c>
      <c r="U88" s="104"/>
      <c r="V88" s="86"/>
      <c r="W88" s="86"/>
      <c r="X88" s="86" t="s">
        <v>345</v>
      </c>
      <c r="Y88" s="140">
        <f>IF(ISBLANK(FeedbackFrmFounders[[#This Row],[Start Date]]),"",FeedbackFrmFounders[[#This Row],[Start Date]]-WEEKDAY(FeedbackFrmFounders[[#This Row],[Start Date]],2)+1)</f>
        <v>46006.65215277778</v>
      </c>
      <c r="Z88" s="161">
        <f>TRUNC(FeedbackFrmFounders[[#This Row],[Start of Week ]],)</f>
        <v>46006</v>
      </c>
      <c r="AA88" s="142" t="e">
        <f>VLOOKUP(FeedbackFrmFounders[[#This Row],[Venture Name]],#REF!,2,FALSE)</f>
        <v>#REF!</v>
      </c>
      <c r="AB88" s="142" t="e">
        <f>VLOOKUP(FeedbackFrmFounders[[#This Row],[Venture Name]],#REF!,4,FALSE)</f>
        <v>#REF!</v>
      </c>
    </row>
    <row r="89" spans="1:28" ht="16.95" customHeight="1" x14ac:dyDescent="0.3">
      <c r="A89" s="127">
        <v>115006724700</v>
      </c>
      <c r="B89" s="94">
        <v>438067093</v>
      </c>
      <c r="C89" s="162">
        <v>46008.647685185184</v>
      </c>
      <c r="D89" s="85">
        <v>46008.649560185186</v>
      </c>
      <c r="E89" s="92" t="s">
        <v>723</v>
      </c>
      <c r="F89" s="92"/>
      <c r="G89" s="92"/>
      <c r="H89" s="92"/>
      <c r="I89" s="92"/>
      <c r="J89" s="92" t="s">
        <v>534</v>
      </c>
      <c r="K89" s="93" t="s">
        <v>146</v>
      </c>
      <c r="L89" s="93" t="s">
        <v>73</v>
      </c>
      <c r="M89" s="92" t="s">
        <v>326</v>
      </c>
      <c r="N89" s="94">
        <v>7774034634</v>
      </c>
      <c r="O89" s="94"/>
      <c r="P89" s="93" t="s">
        <v>94</v>
      </c>
      <c r="Q89" s="92" t="s">
        <v>355</v>
      </c>
      <c r="R89" s="92" t="s">
        <v>358</v>
      </c>
      <c r="S89" s="92" t="s">
        <v>358</v>
      </c>
      <c r="T89" s="104" t="s">
        <v>759</v>
      </c>
      <c r="U89" s="104"/>
      <c r="V89" s="86"/>
      <c r="W89" s="86"/>
      <c r="X89" s="86" t="s">
        <v>358</v>
      </c>
      <c r="Y89" s="140">
        <f>IF(ISBLANK(FeedbackFrmFounders[[#This Row],[Start Date]]),"",FeedbackFrmFounders[[#This Row],[Start Date]]-WEEKDAY(FeedbackFrmFounders[[#This Row],[Start Date]],2)+1)</f>
        <v>46006.647685185184</v>
      </c>
      <c r="Z89" s="161">
        <f>TRUNC(FeedbackFrmFounders[[#This Row],[Start of Week ]],)</f>
        <v>46006</v>
      </c>
      <c r="AA89" s="142" t="e">
        <f>VLOOKUP(FeedbackFrmFounders[[#This Row],[Venture Name]],#REF!,2,FALSE)</f>
        <v>#REF!</v>
      </c>
      <c r="AB89" s="142" t="e">
        <f>VLOOKUP(FeedbackFrmFounders[[#This Row],[Venture Name]],#REF!,4,FALSE)</f>
        <v>#REF!</v>
      </c>
    </row>
    <row r="90" spans="1:28" ht="16.95" customHeight="1" x14ac:dyDescent="0.3">
      <c r="A90" s="127">
        <v>115006697342</v>
      </c>
      <c r="B90" s="94">
        <v>438067093</v>
      </c>
      <c r="C90" s="162">
        <v>46008.603229166663</v>
      </c>
      <c r="D90" s="85">
        <v>46008.608356481483</v>
      </c>
      <c r="E90" s="92" t="s">
        <v>723</v>
      </c>
      <c r="F90" s="92"/>
      <c r="G90" s="92"/>
      <c r="H90" s="92"/>
      <c r="I90" s="92"/>
      <c r="J90" s="92" t="s">
        <v>534</v>
      </c>
      <c r="K90" s="93" t="s">
        <v>760</v>
      </c>
      <c r="L90" s="98" t="s">
        <v>31</v>
      </c>
      <c r="M90" s="92" t="s">
        <v>310</v>
      </c>
      <c r="N90" s="94">
        <v>8511100751</v>
      </c>
      <c r="O90" s="94"/>
      <c r="P90" s="93" t="s">
        <v>110</v>
      </c>
      <c r="Q90" s="92" t="s">
        <v>355</v>
      </c>
      <c r="R90" s="92" t="s">
        <v>358</v>
      </c>
      <c r="S90" s="92" t="s">
        <v>358</v>
      </c>
      <c r="T90" s="104" t="s">
        <v>761</v>
      </c>
      <c r="U90" s="104"/>
      <c r="V90" s="86"/>
      <c r="W90" s="86"/>
      <c r="X90" s="86" t="s">
        <v>358</v>
      </c>
      <c r="Y90" s="140">
        <f>IF(ISBLANK(FeedbackFrmFounders[[#This Row],[Start Date]]),"",FeedbackFrmFounders[[#This Row],[Start Date]]-WEEKDAY(FeedbackFrmFounders[[#This Row],[Start Date]],2)+1)</f>
        <v>46006.603229166663</v>
      </c>
      <c r="Z90" s="161">
        <f>TRUNC(FeedbackFrmFounders[[#This Row],[Start of Week ]],)</f>
        <v>46006</v>
      </c>
      <c r="AA90" s="142" t="e">
        <f>VLOOKUP(FeedbackFrmFounders[[#This Row],[Venture Name]],#REF!,2,FALSE)</f>
        <v>#REF!</v>
      </c>
      <c r="AB90" s="142" t="e">
        <f>VLOOKUP(FeedbackFrmFounders[[#This Row],[Venture Name]],#REF!,4,FALSE)</f>
        <v>#REF!</v>
      </c>
    </row>
    <row r="91" spans="1:28" ht="16.95" customHeight="1" x14ac:dyDescent="0.3">
      <c r="A91" s="127">
        <v>115006696828</v>
      </c>
      <c r="B91" s="94">
        <v>438067093</v>
      </c>
      <c r="C91" s="162">
        <v>46008.605902777781</v>
      </c>
      <c r="D91" s="85">
        <v>46008.607511574075</v>
      </c>
      <c r="E91" s="92" t="s">
        <v>723</v>
      </c>
      <c r="F91" s="92"/>
      <c r="G91" s="92"/>
      <c r="H91" s="92"/>
      <c r="I91" s="92"/>
      <c r="J91" s="92" t="s">
        <v>534</v>
      </c>
      <c r="K91" s="93" t="s">
        <v>644</v>
      </c>
      <c r="L91" s="98" t="s">
        <v>31</v>
      </c>
      <c r="M91" s="92" t="s">
        <v>310</v>
      </c>
      <c r="N91" s="94">
        <v>8511100751</v>
      </c>
      <c r="O91" s="94"/>
      <c r="P91" s="93" t="s">
        <v>97</v>
      </c>
      <c r="Q91" s="92" t="s">
        <v>355</v>
      </c>
      <c r="R91" s="92" t="s">
        <v>358</v>
      </c>
      <c r="S91" s="92" t="s">
        <v>358</v>
      </c>
      <c r="T91" s="104" t="s">
        <v>761</v>
      </c>
      <c r="U91" s="104"/>
      <c r="V91" s="86"/>
      <c r="W91" s="86"/>
      <c r="X91" s="86" t="s">
        <v>358</v>
      </c>
      <c r="Y91" s="140">
        <f>IF(ISBLANK(FeedbackFrmFounders[[#This Row],[Start Date]]),"",FeedbackFrmFounders[[#This Row],[Start Date]]-WEEKDAY(FeedbackFrmFounders[[#This Row],[Start Date]],2)+1)</f>
        <v>46006.605902777781</v>
      </c>
      <c r="Z91" s="161">
        <f>TRUNC(FeedbackFrmFounders[[#This Row],[Start of Week ]],)</f>
        <v>46006</v>
      </c>
      <c r="AA91" s="142" t="e">
        <f>VLOOKUP(FeedbackFrmFounders[[#This Row],[Venture Name]],#REF!,2,FALSE)</f>
        <v>#REF!</v>
      </c>
      <c r="AB91" s="142" t="e">
        <f>VLOOKUP(FeedbackFrmFounders[[#This Row],[Venture Name]],#REF!,4,FALSE)</f>
        <v>#REF!</v>
      </c>
    </row>
    <row r="92" spans="1:28" ht="16.95" customHeight="1" x14ac:dyDescent="0.3">
      <c r="A92" s="127">
        <v>115006665803</v>
      </c>
      <c r="B92" s="94">
        <v>438067093</v>
      </c>
      <c r="C92" s="162">
        <v>46008.556759259256</v>
      </c>
      <c r="D92" s="85">
        <v>46008.557488425926</v>
      </c>
      <c r="E92" s="92" t="s">
        <v>762</v>
      </c>
      <c r="F92" s="92"/>
      <c r="G92" s="92"/>
      <c r="H92" s="92"/>
      <c r="I92" s="92"/>
      <c r="J92" s="92" t="s">
        <v>534</v>
      </c>
      <c r="K92" s="93" t="s">
        <v>763</v>
      </c>
      <c r="L92" s="93" t="s">
        <v>22</v>
      </c>
      <c r="M92" s="104" t="s">
        <v>151</v>
      </c>
      <c r="N92" s="127">
        <v>7020284175</v>
      </c>
      <c r="O92" s="127" t="s">
        <v>362</v>
      </c>
      <c r="P92" s="93" t="s">
        <v>93</v>
      </c>
      <c r="Q92" s="92" t="s">
        <v>351</v>
      </c>
      <c r="R92" s="92" t="s">
        <v>350</v>
      </c>
      <c r="S92" s="92" t="s">
        <v>358</v>
      </c>
      <c r="T92" s="104"/>
      <c r="U92" s="104" t="s">
        <v>363</v>
      </c>
      <c r="V92" s="86" t="s">
        <v>561</v>
      </c>
      <c r="W92" s="86" t="s">
        <v>359</v>
      </c>
      <c r="X92" s="86" t="s">
        <v>345</v>
      </c>
      <c r="Y92" s="140">
        <f>IF(ISBLANK(FeedbackFrmFounders[[#This Row],[Start Date]]),"",FeedbackFrmFounders[[#This Row],[Start Date]]-WEEKDAY(FeedbackFrmFounders[[#This Row],[Start Date]],2)+1)</f>
        <v>46006.556759259256</v>
      </c>
      <c r="Z92" s="161">
        <f>TRUNC(FeedbackFrmFounders[[#This Row],[Start of Week ]],)</f>
        <v>46006</v>
      </c>
      <c r="AA92" s="142" t="e">
        <f>VLOOKUP(FeedbackFrmFounders[[#This Row],[Venture Name]],#REF!,2,FALSE)</f>
        <v>#REF!</v>
      </c>
      <c r="AB92" s="142" t="e">
        <f>VLOOKUP(FeedbackFrmFounders[[#This Row],[Venture Name]],#REF!,4,FALSE)</f>
        <v>#REF!</v>
      </c>
    </row>
    <row r="93" spans="1:28" ht="16.95" customHeight="1" x14ac:dyDescent="0.3">
      <c r="A93" s="127">
        <v>115006614055</v>
      </c>
      <c r="B93" s="94">
        <v>438067093</v>
      </c>
      <c r="C93" s="162">
        <v>46008.451388888891</v>
      </c>
      <c r="D93" s="85">
        <v>46008.452280092592</v>
      </c>
      <c r="E93" s="92" t="s">
        <v>764</v>
      </c>
      <c r="F93" s="92"/>
      <c r="G93" s="92"/>
      <c r="H93" s="92"/>
      <c r="I93" s="92"/>
      <c r="J93" s="92" t="s">
        <v>534</v>
      </c>
      <c r="K93" s="93" t="s">
        <v>669</v>
      </c>
      <c r="L93" s="98" t="s">
        <v>30</v>
      </c>
      <c r="M93" s="92" t="s">
        <v>765</v>
      </c>
      <c r="N93" s="94">
        <v>9850819688</v>
      </c>
      <c r="O93" s="141"/>
      <c r="P93" s="99" t="s">
        <v>93</v>
      </c>
      <c r="Q93" s="92" t="s">
        <v>355</v>
      </c>
      <c r="R93" s="92" t="s">
        <v>358</v>
      </c>
      <c r="S93" s="92" t="s">
        <v>358</v>
      </c>
      <c r="T93" s="104" t="s">
        <v>766</v>
      </c>
      <c r="U93" s="104"/>
      <c r="V93" s="86"/>
      <c r="W93" s="86"/>
      <c r="X93" s="86" t="s">
        <v>345</v>
      </c>
      <c r="Y93" s="140">
        <f>IF(ISBLANK(FeedbackFrmFounders[[#This Row],[Start Date]]),"",FeedbackFrmFounders[[#This Row],[Start Date]]-WEEKDAY(FeedbackFrmFounders[[#This Row],[Start Date]],2)+1)</f>
        <v>46006.451388888891</v>
      </c>
      <c r="Z93" s="161">
        <f>TRUNC(FeedbackFrmFounders[[#This Row],[Start of Week ]],)</f>
        <v>46006</v>
      </c>
      <c r="AA93" s="142" t="e">
        <f>VLOOKUP(FeedbackFrmFounders[[#This Row],[Venture Name]],#REF!,2,FALSE)</f>
        <v>#REF!</v>
      </c>
      <c r="AB93" s="142" t="e">
        <f>VLOOKUP(FeedbackFrmFounders[[#This Row],[Venture Name]],#REF!,4,FALSE)</f>
        <v>#REF!</v>
      </c>
    </row>
    <row r="94" spans="1:28" ht="16.95" customHeight="1" x14ac:dyDescent="0.3">
      <c r="A94" s="127">
        <v>115006165834</v>
      </c>
      <c r="B94" s="94">
        <v>438067093</v>
      </c>
      <c r="C94" s="162">
        <v>46007.905300925922</v>
      </c>
      <c r="D94" s="85">
        <v>46007.906423611108</v>
      </c>
      <c r="E94" s="92" t="s">
        <v>767</v>
      </c>
      <c r="F94" s="92"/>
      <c r="G94" s="92"/>
      <c r="H94" s="92"/>
      <c r="I94" s="92"/>
      <c r="J94" s="92" t="s">
        <v>534</v>
      </c>
      <c r="K94" s="93" t="s">
        <v>289</v>
      </c>
      <c r="L94" s="98" t="s">
        <v>37</v>
      </c>
      <c r="M94" s="92" t="s">
        <v>290</v>
      </c>
      <c r="N94" s="94">
        <v>9028123366</v>
      </c>
      <c r="O94" s="141"/>
      <c r="P94" s="99" t="s">
        <v>93</v>
      </c>
      <c r="Q94" s="92" t="s">
        <v>355</v>
      </c>
      <c r="R94" s="92" t="s">
        <v>358</v>
      </c>
      <c r="S94" s="92" t="s">
        <v>358</v>
      </c>
      <c r="T94" s="104" t="s">
        <v>768</v>
      </c>
      <c r="U94" s="104"/>
      <c r="V94" s="86"/>
      <c r="W94" s="86"/>
      <c r="X94" s="86" t="s">
        <v>345</v>
      </c>
      <c r="Y94" s="140">
        <f>IF(ISBLANK(FeedbackFrmFounders[[#This Row],[Start Date]]),"",FeedbackFrmFounders[[#This Row],[Start Date]]-WEEKDAY(FeedbackFrmFounders[[#This Row],[Start Date]],2)+1)</f>
        <v>46006.905300925922</v>
      </c>
      <c r="Z94" s="161">
        <f>TRUNC(FeedbackFrmFounders[[#This Row],[Start of Week ]],)</f>
        <v>46006</v>
      </c>
      <c r="AA94" s="142" t="e">
        <f>VLOOKUP(FeedbackFrmFounders[[#This Row],[Venture Name]],#REF!,2,FALSE)</f>
        <v>#REF!</v>
      </c>
      <c r="AB94" s="142" t="e">
        <f>VLOOKUP(FeedbackFrmFounders[[#This Row],[Venture Name]],#REF!,4,FALSE)</f>
        <v>#REF!</v>
      </c>
    </row>
    <row r="95" spans="1:28" ht="16.95" customHeight="1" x14ac:dyDescent="0.3">
      <c r="A95" s="127">
        <v>115006163361</v>
      </c>
      <c r="B95" s="94">
        <v>438067093</v>
      </c>
      <c r="C95" s="162">
        <v>46007.903263888889</v>
      </c>
      <c r="D95" s="85">
        <v>46007.904270833336</v>
      </c>
      <c r="E95" s="92" t="s">
        <v>769</v>
      </c>
      <c r="F95" s="92"/>
      <c r="G95" s="92"/>
      <c r="H95" s="92"/>
      <c r="I95" s="92"/>
      <c r="J95" s="92" t="s">
        <v>534</v>
      </c>
      <c r="K95" s="93" t="s">
        <v>271</v>
      </c>
      <c r="L95" s="105" t="s">
        <v>270</v>
      </c>
      <c r="M95" s="92" t="s">
        <v>770</v>
      </c>
      <c r="N95" s="94">
        <v>9738634253</v>
      </c>
      <c r="O95" s="94"/>
      <c r="P95" s="103" t="s">
        <v>92</v>
      </c>
      <c r="Q95" s="92" t="s">
        <v>355</v>
      </c>
      <c r="R95" s="92" t="s">
        <v>358</v>
      </c>
      <c r="S95" s="92" t="s">
        <v>358</v>
      </c>
      <c r="T95" s="104" t="s">
        <v>771</v>
      </c>
      <c r="U95" s="104"/>
      <c r="V95" s="86"/>
      <c r="W95" s="86"/>
      <c r="X95" s="86" t="s">
        <v>358</v>
      </c>
      <c r="Y95" s="140">
        <f>IF(ISBLANK(FeedbackFrmFounders[[#This Row],[Start Date]]),"",FeedbackFrmFounders[[#This Row],[Start Date]]-WEEKDAY(FeedbackFrmFounders[[#This Row],[Start Date]],2)+1)</f>
        <v>46006.903263888889</v>
      </c>
      <c r="Z95" s="161">
        <f>TRUNC(FeedbackFrmFounders[[#This Row],[Start of Week ]],)</f>
        <v>46006</v>
      </c>
      <c r="AA95" s="142" t="e">
        <f>VLOOKUP(FeedbackFrmFounders[[#This Row],[Venture Name]],#REF!,2,FALSE)</f>
        <v>#REF!</v>
      </c>
      <c r="AB95" s="142" t="e">
        <f>VLOOKUP(FeedbackFrmFounders[[#This Row],[Venture Name]],#REF!,4,FALSE)</f>
        <v>#REF!</v>
      </c>
    </row>
    <row r="96" spans="1:28" ht="16.95" customHeight="1" x14ac:dyDescent="0.3">
      <c r="A96" s="127">
        <v>115006030516</v>
      </c>
      <c r="B96" s="94">
        <v>438067093</v>
      </c>
      <c r="C96" s="162">
        <v>46007.776979166665</v>
      </c>
      <c r="D96" s="85">
        <v>46007.782488425924</v>
      </c>
      <c r="E96" s="92" t="s">
        <v>772</v>
      </c>
      <c r="F96" s="92"/>
      <c r="G96" s="92"/>
      <c r="H96" s="92"/>
      <c r="I96" s="92"/>
      <c r="J96" s="92" t="s">
        <v>534</v>
      </c>
      <c r="K96" s="93" t="s">
        <v>773</v>
      </c>
      <c r="L96" s="93" t="s">
        <v>49</v>
      </c>
      <c r="M96" s="92" t="s">
        <v>774</v>
      </c>
      <c r="N96" s="94">
        <v>9822574086</v>
      </c>
      <c r="O96" s="94"/>
      <c r="P96" s="93" t="s">
        <v>89</v>
      </c>
      <c r="Q96" s="92" t="s">
        <v>355</v>
      </c>
      <c r="R96" s="92" t="s">
        <v>358</v>
      </c>
      <c r="S96" s="92" t="s">
        <v>345</v>
      </c>
      <c r="T96" s="104" t="s">
        <v>775</v>
      </c>
      <c r="U96" s="104"/>
      <c r="V96" s="86"/>
      <c r="W96" s="86"/>
      <c r="X96" s="86" t="s">
        <v>358</v>
      </c>
      <c r="Y96" s="140">
        <f>IF(ISBLANK(FeedbackFrmFounders[[#This Row],[Start Date]]),"",FeedbackFrmFounders[[#This Row],[Start Date]]-WEEKDAY(FeedbackFrmFounders[[#This Row],[Start Date]],2)+1)</f>
        <v>46006.776979166665</v>
      </c>
      <c r="Z96" s="161">
        <f>TRUNC(FeedbackFrmFounders[[#This Row],[Start of Week ]],)</f>
        <v>46006</v>
      </c>
      <c r="AA96" s="142" t="e">
        <f>VLOOKUP(FeedbackFrmFounders[[#This Row],[Venture Name]],#REF!,2,FALSE)</f>
        <v>#REF!</v>
      </c>
      <c r="AB96" s="142" t="e">
        <f>VLOOKUP(FeedbackFrmFounders[[#This Row],[Venture Name]],#REF!,4,FALSE)</f>
        <v>#REF!</v>
      </c>
    </row>
    <row r="97" spans="1:28" ht="16.95" customHeight="1" x14ac:dyDescent="0.3">
      <c r="A97" s="127">
        <v>115006013586</v>
      </c>
      <c r="B97" s="94">
        <v>438067093</v>
      </c>
      <c r="C97" s="162">
        <v>46007.759409722225</v>
      </c>
      <c r="D97" s="85">
        <v>46007.761018518519</v>
      </c>
      <c r="E97" s="92" t="s">
        <v>776</v>
      </c>
      <c r="F97" s="92"/>
      <c r="G97" s="92"/>
      <c r="H97" s="92"/>
      <c r="I97" s="92"/>
      <c r="J97" s="92" t="s">
        <v>534</v>
      </c>
      <c r="K97" s="93" t="s">
        <v>284</v>
      </c>
      <c r="L97" s="104" t="s">
        <v>40</v>
      </c>
      <c r="M97" s="104" t="s">
        <v>285</v>
      </c>
      <c r="N97" s="127">
        <v>9552435003</v>
      </c>
      <c r="O97" s="140" t="s">
        <v>374</v>
      </c>
      <c r="P97" s="99" t="s">
        <v>5</v>
      </c>
      <c r="Q97" s="92" t="s">
        <v>375</v>
      </c>
      <c r="R97" s="92" t="s">
        <v>350</v>
      </c>
      <c r="S97" s="92" t="s">
        <v>358</v>
      </c>
      <c r="T97" s="104" t="s">
        <v>777</v>
      </c>
      <c r="U97" s="104" t="s">
        <v>376</v>
      </c>
      <c r="V97" s="86" t="s">
        <v>367</v>
      </c>
      <c r="W97" s="86" t="s">
        <v>359</v>
      </c>
      <c r="X97" s="86" t="s">
        <v>358</v>
      </c>
      <c r="Y97" s="140">
        <f>IF(ISBLANK(FeedbackFrmFounders[[#This Row],[Start Date]]),"",FeedbackFrmFounders[[#This Row],[Start Date]]-WEEKDAY(FeedbackFrmFounders[[#This Row],[Start Date]],2)+1)</f>
        <v>46006.759409722225</v>
      </c>
      <c r="Z97" s="161">
        <f>TRUNC(FeedbackFrmFounders[[#This Row],[Start of Week ]],)</f>
        <v>46006</v>
      </c>
      <c r="AA97" s="142" t="e">
        <f>VLOOKUP(FeedbackFrmFounders[[#This Row],[Venture Name]],#REF!,2,FALSE)</f>
        <v>#REF!</v>
      </c>
      <c r="AB97" s="142" t="e">
        <f>VLOOKUP(FeedbackFrmFounders[[#This Row],[Venture Name]],#REF!,4,FALSE)</f>
        <v>#REF!</v>
      </c>
    </row>
    <row r="98" spans="1:28" ht="16.95" customHeight="1" x14ac:dyDescent="0.3">
      <c r="A98" s="127">
        <v>115006004834</v>
      </c>
      <c r="B98" s="94">
        <v>438067093</v>
      </c>
      <c r="C98" s="162">
        <v>46007.747395833336</v>
      </c>
      <c r="D98" s="85">
        <v>46007.748807870368</v>
      </c>
      <c r="E98" s="92" t="s">
        <v>778</v>
      </c>
      <c r="F98" s="92"/>
      <c r="G98" s="92"/>
      <c r="H98" s="92"/>
      <c r="I98" s="92"/>
      <c r="J98" s="92" t="s">
        <v>534</v>
      </c>
      <c r="K98" s="93" t="s">
        <v>779</v>
      </c>
      <c r="L98" s="93" t="s">
        <v>28</v>
      </c>
      <c r="M98" s="104" t="s">
        <v>192</v>
      </c>
      <c r="N98" s="127">
        <v>9879522397</v>
      </c>
      <c r="O98" s="140" t="s">
        <v>409</v>
      </c>
      <c r="P98" s="99" t="s">
        <v>111</v>
      </c>
      <c r="Q98" s="92" t="s">
        <v>351</v>
      </c>
      <c r="R98" s="92" t="s">
        <v>350</v>
      </c>
      <c r="S98" s="92" t="s">
        <v>345</v>
      </c>
      <c r="T98" s="104" t="s">
        <v>780</v>
      </c>
      <c r="U98" s="104" t="s">
        <v>410</v>
      </c>
      <c r="V98" s="86" t="s">
        <v>357</v>
      </c>
      <c r="W98" s="86" t="s">
        <v>359</v>
      </c>
      <c r="X98" s="86" t="s">
        <v>358</v>
      </c>
      <c r="Y98" s="140">
        <f>IF(ISBLANK(FeedbackFrmFounders[[#This Row],[Start Date]]),"",FeedbackFrmFounders[[#This Row],[Start Date]]-WEEKDAY(FeedbackFrmFounders[[#This Row],[Start Date]],2)+1)</f>
        <v>46006.747395833336</v>
      </c>
      <c r="Z98" s="161">
        <f>TRUNC(FeedbackFrmFounders[[#This Row],[Start of Week ]],)</f>
        <v>46006</v>
      </c>
      <c r="AA98" s="142" t="e">
        <f>VLOOKUP(FeedbackFrmFounders[[#This Row],[Venture Name]],#REF!,2,FALSE)</f>
        <v>#REF!</v>
      </c>
      <c r="AB98" s="142" t="e">
        <f>VLOOKUP(FeedbackFrmFounders[[#This Row],[Venture Name]],#REF!,4,FALSE)</f>
        <v>#REF!</v>
      </c>
    </row>
    <row r="99" spans="1:28" ht="16.95" customHeight="1" x14ac:dyDescent="0.3">
      <c r="A99" s="127">
        <v>115005992519</v>
      </c>
      <c r="B99" s="94">
        <v>438067093</v>
      </c>
      <c r="C99" s="162">
        <v>46007.718680555554</v>
      </c>
      <c r="D99" s="85">
        <v>46007.731377314813</v>
      </c>
      <c r="E99" s="92" t="s">
        <v>781</v>
      </c>
      <c r="F99" s="92"/>
      <c r="G99" s="92"/>
      <c r="H99" s="92"/>
      <c r="I99" s="92"/>
      <c r="J99" s="92" t="s">
        <v>534</v>
      </c>
      <c r="K99" s="93" t="s">
        <v>297</v>
      </c>
      <c r="L99" s="98" t="s">
        <v>80</v>
      </c>
      <c r="M99" s="92" t="s">
        <v>782</v>
      </c>
      <c r="N99" s="94">
        <v>9884613600</v>
      </c>
      <c r="O99" s="94"/>
      <c r="P99" s="93" t="s">
        <v>95</v>
      </c>
      <c r="Q99" s="92" t="s">
        <v>355</v>
      </c>
      <c r="R99" s="92" t="s">
        <v>358</v>
      </c>
      <c r="S99" s="92" t="s">
        <v>358</v>
      </c>
      <c r="T99" s="104" t="s">
        <v>783</v>
      </c>
      <c r="U99" s="104"/>
      <c r="V99" s="86"/>
      <c r="W99" s="86"/>
      <c r="X99" s="86" t="s">
        <v>345</v>
      </c>
      <c r="Y99" s="140">
        <f>IF(ISBLANK(FeedbackFrmFounders[[#This Row],[Start Date]]),"",FeedbackFrmFounders[[#This Row],[Start Date]]-WEEKDAY(FeedbackFrmFounders[[#This Row],[Start Date]],2)+1)</f>
        <v>46006.718680555554</v>
      </c>
      <c r="Z99" s="161">
        <f>TRUNC(FeedbackFrmFounders[[#This Row],[Start of Week ]],)</f>
        <v>46006</v>
      </c>
      <c r="AA99" s="142" t="e">
        <f>VLOOKUP(FeedbackFrmFounders[[#This Row],[Venture Name]],#REF!,2,FALSE)</f>
        <v>#REF!</v>
      </c>
      <c r="AB99" s="142" t="e">
        <f>VLOOKUP(FeedbackFrmFounders[[#This Row],[Venture Name]],#REF!,4,FALSE)</f>
        <v>#REF!</v>
      </c>
    </row>
    <row r="100" spans="1:28" ht="16.95" customHeight="1" x14ac:dyDescent="0.3">
      <c r="A100" s="127">
        <v>115005979656</v>
      </c>
      <c r="B100" s="94">
        <v>438067093</v>
      </c>
      <c r="C100" s="162">
        <v>46007.657800925925</v>
      </c>
      <c r="D100" s="85">
        <v>46007.712430555555</v>
      </c>
      <c r="E100" s="92" t="s">
        <v>781</v>
      </c>
      <c r="F100" s="92"/>
      <c r="G100" s="92"/>
      <c r="H100" s="92"/>
      <c r="I100" s="92"/>
      <c r="J100" s="92" t="s">
        <v>534</v>
      </c>
      <c r="K100" s="93" t="s">
        <v>271</v>
      </c>
      <c r="L100" s="105" t="s">
        <v>270</v>
      </c>
      <c r="M100" s="104" t="s">
        <v>272</v>
      </c>
      <c r="N100" s="127">
        <v>9738634253</v>
      </c>
      <c r="O100" s="127" t="s">
        <v>784</v>
      </c>
      <c r="P100" s="44" t="s">
        <v>91</v>
      </c>
      <c r="Q100" s="92" t="s">
        <v>351</v>
      </c>
      <c r="R100" s="92" t="s">
        <v>345</v>
      </c>
      <c r="S100" s="92" t="s">
        <v>345</v>
      </c>
      <c r="T100" s="104" t="s">
        <v>785</v>
      </c>
      <c r="U100" s="104" t="s">
        <v>370</v>
      </c>
      <c r="V100" s="86" t="s">
        <v>367</v>
      </c>
      <c r="W100" s="86" t="s">
        <v>359</v>
      </c>
      <c r="X100" s="86" t="s">
        <v>358</v>
      </c>
      <c r="Y100" s="140">
        <f>IF(ISBLANK(FeedbackFrmFounders[[#This Row],[Start Date]]),"",FeedbackFrmFounders[[#This Row],[Start Date]]-WEEKDAY(FeedbackFrmFounders[[#This Row],[Start Date]],2)+1)</f>
        <v>46006.657800925925</v>
      </c>
      <c r="Z100" s="161">
        <f>TRUNC(FeedbackFrmFounders[[#This Row],[Start of Week ]],)</f>
        <v>46006</v>
      </c>
      <c r="AA100" s="142" t="e">
        <f>VLOOKUP(FeedbackFrmFounders[[#This Row],[Venture Name]],#REF!,2,FALSE)</f>
        <v>#REF!</v>
      </c>
      <c r="AB100" s="142" t="e">
        <f>VLOOKUP(FeedbackFrmFounders[[#This Row],[Venture Name]],#REF!,4,FALSE)</f>
        <v>#REF!</v>
      </c>
    </row>
    <row r="101" spans="1:28" ht="16.95" customHeight="1" x14ac:dyDescent="0.3">
      <c r="A101" s="127">
        <v>115005944151</v>
      </c>
      <c r="B101" s="94">
        <v>438067093</v>
      </c>
      <c r="C101" s="162">
        <v>46007.655393518522</v>
      </c>
      <c r="D101" s="85">
        <v>46007.657384259262</v>
      </c>
      <c r="E101" s="92" t="s">
        <v>781</v>
      </c>
      <c r="F101" s="92"/>
      <c r="G101" s="92"/>
      <c r="H101" s="92"/>
      <c r="I101" s="92"/>
      <c r="J101" s="92" t="s">
        <v>534</v>
      </c>
      <c r="K101" s="93" t="s">
        <v>153</v>
      </c>
      <c r="L101" s="95" t="s">
        <v>35</v>
      </c>
      <c r="M101" s="92" t="s">
        <v>154</v>
      </c>
      <c r="N101" s="94">
        <v>9790655873</v>
      </c>
      <c r="O101" s="94"/>
      <c r="P101" s="93" t="s">
        <v>5</v>
      </c>
      <c r="Q101" s="92" t="s">
        <v>355</v>
      </c>
      <c r="R101" s="92" t="s">
        <v>358</v>
      </c>
      <c r="S101" s="92" t="s">
        <v>358</v>
      </c>
      <c r="T101" s="104" t="s">
        <v>786</v>
      </c>
      <c r="U101" s="104"/>
      <c r="V101" s="86"/>
      <c r="W101" s="86"/>
      <c r="X101" s="86" t="s">
        <v>358</v>
      </c>
      <c r="Y101" s="140">
        <f>IF(ISBLANK(FeedbackFrmFounders[[#This Row],[Start Date]]),"",FeedbackFrmFounders[[#This Row],[Start Date]]-WEEKDAY(FeedbackFrmFounders[[#This Row],[Start Date]],2)+1)</f>
        <v>46006.655393518522</v>
      </c>
      <c r="Z101" s="161">
        <f>TRUNC(FeedbackFrmFounders[[#This Row],[Start of Week ]],)</f>
        <v>46006</v>
      </c>
      <c r="AA101" s="142" t="e">
        <f>VLOOKUP(FeedbackFrmFounders[[#This Row],[Venture Name]],#REF!,2,FALSE)</f>
        <v>#REF!</v>
      </c>
      <c r="AB101" s="142" t="e">
        <f>VLOOKUP(FeedbackFrmFounders[[#This Row],[Venture Name]],#REF!,4,FALSE)</f>
        <v>#REF!</v>
      </c>
    </row>
    <row r="102" spans="1:28" ht="16.95" customHeight="1" x14ac:dyDescent="0.3">
      <c r="A102" s="127">
        <v>115005468916</v>
      </c>
      <c r="B102" s="94">
        <v>438067093</v>
      </c>
      <c r="C102" s="162">
        <v>46007.005115740743</v>
      </c>
      <c r="D102" s="85">
        <v>46007.007280092592</v>
      </c>
      <c r="E102" s="92" t="s">
        <v>787</v>
      </c>
      <c r="F102" s="92"/>
      <c r="G102" s="92"/>
      <c r="H102" s="92"/>
      <c r="I102" s="92"/>
      <c r="J102" s="92" t="s">
        <v>534</v>
      </c>
      <c r="K102" s="93" t="s">
        <v>314</v>
      </c>
      <c r="L102" s="93" t="s">
        <v>396</v>
      </c>
      <c r="M102" s="104" t="s">
        <v>666</v>
      </c>
      <c r="N102" s="127">
        <v>9444796926</v>
      </c>
      <c r="O102" s="127" t="s">
        <v>397</v>
      </c>
      <c r="P102" s="93" t="s">
        <v>87</v>
      </c>
      <c r="Q102" s="92" t="s">
        <v>352</v>
      </c>
      <c r="R102" s="92" t="s">
        <v>345</v>
      </c>
      <c r="S102" s="92" t="s">
        <v>345</v>
      </c>
      <c r="T102" s="104" t="s">
        <v>788</v>
      </c>
      <c r="U102" s="104" t="s">
        <v>789</v>
      </c>
      <c r="V102" s="86" t="s">
        <v>357</v>
      </c>
      <c r="W102" s="86" t="s">
        <v>359</v>
      </c>
      <c r="X102" s="86" t="s">
        <v>358</v>
      </c>
      <c r="Y102" s="140">
        <f>IF(ISBLANK(FeedbackFrmFounders[[#This Row],[Start Date]]),"",FeedbackFrmFounders[[#This Row],[Start Date]]-WEEKDAY(FeedbackFrmFounders[[#This Row],[Start Date]],2)+1)</f>
        <v>46006.005115740743</v>
      </c>
      <c r="Z102" s="161">
        <f>TRUNC(FeedbackFrmFounders[[#This Row],[Start of Week ]],)</f>
        <v>46006</v>
      </c>
      <c r="AA102" s="142" t="e">
        <f>VLOOKUP(FeedbackFrmFounders[[#This Row],[Venture Name]],#REF!,2,FALSE)</f>
        <v>#REF!</v>
      </c>
      <c r="AB102" s="142" t="e">
        <f>VLOOKUP(FeedbackFrmFounders[[#This Row],[Venture Name]],#REF!,4,FALSE)</f>
        <v>#REF!</v>
      </c>
    </row>
    <row r="103" spans="1:28" s="157" customFormat="1" ht="16.95" customHeight="1" x14ac:dyDescent="0.3">
      <c r="A103" s="150">
        <v>115005224366</v>
      </c>
      <c r="B103" s="151">
        <v>438067093</v>
      </c>
      <c r="C103" s="163">
        <v>46006.794027777774</v>
      </c>
      <c r="D103" s="152">
        <v>46006.796469907407</v>
      </c>
      <c r="E103" s="153" t="s">
        <v>790</v>
      </c>
      <c r="F103" s="153"/>
      <c r="G103" s="153"/>
      <c r="H103" s="153"/>
      <c r="I103" s="153"/>
      <c r="J103" s="153" t="s">
        <v>534</v>
      </c>
      <c r="K103" s="154" t="s">
        <v>773</v>
      </c>
      <c r="L103" s="154" t="s">
        <v>49</v>
      </c>
      <c r="M103" s="153" t="s">
        <v>774</v>
      </c>
      <c r="N103" s="151">
        <v>9822574086</v>
      </c>
      <c r="O103" s="151"/>
      <c r="P103" s="154" t="s">
        <v>5</v>
      </c>
      <c r="Q103" s="153" t="s">
        <v>375</v>
      </c>
      <c r="R103" s="153" t="s">
        <v>358</v>
      </c>
      <c r="S103" s="153" t="s">
        <v>358</v>
      </c>
      <c r="T103" s="155" t="s">
        <v>791</v>
      </c>
      <c r="U103" s="155"/>
      <c r="V103" s="156"/>
      <c r="W103" s="156"/>
      <c r="X103" s="156" t="s">
        <v>345</v>
      </c>
      <c r="Y103" s="140">
        <f>IF(ISBLANK(FeedbackFrmFounders[[#This Row],[Start Date]]),"",FeedbackFrmFounders[[#This Row],[Start Date]]-WEEKDAY(FeedbackFrmFounders[[#This Row],[Start Date]],2)+1)</f>
        <v>46006.794027777774</v>
      </c>
      <c r="Z103" s="161">
        <f>TRUNC(FeedbackFrmFounders[[#This Row],[Start of Week ]],)</f>
        <v>46006</v>
      </c>
      <c r="AA103" s="142" t="e">
        <f>VLOOKUP(FeedbackFrmFounders[[#This Row],[Venture Name]],#REF!,2,FALSE)</f>
        <v>#REF!</v>
      </c>
      <c r="AB103" s="142" t="e">
        <f>VLOOKUP(FeedbackFrmFounders[[#This Row],[Venture Name]],#REF!,4,FALSE)</f>
        <v>#REF!</v>
      </c>
    </row>
    <row r="104" spans="1:28" ht="16.95" customHeight="1" x14ac:dyDescent="0.3">
      <c r="A104" s="127">
        <v>115002845847</v>
      </c>
      <c r="B104" s="94">
        <v>438067093</v>
      </c>
      <c r="C104" s="162">
        <v>46002.598460648151</v>
      </c>
      <c r="D104" s="85">
        <v>46002.602951388886</v>
      </c>
      <c r="E104" s="92" t="s">
        <v>792</v>
      </c>
      <c r="F104" s="92"/>
      <c r="G104" s="92"/>
      <c r="H104" s="92"/>
      <c r="I104" s="92"/>
      <c r="J104" s="92" t="s">
        <v>534</v>
      </c>
      <c r="K104" s="93" t="s">
        <v>669</v>
      </c>
      <c r="L104" s="98" t="s">
        <v>30</v>
      </c>
      <c r="M104" s="92" t="s">
        <v>179</v>
      </c>
      <c r="N104" s="94">
        <v>9850819688</v>
      </c>
      <c r="O104" s="141"/>
      <c r="P104" s="99" t="s">
        <v>89</v>
      </c>
      <c r="Q104" s="92" t="s">
        <v>375</v>
      </c>
      <c r="R104" s="92" t="s">
        <v>358</v>
      </c>
      <c r="S104" s="92" t="s">
        <v>358</v>
      </c>
      <c r="T104" s="104" t="s">
        <v>793</v>
      </c>
      <c r="U104" s="104"/>
      <c r="V104" s="86"/>
      <c r="W104" s="86"/>
      <c r="X104" s="86" t="s">
        <v>358</v>
      </c>
      <c r="Y104" s="140">
        <f>IF(ISBLANK(FeedbackFrmFounders[[#This Row],[Start Date]]),"",FeedbackFrmFounders[[#This Row],[Start Date]]-WEEKDAY(FeedbackFrmFounders[[#This Row],[Start Date]],2)+1)</f>
        <v>45999.598460648151</v>
      </c>
      <c r="Z104" s="161">
        <f>TRUNC(FeedbackFrmFounders[[#This Row],[Start of Week ]],)</f>
        <v>45999</v>
      </c>
      <c r="AA104" s="142" t="e">
        <f>VLOOKUP(FeedbackFrmFounders[[#This Row],[Venture Name]],#REF!,2,FALSE)</f>
        <v>#REF!</v>
      </c>
      <c r="AB104" s="142" t="e">
        <f>VLOOKUP(FeedbackFrmFounders[[#This Row],[Venture Name]],#REF!,4,FALSE)</f>
        <v>#REF!</v>
      </c>
    </row>
  </sheetData>
  <hyperlinks>
    <hyperlink ref="M22" r:id="rId1" xr:uid="{2F65AAB4-7B4B-4DB2-8F44-4DFA60BB5FF0}"/>
    <hyperlink ref="M25" r:id="rId2" xr:uid="{4D386C7D-EB1D-4B38-A18C-81874E480494}"/>
    <hyperlink ref="M42" r:id="rId3" xr:uid="{7C6AA8B6-7B7B-4DF1-816F-9F1E3A402482}"/>
    <hyperlink ref="M3" r:id="rId4" xr:uid="{E23F0840-EBCD-4604-8FE2-91C8DF04E3FD}"/>
  </hyperlinks>
  <pageMargins left="0.7" right="0.7" top="0.75" bottom="0.75" header="0.3" footer="0.3"/>
  <pageSetup orientation="portrait" r:id="rId5"/>
  <legacyDrawing r:id="rId6"/>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D0101-D1AE-4203-8B5D-93FC1FD8D5E0}">
  <dimension ref="A1:AB32"/>
  <sheetViews>
    <sheetView topLeftCell="J1" workbookViewId="0">
      <selection activeCell="M9" sqref="M9"/>
    </sheetView>
  </sheetViews>
  <sheetFormatPr defaultRowHeight="25.2" customHeight="1" x14ac:dyDescent="0.3"/>
  <cols>
    <col min="1" max="1" width="18.88671875" style="76" customWidth="1"/>
    <col min="2" max="2" width="15.33203125" style="76" customWidth="1"/>
    <col min="3" max="4" width="19.5546875" style="76" bestFit="1" customWidth="1"/>
    <col min="5" max="5" width="18.44140625" style="76" customWidth="1"/>
    <col min="6" max="6" width="15.109375" style="76" customWidth="1"/>
    <col min="7" max="7" width="12.109375" style="76" customWidth="1"/>
    <col min="8" max="8" width="12" style="76" customWidth="1"/>
    <col min="9" max="9" width="15.5546875" style="76" customWidth="1"/>
    <col min="10" max="10" width="19.6640625" style="76" customWidth="1"/>
    <col min="11" max="11" width="15.109375" style="76" customWidth="1"/>
    <col min="12" max="12" width="18.88671875" style="76" customWidth="1"/>
    <col min="13" max="14" width="57.109375" style="76" customWidth="1"/>
    <col min="15" max="15" width="37.5546875" customWidth="1"/>
    <col min="16" max="18" width="57.109375" style="76" customWidth="1"/>
    <col min="19" max="19" width="57.33203125" style="76" customWidth="1"/>
    <col min="20" max="20" width="57.109375" style="76" customWidth="1"/>
    <col min="21" max="21" width="46.109375" style="76" customWidth="1"/>
    <col min="22" max="24" width="57.109375" style="76" customWidth="1"/>
    <col min="25" max="25" width="19" style="76" customWidth="1"/>
    <col min="26" max="26" width="15.88671875" style="76" customWidth="1"/>
    <col min="27" max="27" width="20.88671875" style="76" customWidth="1"/>
    <col min="28" max="28" width="11.44140625" bestFit="1" customWidth="1"/>
  </cols>
  <sheetData>
    <row r="1" spans="1:28" s="77" customFormat="1" ht="25.2" customHeight="1" x14ac:dyDescent="0.3">
      <c r="A1" s="77" t="s">
        <v>509</v>
      </c>
      <c r="B1" s="77" t="s">
        <v>510</v>
      </c>
      <c r="C1" s="77" t="s">
        <v>511</v>
      </c>
      <c r="D1" s="77" t="s">
        <v>512</v>
      </c>
      <c r="E1" s="77" t="s">
        <v>513</v>
      </c>
      <c r="F1" s="77" t="s">
        <v>514</v>
      </c>
      <c r="G1" s="77" t="s">
        <v>515</v>
      </c>
      <c r="H1" s="77" t="s">
        <v>516</v>
      </c>
      <c r="I1" s="77" t="s">
        <v>517</v>
      </c>
      <c r="J1" s="77" t="s">
        <v>794</v>
      </c>
      <c r="K1" s="77" t="s">
        <v>141</v>
      </c>
      <c r="L1" s="77" t="s">
        <v>795</v>
      </c>
      <c r="M1" s="77" t="s">
        <v>796</v>
      </c>
      <c r="N1" s="77" t="s">
        <v>797</v>
      </c>
      <c r="O1" s="77" t="s">
        <v>798</v>
      </c>
      <c r="P1" s="77" t="s">
        <v>799</v>
      </c>
      <c r="Q1" s="77" t="s">
        <v>800</v>
      </c>
      <c r="R1" s="77" t="s">
        <v>801</v>
      </c>
      <c r="S1" s="77" t="s">
        <v>802</v>
      </c>
      <c r="T1" s="77" t="s">
        <v>803</v>
      </c>
      <c r="U1" s="77" t="s">
        <v>804</v>
      </c>
      <c r="V1" s="77" t="s">
        <v>805</v>
      </c>
      <c r="W1" s="77" t="s">
        <v>806</v>
      </c>
      <c r="X1" s="78" t="s">
        <v>339</v>
      </c>
      <c r="Y1" s="78" t="s">
        <v>340</v>
      </c>
      <c r="Z1" s="78" t="s">
        <v>342</v>
      </c>
      <c r="AA1" s="78" t="s">
        <v>83</v>
      </c>
      <c r="AB1" s="78" t="s">
        <v>807</v>
      </c>
    </row>
    <row r="2" spans="1:28" s="77" customFormat="1" ht="25.2" hidden="1" customHeight="1" x14ac:dyDescent="0.3">
      <c r="A2" s="10">
        <v>115078155867</v>
      </c>
      <c r="B2" s="5">
        <v>438983145</v>
      </c>
      <c r="C2" s="182">
        <v>46125.606388888889</v>
      </c>
      <c r="D2" s="182">
        <v>46125.609409722223</v>
      </c>
      <c r="E2" s="5" t="s">
        <v>808</v>
      </c>
      <c r="F2" s="5"/>
      <c r="G2" s="5"/>
      <c r="H2" s="5"/>
      <c r="I2" s="5"/>
      <c r="J2" s="5" t="s">
        <v>108</v>
      </c>
      <c r="K2" s="183" t="s">
        <v>61</v>
      </c>
      <c r="L2" s="5" t="s">
        <v>809</v>
      </c>
      <c r="M2" s="5" t="s">
        <v>810</v>
      </c>
      <c r="N2" s="5" t="s">
        <v>811</v>
      </c>
      <c r="O2" s="5" t="s">
        <v>812</v>
      </c>
      <c r="P2" s="5" t="s">
        <v>813</v>
      </c>
      <c r="Q2" s="5" t="s">
        <v>814</v>
      </c>
      <c r="R2" s="5" t="s">
        <v>815</v>
      </c>
      <c r="S2" s="5" t="s">
        <v>816</v>
      </c>
      <c r="T2" s="5" t="s">
        <v>817</v>
      </c>
      <c r="U2" s="5" t="s">
        <v>810</v>
      </c>
      <c r="V2" s="5" t="s">
        <v>818</v>
      </c>
      <c r="W2" s="5"/>
      <c r="X2" s="112"/>
      <c r="Y2" s="112"/>
      <c r="Z2" s="112"/>
      <c r="AA2" s="112">
        <f>IF(ISBLANK(FeedbackFrmMentor[[#This Row],[Start Date]]),"",FeedbackFrmMentor[[#This Row],[Start Date]]-WEEKDAY(FeedbackFrmMentor[[#This Row],[Start Date]],2)+1)</f>
        <v>46125.606388888889</v>
      </c>
      <c r="AB2" s="169">
        <f>TRUNC(FeedbackFrmMentor[[#This Row],[Start of Week]],0)</f>
        <v>46125</v>
      </c>
    </row>
    <row r="3" spans="1:28" s="77" customFormat="1" ht="25.2" hidden="1" customHeight="1" x14ac:dyDescent="0.3">
      <c r="A3" s="10">
        <v>115076821481</v>
      </c>
      <c r="B3" s="5">
        <v>438983145</v>
      </c>
      <c r="C3" s="182">
        <v>46122.530428240738</v>
      </c>
      <c r="D3" s="182">
        <v>46122.531342592592</v>
      </c>
      <c r="E3" s="5" t="s">
        <v>819</v>
      </c>
      <c r="F3" s="5"/>
      <c r="G3" s="5"/>
      <c r="H3" s="5"/>
      <c r="I3" s="5"/>
      <c r="J3" s="5" t="s">
        <v>820</v>
      </c>
      <c r="K3" s="5" t="s">
        <v>54</v>
      </c>
      <c r="L3" s="184" t="s">
        <v>253</v>
      </c>
      <c r="M3" s="5" t="s">
        <v>821</v>
      </c>
      <c r="N3" s="5" t="s">
        <v>822</v>
      </c>
      <c r="O3" s="5" t="s">
        <v>823</v>
      </c>
      <c r="P3" s="5" t="s">
        <v>824</v>
      </c>
      <c r="Q3" s="5"/>
      <c r="R3" s="5"/>
      <c r="S3" s="5"/>
      <c r="T3" s="5"/>
      <c r="U3" s="5"/>
      <c r="V3" s="5"/>
      <c r="W3" s="5"/>
      <c r="X3" s="112"/>
      <c r="Y3" s="112"/>
      <c r="Z3" s="112"/>
      <c r="AA3" s="112">
        <f>IF(ISBLANK(FeedbackFrmMentor[[#This Row],[Start Date]]),"",FeedbackFrmMentor[[#This Row],[Start Date]]-WEEKDAY(FeedbackFrmMentor[[#This Row],[Start Date]],2)+1)</f>
        <v>46118.530428240738</v>
      </c>
      <c r="AB3" s="169">
        <f>TRUNC(FeedbackFrmMentor[[#This Row],[Start of Week]],0)</f>
        <v>46118</v>
      </c>
    </row>
    <row r="4" spans="1:28" s="77" customFormat="1" ht="25.2" hidden="1" customHeight="1" x14ac:dyDescent="0.3">
      <c r="A4" s="10">
        <v>115074566802</v>
      </c>
      <c r="B4" s="5">
        <v>438983145</v>
      </c>
      <c r="C4" s="182">
        <v>46119.659259259257</v>
      </c>
      <c r="D4" s="182">
        <v>46119.660081018519</v>
      </c>
      <c r="E4" s="5" t="s">
        <v>825</v>
      </c>
      <c r="F4" s="5"/>
      <c r="G4" s="5"/>
      <c r="H4" s="5"/>
      <c r="I4" s="5"/>
      <c r="J4" s="5" t="s">
        <v>138</v>
      </c>
      <c r="K4" s="5" t="s">
        <v>38</v>
      </c>
      <c r="L4" s="5" t="s">
        <v>826</v>
      </c>
      <c r="M4" s="5" t="s">
        <v>810</v>
      </c>
      <c r="N4" s="5" t="s">
        <v>827</v>
      </c>
      <c r="O4" s="5" t="s">
        <v>828</v>
      </c>
      <c r="P4" s="5"/>
      <c r="Q4" s="5" t="s">
        <v>829</v>
      </c>
      <c r="R4" s="5" t="s">
        <v>830</v>
      </c>
      <c r="S4" s="5"/>
      <c r="T4" s="5" t="s">
        <v>817</v>
      </c>
      <c r="U4" s="5" t="s">
        <v>810</v>
      </c>
      <c r="V4" s="5" t="s">
        <v>818</v>
      </c>
      <c r="W4" s="5"/>
      <c r="X4" s="112"/>
      <c r="Y4" s="112"/>
      <c r="Z4" s="112"/>
      <c r="AA4" s="112">
        <f>IF(ISBLANK(FeedbackFrmMentor[[#This Row],[Start Date]]),"",FeedbackFrmMentor[[#This Row],[Start Date]]-WEEKDAY(FeedbackFrmMentor[[#This Row],[Start Date]],2)+1)</f>
        <v>46118.659259259257</v>
      </c>
      <c r="AB4" s="169">
        <f>TRUNC(FeedbackFrmMentor[[#This Row],[Start of Week]],0)</f>
        <v>46118</v>
      </c>
    </row>
    <row r="5" spans="1:28" s="77" customFormat="1" ht="25.2" hidden="1" customHeight="1" x14ac:dyDescent="0.3">
      <c r="A5" s="149">
        <v>115068064794</v>
      </c>
      <c r="B5" s="36">
        <v>438983145</v>
      </c>
      <c r="C5" s="181">
        <v>46108.441886574074</v>
      </c>
      <c r="D5" s="181">
        <v>46108.443680555552</v>
      </c>
      <c r="E5" s="36" t="s">
        <v>831</v>
      </c>
      <c r="F5" s="36"/>
      <c r="G5" s="36"/>
      <c r="H5" s="36"/>
      <c r="I5" s="36"/>
      <c r="J5" s="36" t="s">
        <v>134</v>
      </c>
      <c r="K5" s="131" t="s">
        <v>832</v>
      </c>
      <c r="L5" s="36" t="s">
        <v>506</v>
      </c>
      <c r="M5" s="36" t="s">
        <v>821</v>
      </c>
      <c r="N5" s="36" t="s">
        <v>822</v>
      </c>
      <c r="O5" s="36" t="s">
        <v>833</v>
      </c>
      <c r="P5" s="36" t="s">
        <v>834</v>
      </c>
      <c r="Q5" s="36" t="s">
        <v>835</v>
      </c>
      <c r="R5" s="36" t="s">
        <v>836</v>
      </c>
      <c r="S5" s="36" t="s">
        <v>834</v>
      </c>
      <c r="T5" s="36" t="s">
        <v>837</v>
      </c>
      <c r="U5" s="36" t="s">
        <v>821</v>
      </c>
      <c r="V5" s="36" t="s">
        <v>838</v>
      </c>
      <c r="W5" s="36" t="s">
        <v>834</v>
      </c>
      <c r="X5" s="112"/>
      <c r="Y5" s="112"/>
      <c r="Z5" s="112"/>
      <c r="AA5" s="165">
        <f>IF(ISBLANK(FeedbackFrmMentor[[#This Row],[Start Date]]),"",FeedbackFrmMentor[[#This Row],[Start Date]]-WEEKDAY(FeedbackFrmMentor[[#This Row],[Start Date]],2)+1)</f>
        <v>46104.441886574074</v>
      </c>
      <c r="AB5" s="167">
        <f>TRUNC(FeedbackFrmMentor[[#This Row],[Start of Week]],0)</f>
        <v>46104</v>
      </c>
    </row>
    <row r="6" spans="1:28" s="77" customFormat="1" ht="25.2" hidden="1" customHeight="1" x14ac:dyDescent="0.3">
      <c r="A6" s="129">
        <v>115067614145</v>
      </c>
      <c r="B6" s="9">
        <v>438983145</v>
      </c>
      <c r="C6" s="130">
        <v>46107.870717592596</v>
      </c>
      <c r="D6" s="130">
        <v>46107.87226851852</v>
      </c>
      <c r="E6" s="9" t="s">
        <v>839</v>
      </c>
      <c r="F6" s="9"/>
      <c r="G6" s="9"/>
      <c r="H6" s="9"/>
      <c r="I6" s="9"/>
      <c r="J6" s="9" t="s">
        <v>94</v>
      </c>
      <c r="K6" s="131" t="s">
        <v>832</v>
      </c>
      <c r="L6" s="9" t="s">
        <v>840</v>
      </c>
      <c r="M6" s="9" t="s">
        <v>821</v>
      </c>
      <c r="N6" s="9" t="s">
        <v>822</v>
      </c>
      <c r="O6" s="9" t="s">
        <v>833</v>
      </c>
      <c r="P6" s="9"/>
      <c r="Q6" s="9" t="s">
        <v>835</v>
      </c>
      <c r="R6" s="9" t="s">
        <v>836</v>
      </c>
      <c r="S6" s="9"/>
      <c r="T6" s="9" t="s">
        <v>837</v>
      </c>
      <c r="U6" s="9" t="s">
        <v>841</v>
      </c>
      <c r="V6" s="9" t="s">
        <v>838</v>
      </c>
      <c r="W6" s="9"/>
      <c r="X6" s="112"/>
      <c r="Y6" s="112"/>
      <c r="Z6" s="112"/>
      <c r="AA6" s="31">
        <f>IF(ISBLANK(FeedbackFrmMentor[[#This Row],[Start Date]]),"",FeedbackFrmMentor[[#This Row],[Start Date]]-WEEKDAY(FeedbackFrmMentor[[#This Row],[Start Date]],2)+1)</f>
        <v>46104.870717592596</v>
      </c>
      <c r="AB6" s="168">
        <f>TRUNC(FeedbackFrmMentor[[#This Row],[Start of Week]],0)</f>
        <v>46104</v>
      </c>
    </row>
    <row r="7" spans="1:28" s="75" customFormat="1" ht="25.2" hidden="1" customHeight="1" x14ac:dyDescent="0.3">
      <c r="A7" s="109">
        <v>115063561843</v>
      </c>
      <c r="B7" s="110">
        <v>438983145</v>
      </c>
      <c r="C7" s="111">
        <v>46101.725821759261</v>
      </c>
      <c r="D7" s="111">
        <v>46101.728356481479</v>
      </c>
      <c r="E7" s="110" t="s">
        <v>842</v>
      </c>
      <c r="F7" s="110"/>
      <c r="G7" s="110"/>
      <c r="H7" s="110"/>
      <c r="I7" s="110"/>
      <c r="J7" s="110" t="s">
        <v>135</v>
      </c>
      <c r="K7" s="37" t="s">
        <v>832</v>
      </c>
      <c r="L7" s="110" t="s">
        <v>843</v>
      </c>
      <c r="M7" s="110" t="s">
        <v>821</v>
      </c>
      <c r="N7" s="110" t="s">
        <v>822</v>
      </c>
      <c r="O7" s="110" t="s">
        <v>823</v>
      </c>
      <c r="P7" s="110" t="s">
        <v>844</v>
      </c>
      <c r="Q7" s="110" t="s">
        <v>814</v>
      </c>
      <c r="R7" s="110" t="s">
        <v>836</v>
      </c>
      <c r="S7" s="110" t="s">
        <v>845</v>
      </c>
      <c r="T7" s="110" t="s">
        <v>837</v>
      </c>
      <c r="U7" s="110" t="s">
        <v>821</v>
      </c>
      <c r="V7" s="110" t="s">
        <v>838</v>
      </c>
      <c r="W7" s="110" t="s">
        <v>846</v>
      </c>
      <c r="X7" s="110"/>
      <c r="Y7" s="110"/>
      <c r="Z7" s="110"/>
      <c r="AA7" s="31">
        <f>IF(ISBLANK(FeedbackFrmMentor[[#This Row],[Start Date]]),"",FeedbackFrmMentor[[#This Row],[Start Date]]-WEEKDAY(FeedbackFrmMentor[[#This Row],[Start Date]],2)+1)</f>
        <v>46097.725821759261</v>
      </c>
      <c r="AB7" s="168">
        <f>TRUNC(FeedbackFrmMentor[[#This Row],[Start of Week]],0)</f>
        <v>46097</v>
      </c>
    </row>
    <row r="8" spans="1:28" s="75" customFormat="1" ht="25.2" hidden="1" customHeight="1" x14ac:dyDescent="0.3">
      <c r="A8" s="109">
        <v>115062975290</v>
      </c>
      <c r="B8" s="110">
        <v>438983145</v>
      </c>
      <c r="C8" s="111">
        <v>46100.831793981481</v>
      </c>
      <c r="D8" s="111">
        <v>46100.837418981479</v>
      </c>
      <c r="E8" s="110" t="s">
        <v>847</v>
      </c>
      <c r="F8" s="110"/>
      <c r="G8" s="110"/>
      <c r="H8" s="110"/>
      <c r="I8" s="110"/>
      <c r="J8" s="110" t="s">
        <v>134</v>
      </c>
      <c r="K8" s="37" t="s">
        <v>832</v>
      </c>
      <c r="L8" s="110" t="s">
        <v>506</v>
      </c>
      <c r="M8" s="110" t="s">
        <v>821</v>
      </c>
      <c r="N8" s="110" t="s">
        <v>822</v>
      </c>
      <c r="O8" s="110" t="s">
        <v>833</v>
      </c>
      <c r="P8" s="110" t="s">
        <v>848</v>
      </c>
      <c r="Q8" s="110" t="s">
        <v>835</v>
      </c>
      <c r="R8" s="110" t="s">
        <v>836</v>
      </c>
      <c r="S8" s="110" t="s">
        <v>849</v>
      </c>
      <c r="T8" s="110" t="s">
        <v>837</v>
      </c>
      <c r="U8" s="110" t="s">
        <v>821</v>
      </c>
      <c r="V8" s="110" t="s">
        <v>838</v>
      </c>
      <c r="W8" s="110" t="s">
        <v>849</v>
      </c>
      <c r="X8" s="110"/>
      <c r="Y8" s="110"/>
      <c r="Z8" s="110"/>
      <c r="AA8" s="31">
        <f>IF(ISBLANK(FeedbackFrmMentor[[#This Row],[Start Date]]),"",FeedbackFrmMentor[[#This Row],[Start Date]]-WEEKDAY(FeedbackFrmMentor[[#This Row],[Start Date]],2)+1)</f>
        <v>46097.831793981481</v>
      </c>
      <c r="AB8" s="168">
        <f>TRUNC(FeedbackFrmMentor[[#This Row],[Start of Week]],0)</f>
        <v>46097</v>
      </c>
    </row>
    <row r="9" spans="1:28" s="75" customFormat="1" ht="25.2" hidden="1" customHeight="1" x14ac:dyDescent="0.3">
      <c r="A9" s="109">
        <v>115061108178</v>
      </c>
      <c r="B9" s="110">
        <v>438983145</v>
      </c>
      <c r="C9" s="111">
        <v>46098.418368055558</v>
      </c>
      <c r="D9" s="111">
        <v>46098.428715277776</v>
      </c>
      <c r="E9" s="110" t="s">
        <v>850</v>
      </c>
      <c r="F9" s="110"/>
      <c r="G9" s="110"/>
      <c r="H9" s="110"/>
      <c r="I9" s="110"/>
      <c r="J9" s="112" t="s">
        <v>139</v>
      </c>
      <c r="K9" s="37" t="s">
        <v>78</v>
      </c>
      <c r="L9" s="110" t="s">
        <v>851</v>
      </c>
      <c r="M9" s="110" t="s">
        <v>852</v>
      </c>
      <c r="N9" s="110" t="s">
        <v>827</v>
      </c>
      <c r="O9" s="110" t="s">
        <v>823</v>
      </c>
      <c r="P9" s="110" t="s">
        <v>853</v>
      </c>
      <c r="Q9" s="110" t="s">
        <v>835</v>
      </c>
      <c r="R9" s="110" t="s">
        <v>836</v>
      </c>
      <c r="S9" s="110" t="s">
        <v>854</v>
      </c>
      <c r="T9" s="110" t="s">
        <v>837</v>
      </c>
      <c r="U9" s="110" t="s">
        <v>841</v>
      </c>
      <c r="V9" s="110" t="s">
        <v>838</v>
      </c>
      <c r="W9" s="110" t="s">
        <v>855</v>
      </c>
      <c r="X9" s="110"/>
      <c r="Y9" s="110"/>
      <c r="Z9" s="110"/>
      <c r="AA9" s="31">
        <f>IF(ISBLANK(FeedbackFrmMentor[[#This Row],[Start Date]]),"",FeedbackFrmMentor[[#This Row],[Start Date]]-WEEKDAY(FeedbackFrmMentor[[#This Row],[Start Date]],2)+1)</f>
        <v>46097.418368055558</v>
      </c>
      <c r="AB9" s="168">
        <f>TRUNC(FeedbackFrmMentor[[#This Row],[Start of Week]],0)</f>
        <v>46097</v>
      </c>
    </row>
    <row r="10" spans="1:28" s="75" customFormat="1" ht="25.2" hidden="1" customHeight="1" x14ac:dyDescent="0.3">
      <c r="A10" s="109">
        <v>115060504360</v>
      </c>
      <c r="B10" s="110">
        <v>438983145</v>
      </c>
      <c r="C10" s="111">
        <v>46097.71638888889</v>
      </c>
      <c r="D10" s="111">
        <v>46097.719872685186</v>
      </c>
      <c r="E10" s="110" t="s">
        <v>856</v>
      </c>
      <c r="F10" s="110"/>
      <c r="G10" s="110"/>
      <c r="H10" s="110"/>
      <c r="I10" s="110"/>
      <c r="J10" s="110" t="s">
        <v>570</v>
      </c>
      <c r="K10" s="110" t="s">
        <v>29</v>
      </c>
      <c r="L10" s="110" t="s">
        <v>857</v>
      </c>
      <c r="M10" s="110" t="s">
        <v>852</v>
      </c>
      <c r="N10" s="110" t="s">
        <v>858</v>
      </c>
      <c r="O10" s="110" t="s">
        <v>823</v>
      </c>
      <c r="P10" s="110" t="s">
        <v>859</v>
      </c>
      <c r="Q10" s="110" t="s">
        <v>835</v>
      </c>
      <c r="R10" s="110" t="s">
        <v>815</v>
      </c>
      <c r="S10" s="110" t="s">
        <v>860</v>
      </c>
      <c r="T10" s="110" t="s">
        <v>861</v>
      </c>
      <c r="U10" s="110" t="s">
        <v>841</v>
      </c>
      <c r="V10" s="110" t="s">
        <v>862</v>
      </c>
      <c r="W10" s="110" t="s">
        <v>863</v>
      </c>
      <c r="X10" s="110"/>
      <c r="Y10" s="110"/>
      <c r="Z10" s="110"/>
      <c r="AA10" s="31">
        <f>IF(ISBLANK(FeedbackFrmMentor[[#This Row],[Start Date]]),"",FeedbackFrmMentor[[#This Row],[Start Date]]-WEEKDAY(FeedbackFrmMentor[[#This Row],[Start Date]],2)+1)</f>
        <v>46097.71638888889</v>
      </c>
      <c r="AB10" s="168">
        <f>TRUNC(FeedbackFrmMentor[[#This Row],[Start of Week]],0)</f>
        <v>46097</v>
      </c>
    </row>
    <row r="11" spans="1:28" s="75" customFormat="1" ht="25.2" hidden="1" customHeight="1" x14ac:dyDescent="0.3">
      <c r="A11" s="109">
        <v>115060464576</v>
      </c>
      <c r="B11" s="110">
        <v>438983145</v>
      </c>
      <c r="C11" s="111">
        <v>46097.653796296298</v>
      </c>
      <c r="D11" s="111">
        <v>46097.655104166668</v>
      </c>
      <c r="E11" s="110" t="s">
        <v>864</v>
      </c>
      <c r="F11" s="110"/>
      <c r="G11" s="110"/>
      <c r="H11" s="110"/>
      <c r="I11" s="110"/>
      <c r="J11" s="110" t="s">
        <v>136</v>
      </c>
      <c r="K11" s="110" t="s">
        <v>29</v>
      </c>
      <c r="L11" s="110" t="s">
        <v>865</v>
      </c>
      <c r="M11" s="110" t="s">
        <v>852</v>
      </c>
      <c r="N11" s="110" t="s">
        <v>822</v>
      </c>
      <c r="O11" s="110" t="s">
        <v>823</v>
      </c>
      <c r="P11" s="110" t="s">
        <v>866</v>
      </c>
      <c r="Q11" s="110" t="s">
        <v>814</v>
      </c>
      <c r="R11" s="110" t="s">
        <v>815</v>
      </c>
      <c r="S11" s="110" t="s">
        <v>866</v>
      </c>
      <c r="T11" s="110" t="s">
        <v>861</v>
      </c>
      <c r="U11" s="110" t="s">
        <v>841</v>
      </c>
      <c r="V11" s="110" t="s">
        <v>862</v>
      </c>
      <c r="W11" s="110" t="s">
        <v>867</v>
      </c>
      <c r="X11" s="110"/>
      <c r="Y11" s="110"/>
      <c r="Z11" s="110"/>
      <c r="AA11" s="31">
        <f>IF(ISBLANK(FeedbackFrmMentor[[#This Row],[Start Date]]),"",FeedbackFrmMentor[[#This Row],[Start Date]]-WEEKDAY(FeedbackFrmMentor[[#This Row],[Start Date]],2)+1)</f>
        <v>46097.653796296298</v>
      </c>
      <c r="AB11" s="168">
        <f>TRUNC(FeedbackFrmMentor[[#This Row],[Start of Week]],0)</f>
        <v>46097</v>
      </c>
    </row>
    <row r="12" spans="1:28" s="75" customFormat="1" ht="25.2" hidden="1" customHeight="1" x14ac:dyDescent="0.3">
      <c r="A12" s="109">
        <v>115055433189</v>
      </c>
      <c r="B12" s="110">
        <v>438983145</v>
      </c>
      <c r="C12" s="111">
        <v>46090.622893518521</v>
      </c>
      <c r="D12" s="111">
        <v>46090.624641203707</v>
      </c>
      <c r="E12" s="110" t="s">
        <v>868</v>
      </c>
      <c r="F12" s="110"/>
      <c r="G12" s="110"/>
      <c r="H12" s="110"/>
      <c r="I12" s="110"/>
      <c r="J12" s="110" t="s">
        <v>136</v>
      </c>
      <c r="K12" s="110" t="s">
        <v>29</v>
      </c>
      <c r="L12" s="110" t="s">
        <v>869</v>
      </c>
      <c r="M12" s="110" t="s">
        <v>821</v>
      </c>
      <c r="N12" s="110" t="s">
        <v>858</v>
      </c>
      <c r="O12" s="110" t="s">
        <v>823</v>
      </c>
      <c r="P12" s="110" t="s">
        <v>870</v>
      </c>
      <c r="Q12" s="110" t="s">
        <v>814</v>
      </c>
      <c r="R12" s="110" t="s">
        <v>836</v>
      </c>
      <c r="S12" s="110" t="s">
        <v>871</v>
      </c>
      <c r="T12" s="110" t="s">
        <v>837</v>
      </c>
      <c r="U12" s="110" t="s">
        <v>841</v>
      </c>
      <c r="V12" s="110" t="s">
        <v>838</v>
      </c>
      <c r="W12" s="110"/>
      <c r="X12" s="110"/>
      <c r="Y12" s="110"/>
      <c r="Z12" s="110"/>
      <c r="AA12" s="31">
        <f>IF(ISBLANK(FeedbackFrmMentor[[#This Row],[Start Date]]),"",FeedbackFrmMentor[[#This Row],[Start Date]]-WEEKDAY(FeedbackFrmMentor[[#This Row],[Start Date]],2)+1)</f>
        <v>46090.622893518521</v>
      </c>
      <c r="AB12" s="168">
        <f>TRUNC(FeedbackFrmMentor[[#This Row],[Start of Week]],0)</f>
        <v>46090</v>
      </c>
    </row>
    <row r="13" spans="1:28" ht="25.2" hidden="1" customHeight="1" x14ac:dyDescent="0.3">
      <c r="A13" s="112"/>
      <c r="B13" s="112"/>
      <c r="C13" s="111">
        <v>46072.643009259256</v>
      </c>
      <c r="D13" s="112"/>
      <c r="E13" s="112"/>
      <c r="F13" s="112"/>
      <c r="G13" s="112"/>
      <c r="H13" s="112"/>
      <c r="I13" s="112"/>
      <c r="J13" s="9" t="s">
        <v>98</v>
      </c>
      <c r="K13" s="9" t="s">
        <v>77</v>
      </c>
      <c r="L13" s="113" t="s">
        <v>146</v>
      </c>
      <c r="M13" s="113" t="s">
        <v>810</v>
      </c>
      <c r="N13" s="113" t="s">
        <v>827</v>
      </c>
      <c r="O13" s="110" t="s">
        <v>823</v>
      </c>
      <c r="P13" s="114"/>
      <c r="Q13" s="114"/>
      <c r="R13" s="114"/>
      <c r="S13" s="114"/>
      <c r="T13" s="112"/>
      <c r="U13" s="112"/>
      <c r="V13" s="112"/>
      <c r="W13" s="112"/>
      <c r="X13" s="112"/>
      <c r="Y13" s="112"/>
      <c r="Z13" s="112"/>
      <c r="AA13" s="112">
        <f>IF(ISBLANK(FeedbackFrmMentor[[#This Row],[Start Date]]),"",FeedbackFrmMentor[[#This Row],[Start Date]]-WEEKDAY(FeedbackFrmMentor[[#This Row],[Start Date]],2)+1)</f>
        <v>46069.643009259256</v>
      </c>
      <c r="AB13" s="169">
        <f>TRUNC(FeedbackFrmMentor[[#This Row],[Start of Week]],0)</f>
        <v>46069</v>
      </c>
    </row>
    <row r="14" spans="1:28" ht="25.2" hidden="1" customHeight="1" x14ac:dyDescent="0.3">
      <c r="A14" s="112"/>
      <c r="B14" s="112"/>
      <c r="C14" s="111">
        <v>46072.649988425925</v>
      </c>
      <c r="D14" s="112"/>
      <c r="E14" s="112"/>
      <c r="F14" s="112"/>
      <c r="G14" s="112"/>
      <c r="H14" s="112"/>
      <c r="I14" s="112"/>
      <c r="J14" s="113" t="s">
        <v>97</v>
      </c>
      <c r="K14" s="113" t="s">
        <v>872</v>
      </c>
      <c r="L14" s="113" t="s">
        <v>873</v>
      </c>
      <c r="M14" s="113" t="s">
        <v>810</v>
      </c>
      <c r="N14" s="113" t="s">
        <v>811</v>
      </c>
      <c r="O14" s="113" t="s">
        <v>812</v>
      </c>
      <c r="P14" s="114"/>
      <c r="Q14" s="114"/>
      <c r="R14" s="114"/>
      <c r="S14" s="114"/>
      <c r="T14" s="112"/>
      <c r="U14" s="112"/>
      <c r="V14" s="112"/>
      <c r="W14" s="112"/>
      <c r="X14" s="112"/>
      <c r="Y14" s="112"/>
      <c r="Z14" s="112"/>
      <c r="AA14" s="112">
        <f>IF(ISBLANK(FeedbackFrmMentor[[#This Row],[Start Date]]),"",FeedbackFrmMentor[[#This Row],[Start Date]]-WEEKDAY(FeedbackFrmMentor[[#This Row],[Start Date]],2)+1)</f>
        <v>46069.649988425925</v>
      </c>
      <c r="AB14" s="169">
        <f>TRUNC(FeedbackFrmMentor[[#This Row],[Start of Week]],0)</f>
        <v>46069</v>
      </c>
    </row>
    <row r="15" spans="1:28" ht="25.2" hidden="1" customHeight="1" x14ac:dyDescent="0.3">
      <c r="A15" s="112"/>
      <c r="B15" s="112"/>
      <c r="C15" s="111">
        <v>46072.658842592595</v>
      </c>
      <c r="D15" s="112"/>
      <c r="E15" s="112"/>
      <c r="F15" s="112"/>
      <c r="G15" s="112"/>
      <c r="H15" s="112"/>
      <c r="I15" s="112"/>
      <c r="J15" s="9" t="s">
        <v>133</v>
      </c>
      <c r="K15" s="9" t="s">
        <v>45</v>
      </c>
      <c r="L15" s="52" t="s">
        <v>504</v>
      </c>
      <c r="M15" s="113" t="s">
        <v>821</v>
      </c>
      <c r="N15" s="113" t="s">
        <v>822</v>
      </c>
      <c r="O15" s="110" t="s">
        <v>833</v>
      </c>
      <c r="P15" s="114"/>
      <c r="Q15" s="114"/>
      <c r="R15" s="114"/>
      <c r="S15" s="114"/>
      <c r="T15" s="112"/>
      <c r="U15" s="112"/>
      <c r="V15" s="112"/>
      <c r="W15" s="112"/>
      <c r="X15" s="112"/>
      <c r="Y15" s="112"/>
      <c r="Z15" s="112"/>
      <c r="AA15" s="112">
        <f>IF(ISBLANK(FeedbackFrmMentor[[#This Row],[Start Date]]),"",FeedbackFrmMentor[[#This Row],[Start Date]]-WEEKDAY(FeedbackFrmMentor[[#This Row],[Start Date]],2)+1)</f>
        <v>46069.658842592595</v>
      </c>
      <c r="AB15" s="169">
        <f>TRUNC(FeedbackFrmMentor[[#This Row],[Start of Week]],0)</f>
        <v>46069</v>
      </c>
    </row>
    <row r="16" spans="1:28" ht="25.2" hidden="1" customHeight="1" x14ac:dyDescent="0.3">
      <c r="A16" s="112"/>
      <c r="B16" s="112"/>
      <c r="C16" s="111">
        <v>46072.677951388891</v>
      </c>
      <c r="D16" s="112"/>
      <c r="E16" s="112"/>
      <c r="F16" s="112"/>
      <c r="G16" s="112"/>
      <c r="H16" s="112"/>
      <c r="I16" s="112"/>
      <c r="J16" s="9" t="s">
        <v>122</v>
      </c>
      <c r="K16" s="51" t="s">
        <v>20</v>
      </c>
      <c r="L16" s="113" t="s">
        <v>497</v>
      </c>
      <c r="M16" s="113" t="s">
        <v>810</v>
      </c>
      <c r="N16" s="113" t="s">
        <v>827</v>
      </c>
      <c r="O16" s="113" t="s">
        <v>828</v>
      </c>
      <c r="P16" s="114"/>
      <c r="Q16" s="114"/>
      <c r="R16" s="114"/>
      <c r="S16" s="114"/>
      <c r="T16" s="112"/>
      <c r="U16" s="112"/>
      <c r="V16" s="112"/>
      <c r="W16" s="112"/>
      <c r="X16" s="112"/>
      <c r="Y16" s="112"/>
      <c r="Z16" s="112"/>
      <c r="AA16" s="112">
        <f>IF(ISBLANK(FeedbackFrmMentor[[#This Row],[Start Date]]),"",FeedbackFrmMentor[[#This Row],[Start Date]]-WEEKDAY(FeedbackFrmMentor[[#This Row],[Start Date]],2)+1)</f>
        <v>46069.677951388891</v>
      </c>
      <c r="AB16" s="169">
        <f>TRUNC(FeedbackFrmMentor[[#This Row],[Start of Week]],0)</f>
        <v>46069</v>
      </c>
    </row>
    <row r="17" spans="1:28" ht="25.2" hidden="1" customHeight="1" x14ac:dyDescent="0.3">
      <c r="A17" s="112"/>
      <c r="B17" s="112"/>
      <c r="C17" s="111">
        <v>46072.683298611111</v>
      </c>
      <c r="D17" s="112"/>
      <c r="E17" s="112"/>
      <c r="F17" s="112"/>
      <c r="G17" s="112"/>
      <c r="H17" s="112"/>
      <c r="I17" s="112"/>
      <c r="J17" s="9" t="s">
        <v>118</v>
      </c>
      <c r="K17" s="115" t="s">
        <v>33</v>
      </c>
      <c r="L17" s="113" t="s">
        <v>874</v>
      </c>
      <c r="M17" s="113" t="s">
        <v>821</v>
      </c>
      <c r="N17" s="113" t="s">
        <v>822</v>
      </c>
      <c r="O17" s="110" t="s">
        <v>823</v>
      </c>
      <c r="P17" s="114"/>
      <c r="Q17" s="114"/>
      <c r="R17" s="114"/>
      <c r="S17" s="114"/>
      <c r="T17" s="112"/>
      <c r="U17" s="112"/>
      <c r="V17" s="112"/>
      <c r="W17" s="112"/>
      <c r="X17" s="112"/>
      <c r="Y17" s="112"/>
      <c r="Z17" s="112"/>
      <c r="AA17" s="112">
        <f>IF(ISBLANK(FeedbackFrmMentor[[#This Row],[Start Date]]),"",FeedbackFrmMentor[[#This Row],[Start Date]]-WEEKDAY(FeedbackFrmMentor[[#This Row],[Start Date]],2)+1)</f>
        <v>46069.683298611111</v>
      </c>
      <c r="AB17" s="169">
        <f>TRUNC(FeedbackFrmMentor[[#This Row],[Start of Week]],0)</f>
        <v>46069</v>
      </c>
    </row>
    <row r="18" spans="1:28" ht="25.2" hidden="1" customHeight="1" x14ac:dyDescent="0.3">
      <c r="A18" s="112"/>
      <c r="B18" s="112"/>
      <c r="C18" s="111">
        <v>46072.745787037034</v>
      </c>
      <c r="D18" s="112"/>
      <c r="E18" s="112"/>
      <c r="F18" s="112"/>
      <c r="G18" s="112"/>
      <c r="H18" s="112"/>
      <c r="I18" s="112"/>
      <c r="J18" s="9" t="s">
        <v>122</v>
      </c>
      <c r="K18" s="115" t="s">
        <v>64</v>
      </c>
      <c r="L18" s="115" t="s">
        <v>875</v>
      </c>
      <c r="M18" s="113" t="s">
        <v>821</v>
      </c>
      <c r="N18" s="113" t="s">
        <v>822</v>
      </c>
      <c r="O18" s="110" t="s">
        <v>833</v>
      </c>
      <c r="P18" s="114"/>
      <c r="Q18" s="114"/>
      <c r="R18" s="114"/>
      <c r="S18" s="114"/>
      <c r="T18" s="112"/>
      <c r="U18" s="112"/>
      <c r="V18" s="112"/>
      <c r="W18" s="112"/>
      <c r="X18" s="112"/>
      <c r="Y18" s="112"/>
      <c r="Z18" s="112"/>
      <c r="AA18" s="112">
        <f>IF(ISBLANK(FeedbackFrmMentor[[#This Row],[Start Date]]),"",FeedbackFrmMentor[[#This Row],[Start Date]]-WEEKDAY(FeedbackFrmMentor[[#This Row],[Start Date]],2)+1)</f>
        <v>46069.745787037034</v>
      </c>
      <c r="AB18" s="169">
        <f>TRUNC(FeedbackFrmMentor[[#This Row],[Start of Week]],0)</f>
        <v>46069</v>
      </c>
    </row>
    <row r="19" spans="1:28" ht="25.2" hidden="1" customHeight="1" x14ac:dyDescent="0.3">
      <c r="A19" s="112"/>
      <c r="B19" s="112"/>
      <c r="C19" s="111">
        <v>46072.767928240741</v>
      </c>
      <c r="D19" s="112"/>
      <c r="E19" s="112"/>
      <c r="F19" s="112"/>
      <c r="G19" s="112"/>
      <c r="H19" s="112"/>
      <c r="I19" s="112"/>
      <c r="J19" s="117" t="s">
        <v>587</v>
      </c>
      <c r="K19" s="51" t="s">
        <v>20</v>
      </c>
      <c r="L19" s="115" t="s">
        <v>497</v>
      </c>
      <c r="M19" s="113" t="s">
        <v>821</v>
      </c>
      <c r="N19" s="113" t="s">
        <v>822</v>
      </c>
      <c r="O19" s="110" t="s">
        <v>833</v>
      </c>
      <c r="P19" s="114"/>
      <c r="Q19" s="114"/>
      <c r="R19" s="114"/>
      <c r="S19" s="114"/>
      <c r="T19" s="112"/>
      <c r="U19" s="112"/>
      <c r="V19" s="112"/>
      <c r="W19" s="112"/>
      <c r="X19" s="112"/>
      <c r="Y19" s="112"/>
      <c r="Z19" s="112"/>
      <c r="AA19" s="112">
        <f>IF(ISBLANK(FeedbackFrmMentor[[#This Row],[Start Date]]),"",FeedbackFrmMentor[[#This Row],[Start Date]]-WEEKDAY(FeedbackFrmMentor[[#This Row],[Start Date]],2)+1)</f>
        <v>46069.767928240741</v>
      </c>
      <c r="AB19" s="169">
        <f>TRUNC(FeedbackFrmMentor[[#This Row],[Start of Week]],0)</f>
        <v>46069</v>
      </c>
    </row>
    <row r="20" spans="1:28" ht="25.2" hidden="1" customHeight="1" x14ac:dyDescent="0.3">
      <c r="A20" s="112"/>
      <c r="B20" s="112"/>
      <c r="C20" s="111">
        <v>46072.768807870372</v>
      </c>
      <c r="D20" s="112"/>
      <c r="E20" s="112"/>
      <c r="F20" s="112"/>
      <c r="G20" s="112"/>
      <c r="H20" s="112"/>
      <c r="I20" s="112"/>
      <c r="J20" s="116" t="s">
        <v>123</v>
      </c>
      <c r="K20" s="51" t="s">
        <v>20</v>
      </c>
      <c r="L20" s="115" t="s">
        <v>497</v>
      </c>
      <c r="M20" s="113" t="s">
        <v>821</v>
      </c>
      <c r="N20" s="113" t="s">
        <v>822</v>
      </c>
      <c r="O20" s="110" t="s">
        <v>833</v>
      </c>
      <c r="P20" s="114"/>
      <c r="Q20" s="114"/>
      <c r="R20" s="114"/>
      <c r="S20" s="114"/>
      <c r="T20" s="112"/>
      <c r="U20" s="112"/>
      <c r="V20" s="112"/>
      <c r="W20" s="112"/>
      <c r="X20" s="112"/>
      <c r="Y20" s="112"/>
      <c r="Z20" s="112"/>
      <c r="AA20" s="112">
        <f>IF(ISBLANK(FeedbackFrmMentor[[#This Row],[Start Date]]),"",FeedbackFrmMentor[[#This Row],[Start Date]]-WEEKDAY(FeedbackFrmMentor[[#This Row],[Start Date]],2)+1)</f>
        <v>46069.768807870372</v>
      </c>
      <c r="AB20" s="169">
        <f>TRUNC(FeedbackFrmMentor[[#This Row],[Start of Week]],0)</f>
        <v>46069</v>
      </c>
    </row>
    <row r="21" spans="1:28" ht="25.2" hidden="1" customHeight="1" x14ac:dyDescent="0.3">
      <c r="A21" s="112"/>
      <c r="B21" s="112"/>
      <c r="C21" s="111">
        <v>46072.7812037037</v>
      </c>
      <c r="D21" s="112"/>
      <c r="E21" s="112"/>
      <c r="F21" s="112"/>
      <c r="G21" s="112"/>
      <c r="H21" s="112"/>
      <c r="I21" s="112"/>
      <c r="J21" s="21" t="s">
        <v>103</v>
      </c>
      <c r="K21" s="21" t="s">
        <v>21</v>
      </c>
      <c r="L21" s="115" t="s">
        <v>327</v>
      </c>
      <c r="M21" s="113" t="s">
        <v>852</v>
      </c>
      <c r="N21" s="113" t="s">
        <v>858</v>
      </c>
      <c r="O21" s="110" t="s">
        <v>823</v>
      </c>
      <c r="P21" s="114"/>
      <c r="Q21" s="114"/>
      <c r="R21" s="114"/>
      <c r="S21" s="114"/>
      <c r="T21" s="112"/>
      <c r="U21" s="112"/>
      <c r="V21" s="112"/>
      <c r="W21" s="112"/>
      <c r="X21" s="112"/>
      <c r="Y21" s="112"/>
      <c r="Z21" s="112"/>
      <c r="AA21" s="112">
        <f>IF(ISBLANK(FeedbackFrmMentor[[#This Row],[Start Date]]),"",FeedbackFrmMentor[[#This Row],[Start Date]]-WEEKDAY(FeedbackFrmMentor[[#This Row],[Start Date]],2)+1)</f>
        <v>46069.7812037037</v>
      </c>
      <c r="AB21" s="169">
        <f>TRUNC(FeedbackFrmMentor[[#This Row],[Start of Week]],0)</f>
        <v>46069</v>
      </c>
    </row>
    <row r="22" spans="1:28" ht="25.2" hidden="1" customHeight="1" x14ac:dyDescent="0.3">
      <c r="A22" s="112"/>
      <c r="B22" s="112"/>
      <c r="C22" s="111">
        <v>46072.802106481482</v>
      </c>
      <c r="D22" s="112"/>
      <c r="E22" s="112"/>
      <c r="F22" s="112"/>
      <c r="G22" s="112"/>
      <c r="H22" s="112"/>
      <c r="I22" s="112"/>
      <c r="J22" s="118" t="s">
        <v>119</v>
      </c>
      <c r="K22" s="108" t="s">
        <v>39</v>
      </c>
      <c r="L22" s="115" t="s">
        <v>876</v>
      </c>
      <c r="M22" s="113" t="s">
        <v>821</v>
      </c>
      <c r="N22" s="113" t="s">
        <v>822</v>
      </c>
      <c r="O22" s="110" t="s">
        <v>833</v>
      </c>
      <c r="P22" s="114"/>
      <c r="Q22" s="114"/>
      <c r="R22" s="114"/>
      <c r="S22" s="114"/>
      <c r="T22" s="112"/>
      <c r="U22" s="112"/>
      <c r="V22" s="112"/>
      <c r="W22" s="112"/>
      <c r="X22" s="112"/>
      <c r="Y22" s="112"/>
      <c r="Z22" s="112"/>
      <c r="AA22" s="112">
        <f>IF(ISBLANK(FeedbackFrmMentor[[#This Row],[Start Date]]),"",FeedbackFrmMentor[[#This Row],[Start Date]]-WEEKDAY(FeedbackFrmMentor[[#This Row],[Start Date]],2)+1)</f>
        <v>46069.802106481482</v>
      </c>
      <c r="AB22" s="169">
        <f>TRUNC(FeedbackFrmMentor[[#This Row],[Start of Week]],0)</f>
        <v>46069</v>
      </c>
    </row>
    <row r="23" spans="1:28" ht="25.2" hidden="1" customHeight="1" x14ac:dyDescent="0.3">
      <c r="A23" s="112"/>
      <c r="B23" s="112"/>
      <c r="C23" s="111">
        <v>46072.807893518519</v>
      </c>
      <c r="D23" s="112"/>
      <c r="E23" s="112"/>
      <c r="F23" s="112"/>
      <c r="G23" s="112"/>
      <c r="H23" s="112"/>
      <c r="I23" s="112"/>
      <c r="J23" s="9" t="s">
        <v>119</v>
      </c>
      <c r="K23" s="9" t="s">
        <v>176</v>
      </c>
      <c r="L23" s="115" t="s">
        <v>877</v>
      </c>
      <c r="M23" s="113" t="s">
        <v>821</v>
      </c>
      <c r="N23" s="113" t="s">
        <v>822</v>
      </c>
      <c r="O23" s="110" t="s">
        <v>833</v>
      </c>
      <c r="P23" s="114"/>
      <c r="Q23" s="114"/>
      <c r="R23" s="114"/>
      <c r="S23" s="114"/>
      <c r="T23" s="112"/>
      <c r="U23" s="112"/>
      <c r="V23" s="112"/>
      <c r="W23" s="112"/>
      <c r="X23" s="112"/>
      <c r="Y23" s="112"/>
      <c r="Z23" s="112"/>
      <c r="AA23" s="112">
        <f>IF(ISBLANK(FeedbackFrmMentor[[#This Row],[Start Date]]),"",FeedbackFrmMentor[[#This Row],[Start Date]]-WEEKDAY(FeedbackFrmMentor[[#This Row],[Start Date]],2)+1)</f>
        <v>46069.807893518519</v>
      </c>
      <c r="AB23" s="169">
        <f>TRUNC(FeedbackFrmMentor[[#This Row],[Start of Week]],0)</f>
        <v>46069</v>
      </c>
    </row>
    <row r="24" spans="1:28" ht="25.2" customHeight="1" x14ac:dyDescent="0.3">
      <c r="A24" s="112"/>
      <c r="B24" s="112"/>
      <c r="C24" s="111">
        <v>46072.810011574074</v>
      </c>
      <c r="D24" s="112"/>
      <c r="E24" s="112"/>
      <c r="F24" s="112"/>
      <c r="G24" s="112"/>
      <c r="H24" s="112"/>
      <c r="I24" s="112"/>
      <c r="J24" s="119" t="s">
        <v>121</v>
      </c>
      <c r="K24" s="9" t="s">
        <v>25</v>
      </c>
      <c r="L24" s="115" t="s">
        <v>472</v>
      </c>
      <c r="M24" s="113" t="s">
        <v>878</v>
      </c>
      <c r="N24" s="113" t="s">
        <v>879</v>
      </c>
      <c r="O24" s="113" t="s">
        <v>812</v>
      </c>
      <c r="P24" s="114"/>
      <c r="Q24" s="114"/>
      <c r="R24" s="114"/>
      <c r="S24" s="114"/>
      <c r="T24" s="112"/>
      <c r="U24" s="112"/>
      <c r="V24" s="112"/>
      <c r="W24" s="112"/>
      <c r="X24" s="112"/>
      <c r="Y24" s="112"/>
      <c r="Z24" s="112"/>
      <c r="AA24" s="112">
        <f>IF(ISBLANK(FeedbackFrmMentor[[#This Row],[Start Date]]),"",FeedbackFrmMentor[[#This Row],[Start Date]]-WEEKDAY(FeedbackFrmMentor[[#This Row],[Start Date]],2)+1)</f>
        <v>46069.810011574074</v>
      </c>
      <c r="AB24" s="169">
        <f>TRUNC(FeedbackFrmMentor[[#This Row],[Start of Week]],0)</f>
        <v>46069</v>
      </c>
    </row>
    <row r="25" spans="1:28" ht="25.2" hidden="1" customHeight="1" x14ac:dyDescent="0.3">
      <c r="A25" s="112"/>
      <c r="B25" s="112"/>
      <c r="C25" s="111">
        <v>46072.85052083333</v>
      </c>
      <c r="D25" s="112"/>
      <c r="E25" s="112"/>
      <c r="F25" s="112"/>
      <c r="G25" s="112"/>
      <c r="H25" s="112"/>
      <c r="I25" s="112"/>
      <c r="J25" s="120" t="s">
        <v>124</v>
      </c>
      <c r="K25" s="120" t="s">
        <v>74</v>
      </c>
      <c r="L25" s="115" t="s">
        <v>880</v>
      </c>
      <c r="M25" s="113" t="s">
        <v>821</v>
      </c>
      <c r="N25" s="113" t="s">
        <v>827</v>
      </c>
      <c r="O25" s="110" t="s">
        <v>833</v>
      </c>
      <c r="P25" s="114"/>
      <c r="Q25" s="114"/>
      <c r="R25" s="114"/>
      <c r="S25" s="114"/>
      <c r="T25" s="112"/>
      <c r="U25" s="112"/>
      <c r="V25" s="112"/>
      <c r="W25" s="112"/>
      <c r="X25" s="112"/>
      <c r="Y25" s="112"/>
      <c r="Z25" s="112"/>
      <c r="AA25" s="112">
        <f>IF(ISBLANK(FeedbackFrmMentor[[#This Row],[Start Date]]),"",FeedbackFrmMentor[[#This Row],[Start Date]]-WEEKDAY(FeedbackFrmMentor[[#This Row],[Start Date]],2)+1)</f>
        <v>46069.85052083333</v>
      </c>
      <c r="AB25" s="169">
        <f>TRUNC(FeedbackFrmMentor[[#This Row],[Start of Week]],0)</f>
        <v>46069</v>
      </c>
    </row>
    <row r="26" spans="1:28" ht="25.2" hidden="1" customHeight="1" x14ac:dyDescent="0.3">
      <c r="A26" s="112"/>
      <c r="B26" s="112"/>
      <c r="C26" s="111">
        <v>46073.350104166668</v>
      </c>
      <c r="D26" s="112"/>
      <c r="E26" s="112"/>
      <c r="F26" s="112"/>
      <c r="G26" s="112"/>
      <c r="H26" s="112"/>
      <c r="I26" s="112"/>
      <c r="J26" s="120" t="s">
        <v>124</v>
      </c>
      <c r="K26" s="51" t="s">
        <v>65</v>
      </c>
      <c r="L26" s="115" t="s">
        <v>495</v>
      </c>
      <c r="M26" s="113" t="s">
        <v>821</v>
      </c>
      <c r="N26" s="113" t="s">
        <v>822</v>
      </c>
      <c r="O26" s="110" t="s">
        <v>833</v>
      </c>
      <c r="P26" s="114"/>
      <c r="Q26" s="114"/>
      <c r="R26" s="114"/>
      <c r="S26" s="114"/>
      <c r="T26" s="112"/>
      <c r="U26" s="112"/>
      <c r="V26" s="112"/>
      <c r="W26" s="112"/>
      <c r="X26" s="112"/>
      <c r="Y26" s="112"/>
      <c r="Z26" s="112"/>
      <c r="AA26" s="112">
        <f>IF(ISBLANK(FeedbackFrmMentor[[#This Row],[Start Date]]),"",FeedbackFrmMentor[[#This Row],[Start Date]]-WEEKDAY(FeedbackFrmMentor[[#This Row],[Start Date]],2)+1)</f>
        <v>46069.350104166668</v>
      </c>
      <c r="AB26" s="169">
        <f>TRUNC(FeedbackFrmMentor[[#This Row],[Start of Week]],0)</f>
        <v>46069</v>
      </c>
    </row>
    <row r="27" spans="1:28" ht="25.2" hidden="1" customHeight="1" x14ac:dyDescent="0.3">
      <c r="A27" s="112"/>
      <c r="B27" s="112"/>
      <c r="C27" s="111">
        <v>46073.351134259261</v>
      </c>
      <c r="D27" s="112"/>
      <c r="E27" s="112"/>
      <c r="F27" s="112"/>
      <c r="G27" s="112"/>
      <c r="H27" s="112"/>
      <c r="I27" s="112"/>
      <c r="J27" s="115" t="s">
        <v>87</v>
      </c>
      <c r="K27" s="121" t="s">
        <v>27</v>
      </c>
      <c r="L27" s="115" t="s">
        <v>881</v>
      </c>
      <c r="M27" s="113" t="s">
        <v>821</v>
      </c>
      <c r="N27" s="113" t="s">
        <v>822</v>
      </c>
      <c r="O27" s="110" t="s">
        <v>833</v>
      </c>
      <c r="P27" s="114"/>
      <c r="Q27" s="114"/>
      <c r="R27" s="114"/>
      <c r="S27" s="114"/>
      <c r="T27" s="112"/>
      <c r="U27" s="112"/>
      <c r="V27" s="112"/>
      <c r="W27" s="112"/>
      <c r="X27" s="112"/>
      <c r="Y27" s="112"/>
      <c r="Z27" s="112"/>
      <c r="AA27" s="112">
        <f>IF(ISBLANK(FeedbackFrmMentor[[#This Row],[Start Date]]),"",FeedbackFrmMentor[[#This Row],[Start Date]]-WEEKDAY(FeedbackFrmMentor[[#This Row],[Start Date]],2)+1)</f>
        <v>46069.351134259261</v>
      </c>
      <c r="AB27" s="169">
        <f>TRUNC(FeedbackFrmMentor[[#This Row],[Start of Week]],0)</f>
        <v>46069</v>
      </c>
    </row>
    <row r="28" spans="1:28" ht="25.2" hidden="1" customHeight="1" x14ac:dyDescent="0.3">
      <c r="A28" s="112"/>
      <c r="B28" s="112"/>
      <c r="C28" s="111">
        <v>46073.363263888888</v>
      </c>
      <c r="D28" s="112"/>
      <c r="E28" s="112"/>
      <c r="F28" s="112"/>
      <c r="G28" s="112"/>
      <c r="H28" s="112"/>
      <c r="I28" s="112"/>
      <c r="J28" s="9" t="s">
        <v>101</v>
      </c>
      <c r="K28" s="122" t="s">
        <v>21</v>
      </c>
      <c r="L28" s="115" t="s">
        <v>882</v>
      </c>
      <c r="M28" s="113" t="s">
        <v>821</v>
      </c>
      <c r="N28" s="113" t="s">
        <v>827</v>
      </c>
      <c r="O28" s="110" t="s">
        <v>833</v>
      </c>
      <c r="P28" s="114"/>
      <c r="Q28" s="114"/>
      <c r="R28" s="114"/>
      <c r="S28" s="114"/>
      <c r="T28" s="112"/>
      <c r="U28" s="112"/>
      <c r="V28" s="112"/>
      <c r="W28" s="112"/>
      <c r="X28" s="112"/>
      <c r="Y28" s="112"/>
      <c r="Z28" s="112"/>
      <c r="AA28" s="112">
        <f>IF(ISBLANK(FeedbackFrmMentor[[#This Row],[Start Date]]),"",FeedbackFrmMentor[[#This Row],[Start Date]]-WEEKDAY(FeedbackFrmMentor[[#This Row],[Start Date]],2)+1)</f>
        <v>46069.363263888888</v>
      </c>
      <c r="AB28" s="169">
        <f>TRUNC(FeedbackFrmMentor[[#This Row],[Start of Week]],0)</f>
        <v>46069</v>
      </c>
    </row>
    <row r="29" spans="1:28" ht="25.2" hidden="1" customHeight="1" x14ac:dyDescent="0.3">
      <c r="A29" s="112"/>
      <c r="B29" s="112"/>
      <c r="C29" s="111">
        <v>46073.373159722221</v>
      </c>
      <c r="D29" s="112"/>
      <c r="E29" s="112"/>
      <c r="F29" s="112"/>
      <c r="G29" s="112"/>
      <c r="H29" s="112"/>
      <c r="I29" s="112"/>
      <c r="J29" s="9" t="s">
        <v>101</v>
      </c>
      <c r="K29" s="9" t="s">
        <v>23</v>
      </c>
      <c r="L29" s="115" t="s">
        <v>882</v>
      </c>
      <c r="M29" s="113" t="s">
        <v>852</v>
      </c>
      <c r="N29" s="113" t="s">
        <v>858</v>
      </c>
      <c r="O29" s="110" t="s">
        <v>823</v>
      </c>
      <c r="P29" s="114"/>
      <c r="Q29" s="114"/>
      <c r="R29" s="114"/>
      <c r="S29" s="114"/>
      <c r="T29" s="112"/>
      <c r="U29" s="112"/>
      <c r="V29" s="112"/>
      <c r="W29" s="112"/>
      <c r="X29" s="112"/>
      <c r="Y29" s="112"/>
      <c r="Z29" s="112"/>
      <c r="AA29" s="112">
        <f>IF(ISBLANK(FeedbackFrmMentor[[#This Row],[Start Date]]),"",FeedbackFrmMentor[[#This Row],[Start Date]]-WEEKDAY(FeedbackFrmMentor[[#This Row],[Start Date]],2)+1)</f>
        <v>46069.373159722221</v>
      </c>
      <c r="AB29" s="169">
        <f>TRUNC(FeedbackFrmMentor[[#This Row],[Start of Week]],0)</f>
        <v>46069</v>
      </c>
    </row>
    <row r="30" spans="1:28" ht="25.2" hidden="1" customHeight="1" x14ac:dyDescent="0.3">
      <c r="A30" s="112"/>
      <c r="B30" s="112"/>
      <c r="C30" s="111">
        <v>46073.3749537037</v>
      </c>
      <c r="D30" s="112"/>
      <c r="E30" s="112"/>
      <c r="F30" s="112"/>
      <c r="G30" s="112"/>
      <c r="H30" s="112"/>
      <c r="I30" s="112"/>
      <c r="J30" s="9" t="s">
        <v>101</v>
      </c>
      <c r="K30" s="51" t="s">
        <v>20</v>
      </c>
      <c r="L30" s="115" t="s">
        <v>882</v>
      </c>
      <c r="M30" s="113" t="s">
        <v>821</v>
      </c>
      <c r="N30" s="113" t="s">
        <v>822</v>
      </c>
      <c r="O30" s="113" t="s">
        <v>828</v>
      </c>
      <c r="P30" s="114"/>
      <c r="Q30" s="114"/>
      <c r="R30" s="114"/>
      <c r="S30" s="114"/>
      <c r="T30" s="112"/>
      <c r="U30" s="112"/>
      <c r="V30" s="112"/>
      <c r="W30" s="112"/>
      <c r="X30" s="112"/>
      <c r="Y30" s="112"/>
      <c r="Z30" s="112"/>
      <c r="AA30" s="112">
        <f>IF(ISBLANK(FeedbackFrmMentor[[#This Row],[Start Date]]),"",FeedbackFrmMentor[[#This Row],[Start Date]]-WEEKDAY(FeedbackFrmMentor[[#This Row],[Start Date]],2)+1)</f>
        <v>46069.3749537037</v>
      </c>
      <c r="AB30" s="169">
        <f>TRUNC(FeedbackFrmMentor[[#This Row],[Start of Week]],0)</f>
        <v>46069</v>
      </c>
    </row>
    <row r="31" spans="1:28" ht="25.2" hidden="1" customHeight="1" x14ac:dyDescent="0.3">
      <c r="A31" s="112"/>
      <c r="B31" s="112"/>
      <c r="C31" s="111">
        <v>46073.376319444447</v>
      </c>
      <c r="D31" s="112"/>
      <c r="E31" s="112"/>
      <c r="F31" s="112"/>
      <c r="G31" s="112"/>
      <c r="H31" s="112"/>
      <c r="I31" s="112"/>
      <c r="J31" s="115" t="s">
        <v>87</v>
      </c>
      <c r="K31" s="9" t="s">
        <v>36</v>
      </c>
      <c r="L31" s="115" t="s">
        <v>883</v>
      </c>
      <c r="M31" s="113" t="s">
        <v>821</v>
      </c>
      <c r="N31" s="113" t="s">
        <v>858</v>
      </c>
      <c r="O31" s="110" t="s">
        <v>823</v>
      </c>
      <c r="P31" s="114"/>
      <c r="Q31" s="114"/>
      <c r="R31" s="114"/>
      <c r="S31" s="114"/>
      <c r="T31" s="112"/>
      <c r="U31" s="112"/>
      <c r="V31" s="112"/>
      <c r="W31" s="112"/>
      <c r="X31" s="112"/>
      <c r="Y31" s="112"/>
      <c r="Z31" s="112"/>
      <c r="AA31" s="112">
        <f>IF(ISBLANK(FeedbackFrmMentor[[#This Row],[Start Date]]),"",FeedbackFrmMentor[[#This Row],[Start Date]]-WEEKDAY(FeedbackFrmMentor[[#This Row],[Start Date]],2)+1)</f>
        <v>46069.376319444447</v>
      </c>
      <c r="AB31" s="169">
        <f>TRUNC(FeedbackFrmMentor[[#This Row],[Start of Week]],0)</f>
        <v>46069</v>
      </c>
    </row>
    <row r="32" spans="1:28" ht="25.2" hidden="1" customHeight="1" x14ac:dyDescent="0.3">
      <c r="A32" s="112"/>
      <c r="B32" s="112"/>
      <c r="C32" s="111">
        <v>46073.410509259258</v>
      </c>
      <c r="D32" s="112"/>
      <c r="E32" s="112"/>
      <c r="F32" s="112"/>
      <c r="G32" s="112"/>
      <c r="H32" s="112"/>
      <c r="I32" s="112"/>
      <c r="J32" s="115" t="s">
        <v>87</v>
      </c>
      <c r="K32" s="123" t="s">
        <v>26</v>
      </c>
      <c r="L32" s="115" t="s">
        <v>314</v>
      </c>
      <c r="M32" s="113" t="s">
        <v>852</v>
      </c>
      <c r="N32" s="113" t="s">
        <v>822</v>
      </c>
      <c r="O32" s="110" t="s">
        <v>833</v>
      </c>
      <c r="P32" s="114"/>
      <c r="Q32" s="114"/>
      <c r="R32" s="114"/>
      <c r="S32" s="114"/>
      <c r="T32" s="112"/>
      <c r="U32" s="112"/>
      <c r="V32" s="112"/>
      <c r="W32" s="112"/>
      <c r="X32" s="112"/>
      <c r="Y32" s="112"/>
      <c r="Z32" s="112"/>
      <c r="AA32" s="166">
        <f>IF(ISBLANK(FeedbackFrmMentor[[#This Row],[Start Date]]),"",FeedbackFrmMentor[[#This Row],[Start Date]]-WEEKDAY(FeedbackFrmMentor[[#This Row],[Start Date]],2)+1)</f>
        <v>46069.410509259258</v>
      </c>
      <c r="AB32" s="170">
        <f>TRUNC(FeedbackFrmMentor[[#This Row],[Start of Week]],0)</f>
        <v>46069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1DAF73-3F4F-4A0D-AA9C-C62D302539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Venture Feedback Remarks</vt:lpstr>
      <vt:lpstr>Ventures</vt:lpstr>
      <vt:lpstr>Mentor Connects</vt:lpstr>
      <vt:lpstr>Feedback from Founders</vt:lpstr>
      <vt:lpstr>Feedback from Mentor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Meenakshi Singh</dc:creator>
  <cp:keywords/>
  <dc:description/>
  <cp:lastModifiedBy>Meenakshi Singh</cp:lastModifiedBy>
  <cp:revision/>
  <dcterms:created xsi:type="dcterms:W3CDTF">2025-12-17T07:47:26Z</dcterms:created>
  <dcterms:modified xsi:type="dcterms:W3CDTF">2026-04-21T14:51:53Z</dcterms:modified>
  <cp:category/>
  <cp:contentStatus/>
</cp:coreProperties>
</file>