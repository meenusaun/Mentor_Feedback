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wadhwanifoundation-my.sharepoint.com/personal/meenakshi_singh_wadhwanifoundation_org/Documents/04. Advisors/2026/Accelerate_Mentor_Feedback/"/>
    </mc:Choice>
  </mc:AlternateContent>
  <xr:revisionPtr revIDLastSave="8" documentId="8_{F9F0014C-5D0A-4B0D-BD4A-734D80FC15FE}" xr6:coauthVersionLast="47" xr6:coauthVersionMax="47" xr10:uidLastSave="{0BDC8D55-C3DD-4589-A946-C62F8E618A3C}"/>
  <bookViews>
    <workbookView xWindow="-108" yWindow="-108" windowWidth="23256" windowHeight="12456" tabRatio="761" xr2:uid="{5A92B2A8-4893-4DE5-B7FA-CCD17B3F120E}"/>
  </bookViews>
  <sheets>
    <sheet name="Mentors Li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88" i="1" l="1"/>
  <c r="G688" i="1"/>
  <c r="H688" i="1" s="1"/>
  <c r="AN687" i="1"/>
  <c r="G687" i="1"/>
  <c r="H687" i="1" s="1"/>
  <c r="G686" i="1" l="1"/>
  <c r="H686" i="1" s="1"/>
  <c r="AN686" i="1"/>
  <c r="G685" i="1"/>
  <c r="H685" i="1" s="1"/>
  <c r="AN685" i="1"/>
  <c r="G684" i="1"/>
  <c r="H684" i="1" s="1"/>
  <c r="AN684" i="1"/>
  <c r="G683" i="1"/>
  <c r="H683" i="1" s="1"/>
  <c r="AN683" i="1"/>
  <c r="G682" i="1"/>
  <c r="H682" i="1" s="1"/>
  <c r="AN682" i="1"/>
  <c r="G681" i="1"/>
  <c r="H681" i="1" s="1"/>
  <c r="AN681" i="1"/>
  <c r="G680" i="1"/>
  <c r="H680" i="1" s="1"/>
  <c r="AN680" i="1"/>
  <c r="G679" i="1"/>
  <c r="H679" i="1" s="1"/>
  <c r="AN679" i="1"/>
  <c r="G678" i="1"/>
  <c r="H678" i="1" s="1"/>
  <c r="AN678" i="1"/>
  <c r="AN2" i="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G677" i="1" l="1"/>
  <c r="H677" i="1" s="1"/>
  <c r="G676" i="1"/>
  <c r="H676" i="1" s="1"/>
  <c r="G675" i="1"/>
  <c r="H675" i="1" s="1"/>
  <c r="G674" i="1"/>
  <c r="H674" i="1" s="1"/>
  <c r="G673" i="1"/>
  <c r="H673" i="1" s="1"/>
  <c r="G672" i="1"/>
  <c r="H672" i="1" s="1"/>
  <c r="G671" i="1"/>
  <c r="H671" i="1" s="1"/>
  <c r="G670" i="1"/>
  <c r="H670" i="1" s="1"/>
  <c r="G669" i="1"/>
  <c r="H669" i="1" s="1"/>
  <c r="G220" i="1"/>
  <c r="G668" i="1"/>
  <c r="H668" i="1" s="1"/>
  <c r="G667" i="1" l="1"/>
  <c r="H667" i="1" s="1"/>
  <c r="G666" i="1"/>
  <c r="H666" i="1" s="1"/>
  <c r="G663" i="1" l="1"/>
  <c r="H663" i="1" s="1"/>
  <c r="G665" i="1"/>
  <c r="H665" i="1" s="1"/>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613"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49"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158" i="1"/>
  <c r="G650" i="1"/>
  <c r="G651" i="1"/>
  <c r="G653" i="1"/>
  <c r="G654" i="1"/>
  <c r="G655" i="1"/>
  <c r="G656" i="1"/>
  <c r="G657" i="1"/>
  <c r="G658" i="1"/>
  <c r="G659" i="1"/>
  <c r="G660" i="1"/>
  <c r="G664" i="1"/>
  <c r="G652" i="1"/>
  <c r="G662" i="1"/>
  <c r="G661" i="1"/>
  <c r="H661" i="1" l="1"/>
  <c r="H662" i="1" l="1"/>
  <c r="H182" i="1"/>
  <c r="H657" i="1"/>
  <c r="H658" i="1"/>
  <c r="H659" i="1"/>
  <c r="H660" i="1"/>
  <c r="H664" i="1"/>
  <c r="H652" i="1"/>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613" i="1"/>
  <c r="H159" i="1"/>
  <c r="H160" i="1"/>
  <c r="H161" i="1"/>
  <c r="H162" i="1"/>
  <c r="H163" i="1"/>
  <c r="H164" i="1"/>
  <c r="H165" i="1"/>
  <c r="H166" i="1"/>
  <c r="H167" i="1"/>
  <c r="H168" i="1"/>
  <c r="H169" i="1"/>
  <c r="H170" i="1"/>
  <c r="H171" i="1"/>
  <c r="H172" i="1"/>
  <c r="H173" i="1"/>
  <c r="H174" i="1"/>
  <c r="H175" i="1"/>
  <c r="H176" i="1"/>
  <c r="H177" i="1"/>
  <c r="H178" i="1"/>
  <c r="H179" i="1"/>
  <c r="H180" i="1"/>
  <c r="H181"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49"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158" i="1"/>
  <c r="H650" i="1"/>
  <c r="H651" i="1"/>
  <c r="H653" i="1"/>
  <c r="H654" i="1"/>
  <c r="H655" i="1"/>
  <c r="H656" i="1"/>
  <c r="H2" i="1" l="1"/>
</calcChain>
</file>

<file path=xl/sharedStrings.xml><?xml version="1.0" encoding="utf-8"?>
<sst xmlns="http://schemas.openxmlformats.org/spreadsheetml/2006/main" count="18331" uniqueCount="4816">
  <si>
    <t>Complete</t>
  </si>
  <si>
    <t>Name</t>
  </si>
  <si>
    <t>Archana</t>
  </si>
  <si>
    <t>Job Title</t>
  </si>
  <si>
    <t>Meenakshi</t>
  </si>
  <si>
    <t>Current Company</t>
  </si>
  <si>
    <t>Muzamil</t>
  </si>
  <si>
    <t>Bio</t>
  </si>
  <si>
    <t>Shudhanshu</t>
  </si>
  <si>
    <t>LinkedIn Profile</t>
  </si>
  <si>
    <t>Vaibhav</t>
  </si>
  <si>
    <t>Career Start Year</t>
  </si>
  <si>
    <t>Years of Experience</t>
  </si>
  <si>
    <t>Experience Category</t>
  </si>
  <si>
    <t>Country</t>
  </si>
  <si>
    <t>Current Location</t>
  </si>
  <si>
    <t>Email ID</t>
  </si>
  <si>
    <t xml:space="preserve">Phone No. </t>
  </si>
  <si>
    <t>OWNER</t>
  </si>
  <si>
    <t>Update Status</t>
  </si>
  <si>
    <t>Remarks</t>
  </si>
  <si>
    <t>Angel Investor</t>
  </si>
  <si>
    <t>Serial Entrepreneur</t>
  </si>
  <si>
    <t>Founder/Co-Founder</t>
  </si>
  <si>
    <t>Primary Expertise</t>
  </si>
  <si>
    <t>Secondary Expertise</t>
  </si>
  <si>
    <t>Primary Sector</t>
  </si>
  <si>
    <t>Secondary Sector</t>
  </si>
  <si>
    <t>Program Suitability (Ignite, Startups)</t>
  </si>
  <si>
    <t>SMB mentor?</t>
  </si>
  <si>
    <t>Is a Founder?</t>
  </si>
  <si>
    <t>Is suitable for WIN/WGDT</t>
  </si>
  <si>
    <t>Currently working in an Incubator</t>
  </si>
  <si>
    <t>Job Title Category</t>
  </si>
  <si>
    <t>Function</t>
  </si>
  <si>
    <t>Backup Expertise</t>
  </si>
  <si>
    <t>Backup Industries</t>
  </si>
  <si>
    <t>Primary Venture Idea</t>
  </si>
  <si>
    <t>Onboarded Date</t>
  </si>
  <si>
    <t>Secondary Venture Idea</t>
  </si>
  <si>
    <t>Paid/Probono/Both</t>
  </si>
  <si>
    <t>Hours of Commitment (Per Month)</t>
  </si>
  <si>
    <t>Nature of Engagement</t>
  </si>
  <si>
    <t>Working in Venture Firm(PE/VC)</t>
  </si>
  <si>
    <t>Accelerate Core Status</t>
  </si>
  <si>
    <t>Start of Week</t>
  </si>
  <si>
    <t>Abhay Jajoo</t>
  </si>
  <si>
    <t>Senior Consultant</t>
  </si>
  <si>
    <t xml:space="preserve">Eviden </t>
  </si>
  <si>
    <t>Summary: &lt;/strong&gt;&lt;/p&gt;&lt;p&gt;Abhay is a seasoned Senior Consultant at Eviden with over 15 years of experience specializing in Marketing, Sales Operations, Business Development, and Market Intelligence. His expertise lies in leveraging data-driven solutions to drive business growth and transformation. Abhay collaborates with global leaders in digital transformation, software Product Management development, IT services, and e-learning to help them achieve their strategic goals and objectives.&lt;/p&gt;&lt;p&gt;&lt;br&gt;&lt;/p&gt;Core Expertise:&lt;/strong&gt;&lt;/p&gt;&lt;p&gt;&lt;em&gt;Marketing &amp;amp; Sales Operations: &lt;/em&gt;Proficient in developing and executing strategies that enhance marketing and sales effectiveness. Experienced in creating compelling content and delivering impactful marketing and sales enablement initiatives.&lt;/p&gt;&lt;p&gt;&lt;em&gt;Business Development:&lt;/em&gt; Skilled in identifying and pursuing new business opportunities, forming strategic partnerships, and driving revenue growth.&lt;/p&gt;&lt;p&gt;&lt;em&gt;Market Intelligence:&lt;/em&gt; Expertise in gathering, documenting, and validating business requirements for marketing and data analytics roadmaps. Adept at providing actionable insights to support sales and business development efforts.&lt;/p&gt;&lt;p&gt;&lt;em&gt;Customer Relationship Management (CRM):&lt;/em&gt; Experience in managing customer relationships and leveraging CRM tools to improve customer engagement and satisfaction. &lt;em&gt;Online Marketing &amp;amp; Strategy: &lt;/em&gt;Knowledgeable in online marketing strategies and tactics, including strategic market analysis and competitive strategy.&lt;/p&gt;&lt;p&gt;&lt;em&gt;Problem-Solving Approach: &lt;/em&gt;Abhay employs a data-driven approach to problem-solving, using insights and analytics to inform decision-making and strategy development. He focuses on understanding client needs and aligning solutions with their strategic goals. His methodology involves close collaboration with cross-functional teams to ensure that marketing and sales initiatives are effectively executed and deliver high-quality results.&lt;/p&gt;&lt;p&gt;&lt;br&gt;&lt;/p&gt;Impactful Projects:&lt;/strong&gt;&lt;/p&gt;&lt;p&gt;&lt;em&gt;Global Marketing &amp;amp; Sales Enablement:&lt;/em&gt; Successfully led global marketing and sales enablement initiatives, creating content and strategies that differentiated client offerings and supported business growth.&lt;/p&gt;&lt;p&gt;&lt;em&gt;Strategic Market Analysis:&lt;/em&gt; Conducted strategic market analysis and business war gaming to provide valuable insights that helped clients navigate competitive landscapes and achieve their objectives.&lt;/p&gt;&lt;p&gt;&lt;em&gt;Digital Transformation:&lt;/em&gt; Contributed to digital transformation projects by collaborating with leaders in software Product Management development and IT services to drive business success.&lt;/p&gt;&lt;p&gt;&lt;br&gt;&lt;/p&gt;Consultation Style:&lt;/strong&gt; Abhay’s consultation style is collaborative and results-oriented. He works closely with clients to understand their specific challenges and objectives, providing tailored solutions that address their needs. His focus on technology, innovation, and customer satisfaction drives him to deliver high-quality results and foster strong client relationships. Abhay is dedicated to using his expertise to help clients achieve their strategic goals and enhance their business performance.&lt;/p&gt;</t>
  </si>
  <si>
    <t>https://www.linkedin.com/in/abhayjaju/</t>
  </si>
  <si>
    <t>India</t>
  </si>
  <si>
    <t>Pune</t>
  </si>
  <si>
    <t>abhayajaju@gmail.com</t>
  </si>
  <si>
    <t>No</t>
  </si>
  <si>
    <t>Sales/GTM: Strategy &amp; Market Expansion</t>
  </si>
  <si>
    <t>Marketing: Digital Marketing</t>
  </si>
  <si>
    <t>Enterprise Tech</t>
  </si>
  <si>
    <t>Manufacturing &amp; Manufacturing Tech: Others</t>
  </si>
  <si>
    <t>Product Evolution</t>
  </si>
  <si>
    <t>Route to Market Change</t>
  </si>
  <si>
    <t>Ignite, Liftoff</t>
  </si>
  <si>
    <t>Probono</t>
  </si>
  <si>
    <t>Yes</t>
  </si>
  <si>
    <t>-</t>
  </si>
  <si>
    <t>Others</t>
  </si>
  <si>
    <t>Sales/BD</t>
  </si>
  <si>
    <t>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lead generation || Sales &amp; Business Development || Go to Market Strategy</t>
  </si>
  <si>
    <t>Advanced Manufacturing &amp; Robotics || AgriTech &amp; New Food || AI, Big Data &amp; Analytics || BPO/KPO || CleanTech || E-Commerce || EdTech || FinTech || Gaming || Healthtech &amp; Wellness || IT &amp; Communication || Media &amp; Entertainment || Mobility || Social Enterprise || Tourism || Advanced Manufacturing &amp; Robotics || AgriTech &amp; New Food || AI, Big Data &amp; Analytics || BPO/KPO || CleanTech || E-Commerce || EdTech || FinTech || Gaming || Healthtech &amp; Wellness || IT &amp; Communication || Media &amp; Entertainment || Mobility || Social Enterprise || Tourism || Advanced Manufacturing &amp; Robotics || AgriTech &amp; New Food || AI, Big Data &amp; Analytics || BPO/KPO || CleanTech || E-Commerce || EdTech || FinTech || Gaming || Healthtech &amp; Wellness || IT &amp; Communication || Media &amp; Entertainment || Mobility || Social Enterprise || Tourism || Software &amp; IT Services</t>
  </si>
  <si>
    <t>Abhilash Puljal</t>
  </si>
  <si>
    <t>SSA - Consultant</t>
  </si>
  <si>
    <t>World Food Programme</t>
  </si>
  <si>
    <t>Summary:
Mr. Abhilash, a visionary leader with extensive experience in global business development and organizational growth, excels in bridging international markets and implementing strategic plans for both public and private sectors. Known for his strengths in team building and cross-functional collaboration, he is skilled in navigating multicultural environments to deliver sustainable, impactful projects. With a focus on financial forecasting, strategic planning, and risk assessment, Mr. Abhilash drives initiatives that enhance operational efficiency and foster long-term growth.
Core Expertise:
Financial Forecasting &amp; Modelling
Business Development &amp; Growth
Strategic Planning &amp; Execution
Market Research &amp; Analysis
Project &amp; Program Management
Risk Assessment &amp; Mitigation
Team Building &amp; Leadership
Cross-Functional Collaboration
Stakeholder Engagement
Problem-Solving Approach:
Mr. Abhilash utilizes a strategic approach to complex problem-solving, emphasizing clear communication, technical guidance, and process optimization tailored to local and emerging markets. His strong understanding of multicultural dynamics allows him to effectively address challenges in diverse sectors.
Impactful Projects:
Led sustainable development projects for public and private sector clients globally.
Developed and presented large-scale proposals to drive business growth and economic competitiveness.
Expanded business operations by optimizing processes and procedures, focusing on long-term, impactful results.
Consulting Style:
Mr. Abhilash’s consulting style emphasizes strategic decision-making, proactive stakeholder engagement, and adaptable solutions. His ability to lead cross-functional teams and maintain strong international networks enables him to implement efficient, customized strategies that promote growth across various industries.</t>
  </si>
  <si>
    <t>https://www.linkedin.com/in/puljal/</t>
  </si>
  <si>
    <t>New Delhi</t>
  </si>
  <si>
    <t>abhilash.puljal@gmail.com</t>
  </si>
  <si>
    <t>Finance</t>
  </si>
  <si>
    <t>Operations</t>
  </si>
  <si>
    <t>Services</t>
  </si>
  <si>
    <t>NA</t>
  </si>
  <si>
    <t>New Market Entry – Export</t>
  </si>
  <si>
    <t>Liftoff</t>
  </si>
  <si>
    <t>Export || International Market Analysis || Trade Compliance || Export || International Market Analysis || Trade Compliance || Export || International Market Analysis || Trade Compliance || Business Finance || Sales &amp; Business Development</t>
  </si>
  <si>
    <t>Agriculture &amp; Food Processing || Agriculture &amp; Food Processing || Agriculture &amp; Food Processing || Energy &amp; Renewable Resources || Energy &amp; Renewable Resources || Energy &amp; Renewable Resources || Real Estate &amp; Construction || Real Estate &amp; Construction || Real Estate &amp; Construction || Fintech, Banking, Financial Services</t>
  </si>
  <si>
    <t>Abhilekh Verma</t>
  </si>
  <si>
    <t>Freelance</t>
  </si>
  <si>
    <t>Summary&lt;/strong&gt;&lt;/p&gt;&lt;p&gt;Abhilekh is a passionate Founder, trainer, and mentor with over a decade of experience in IT sales and sales training. Abhilekh has an MBA in Marketing from IBS Hyderabad and multiple certifications in C, C++, SAP R/3, and SPSS. He founded his own sales coaching firm in December 2023, after a successful career as a corporate sales trainer and team leader at KPMG India.&lt;/p&gt;&lt;p&gt;&lt;br&gt;&lt;/p&gt;Key Areas of Expertise&lt;/strong&gt;&lt;/p&gt;&lt;ul&gt;&lt;li&gt;IT sales and sales training&lt;/li&gt;&lt;li&gt;Cold calling, social selling, storytelling, email marketing, negotiations, closing deals, sales cadence&lt;/li&gt;&lt;li&gt;Executive leadership training in Change Management and emerging technologies like ChatGPT&lt;/li&gt;&lt;li&gt;Emerging technologies: IoT, AI, cloud computing&lt;/li&gt;&lt;li&gt;Product Management and technical training in various CRM platforms: Salesforce, Hubspot, Zoho, MS Dynamics&lt;/li&gt;&lt;/ul&gt;&lt;p&gt;&lt;br&gt;&lt;/p&gt;Strategic Contributions&lt;/strong&gt;&lt;/p&gt;&lt;ul&gt;&lt;li&gt;Founded a sales coaching firm offering a wide range of workshops and training programs&lt;/li&gt;&lt;li&gt;Delivered training for executive leadership on Change Management and emerging technologies&lt;/li&gt;&lt;/ul&gt;&lt;p&gt;&lt;br&gt;&lt;/p&gt;Success Stories&lt;/strong&gt;&lt;/p&gt;&lt;ul&gt;&lt;li&gt;Empowered corporations, startups, and SMEs to achieve sales excellence and drive business growth&lt;/li&gt;&lt;li&gt;Worked with diverse industries, including E-commerce, Manufacturing, IT, Logistics and Transportation, Healthcare, Hospitality, Marketing and Advertising, FMCG and food, Beauty, and BFSI&lt;/li&gt;&lt;/ul&gt;</t>
  </si>
  <si>
    <t>https://www.linkedin.com/in/abhilekhverma/</t>
  </si>
  <si>
    <t>Hyderabad</t>
  </si>
  <si>
    <t>vermaabhilekh3@gmail.com (Mentor)
abhilekh@abhilekhverma.com (Student)
abhilekhverma91@gmail.com (Student)</t>
  </si>
  <si>
    <t>Sales/GTM: Sales structure &amp; Sales incentive planning</t>
  </si>
  <si>
    <t>Branding || Business Model Development || Customer Relationship Management || Data Analytics || Go to Market Strategy || Growth Strategy Formulation || Market research || Organizational Development || Performance Management || Process Optimization || Product Development || Public speaking || Sales Strategy || Strategic Planning || Talent Acquisition || Tech Strategy &amp; Infrastructure || Training &amp; Development || Branding || Business Model Development || Customer Relationship Management || Data Analytics || Go to Market Strategy || Growth Strategy Formulation || Market research || Organizational Development || Performance Management || Process Optimization || Product Development || Public speaking || Sales Strategy || Strategic Planning || Talent Acquisition || Tech Strategy &amp; Infrastructure || Training &amp; Development || Branding || Business Model Development || Customer Relationship Management || Data Analytics || Go to Market Strategy || Growth Strategy Formulation || Market research || Organizational Development || Performance Management || Process Optimization || Product Development || Public speaking || Sales Strategy || Strategic Planning || Talent Acquisition || Tech Strategy &amp; Infrastructure || Training &amp; Development || Branding || Business Model Development || Customer Relationship Management || Data Analytics || Go to Market Strategy || Growth Strategy Formulation || Market research || Organizational Development || Performance Management || Process Optimization || Product Development || Public speaking || Sales Strategy || Strategic Planning || Talent Acquisition || Tech Strategy &amp; Infrastructure || Training &amp; Development || Branding || Business Model Development || Customer Relationship Management || Data Analytics || Go to Market Strategy || Growth Strategy Formulation || Market research || Organizational Development || Performance Management || Process Optimization || Product Development || Public speaking || Sales Strategy || Strategic Planning || Talent Acquisition || Tech Strategy &amp; Infrastructure || Training &amp; Development || Branding || Business Model Development || Customer Relationship Management || Data Analytics || Go to Market Strategy || Growth Strategy Formulation || Market research || Organizational Development || Performance Management || Process Optimization || Product Development || Public speaking || Sales Strategy || Strategic Planning || Talent Acquisition || Tech Strategy &amp; Infrastructure || Training &amp; Development || Branding || Business Model Development || Customer Relationship Management || Data Analytics || Go to Market Strategy || Growth Strategy Formulation || Market research || Organizational Development || Performance Management || Process Optimization || Product Development || Public speaking || Sales Strategy || Strategic Planning || Talent Acquisition || Tech Strategy &amp; Infrastructure || Training &amp; Development || Sales &amp; Business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</si>
  <si>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Software &amp; IT Services</t>
  </si>
  <si>
    <t>Abhishek Kapahi</t>
  </si>
  <si>
    <t>CEO</t>
  </si>
  <si>
    <t>Scaler Bee</t>
  </si>
  <si>
    <t>Summary
Mr. Abhishek is a Co-founder and CEO of Scaler Bee. He empowers founders to achieve their investment goals by providing strategic guidance and support. With a Master's degree in Entrepreneurship, he has a passion for transforming ideas into viable businesses. He has helped 4000+ startups across various industries and stages from Idea Validation till Fundraising and SME IPO.
Key Areas of Expertise
Virtual Incubation
Pitch Decks Design
Startup Valuation
Founders Grooming
Digital Marketing
Legal Services
Business Development
Strategic Planning
Fundraising
Market Research
Strategic Partnerships
Strategic Contributions
Prior to Scaler Bee, he established and managed relationships with over 150+ investors, mentors, and ecosystem partners in the startup ecosystem. He oversaw and executed multiple projects for global enterprises.</t>
  </si>
  <si>
    <t>https://www.linkedin.com/in/abhishek-kapahi-92b41b182/</t>
  </si>
  <si>
    <t>Abhishekkapahi@scalerbee.com</t>
  </si>
  <si>
    <t>Funding</t>
  </si>
  <si>
    <t>Sales/GTM: Others</t>
  </si>
  <si>
    <t>Ignite</t>
  </si>
  <si>
    <t>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Angel Investing || Branding || Business Model Development || Digital Marketing || Fundraising || Go to Market Strategy || Growth Strategy Formulation || Pitch coaching || Sales Strategy || Strategic Planning || Sales &amp; Business Development || Business Finance</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</si>
  <si>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Venture Funding</t>
  </si>
  <si>
    <t>Ajay Gidwani</t>
  </si>
  <si>
    <t>Senior Manager Learning Development</t>
  </si>
  <si>
    <t>Leap</t>
  </si>
  <si>
    <t>Summary:&lt;/strong&gt;&lt;/p&gt;&lt;p&gt;Mr. Ajay serves as the Senior Manager of Learning and Development at Leap Scholar, leveraging over 20 years of extensive experience in the education industry and sales management. His career has been dedicated to empowering leaders, managers, and counselors across India, helping them excel in their roles and drive organizational growth. With a deep passion for education and a strong background in sales, Mr. Ajay focuses on fostering a learning culture that promotes performance and innovation.&lt;/p&gt;&lt;p&gt;&lt;br&gt;&lt;/p&gt;Core Expertise:&lt;/strong&gt;&lt;/p&gt;&lt;ul&gt;&lt;li&gt;Designing and delivering comprehensive training programs aligned with organizational objectives.&lt;/li&gt;&lt;li&gt;Enhancing sales performance and business acumen.&lt;/li&gt;&lt;li&gt;Contributing to Product Management management, people management, business development, expansion, and marketing research.&lt;/li&gt;&lt;li&gt;Mentoring startups and entrepreneurs.&lt;/li&gt;&lt;li&gt;Consulting for strategy, promotion, branding, and PR.&lt;/li&gt;&lt;/ul&gt;&lt;p&gt;&lt;br&gt;&lt;/p&gt;Problem Solving Approach:&lt;/strong&gt;&lt;/p&gt;&lt;ul&gt;&lt;li&gt;Focus on aligning training programs with organizational goals and values.&lt;/li&gt;&lt;li&gt;Implementing strategies to enhance sales and customer satisfaction.&lt;/li&gt;&lt;li&gt;Developing intrapreneurial mindsets among team members.&lt;/li&gt;&lt;/ul&gt;</t>
  </si>
  <si>
    <t>https://www.linkedin.com/in/ajay-gidwani-74508442</t>
  </si>
  <si>
    <t>ajayheinu1@gmail.com</t>
  </si>
  <si>
    <t>HR: Org Development</t>
  </si>
  <si>
    <t>Branding || Digital Marketing || Go to Market Strategy || Media and PR || Sales Strategy || Branding || Digital Marketing || Go to Market Strategy || Media and PR || Sales Strategy || Branding || Digital Marketing || Go to Market Strategy || Media and PR || Sales Strategy || Sales &amp; Business Development || Training &amp; Development</t>
  </si>
  <si>
    <t>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t>
  </si>
  <si>
    <t>Amit Mehra</t>
  </si>
  <si>
    <t>Executive Coaching &amp; Business Consulting</t>
  </si>
  <si>
    <t>Self Employed</t>
  </si>
  <si>
    <t>Summary&lt;/strong&gt;&lt;/p&gt;&lt;p&gt;Amit is a seasoned Senior Business Leader and Leadership Coach with over 34 years of experience across Sales, Marketing, and Business Unit Management in sectors such as Medical Devices, Pharmaceuticals, Telecom, FMCG, and EdTech in India and South Asia. An alumnus of IIT and FMS Delhi, he has held pivotal roles in global healthcare companies like Johnson &amp;amp; Johnson, Medtronic, Ranbaxy, and Glenmark.&lt;/p&gt;&lt;p&gt;&lt;br&gt;&lt;/p&gt;&lt;p&gt;As an ICF-PCC Certified Leadership and Executive Coach, he specializes in Leadership Development, Team Management, and Strategic Thinking. Amit also serves as a Business Consultant, driving performance improvements and mindset shifts for startups and large organizations.&lt;/p&gt;&lt;p&gt;&lt;br&gt;&lt;/p&gt;Key Areas of Expertise: &lt;/strong&gt;&lt;/p&gt;&lt;ul&gt;&lt;li&gt;Leadership Development&lt;/li&gt;&lt;li&gt;Effective Management&lt;/li&gt;&lt;li&gt;Managing Large Teams&lt;/li&gt;&lt;li&gt;People Development&lt;/li&gt;&lt;li&gt;Business Turnaround in Crisis&lt;/li&gt;&lt;li&gt;Leadership and Executive Coaching&lt;/li&gt;&lt;li&gt;Career Transition Coaching&lt;/li&gt;&lt;li&gt;Business Consulting for Startups and Large Companies&lt;/li&gt;&lt;li&gt;Strategic Planning and Pitching for Angel Funding&lt;/li&gt;&lt;/ul&gt;&lt;p&gt;&lt;br&gt;&lt;/p&gt;Strategic Contributions:&lt;/strong&gt;&lt;/p&gt;&lt;ul&gt;&lt;li&gt;Leading sales and marketing efforts in global healthcare companies like Johnson and Johnson Medical, Medtronic, Ranbaxy, Sun Pharma, and Glenmark Pharmaceuticals.&lt;/li&gt;&lt;li&gt;Developing new business opportunities and managing large teams across India and South Asia.&lt;/li&gt;&lt;li&gt;Driving business turnarounds during crises, particularly in the healthcare sector.&lt;/li&gt;&lt;li&gt;Coaching leaders to shift mindsets and improve business performance through tangible results.&lt;/li&gt;&lt;/ul&gt;&lt;p&gt;&lt;br&gt;&lt;/p&gt;Mentorship Philosophy&lt;/strong&gt;&lt;/p&gt;&lt;p&gt;Believes in fostering growth through leadership development, effective management, and cultivating a growth mindset. Focuses on career and role transitions, strategic thinking, influencing and relationship skills, executive presence, and time management. Works closely with CEOs and executives to enhance their leadership capabilities and organizational impact.&lt;/p&gt;&lt;p&gt;&lt;br&gt;&lt;/p&gt;Success Stories:&lt;/strong&gt;&lt;/p&gt;&lt;ul&gt;&lt;li&gt;Over 750+ coaching hours and 150+ executives and leaders coached, including CEOs, CXOs, VPs, Directors, and General Managers.&lt;/li&gt;&lt;li&gt;Coaching across diverse industries such as automobiles, healthcare, pharma, EdTech, telecom, IT, and FinTech, in regions including India, the Middle East, South East Asia, and the USA.&lt;/li&gt;&lt;li&gt;Played a pivotal role in coaching startup CEOs, helping them with strategic planning and preparing pitches for angel funding.&lt;/li&gt;&lt;/ul&gt;</t>
  </si>
  <si>
    <t>https://www.linkedin.com/in/amit-mehra-175b282/</t>
  </si>
  <si>
    <t>Mumbai</t>
  </si>
  <si>
    <t>mehraamit031@gmail.com</t>
  </si>
  <si>
    <t>Healthcare</t>
  </si>
  <si>
    <t>WGDT</t>
  </si>
  <si>
    <t>HR</t>
  </si>
  <si>
    <t>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Organizational Development || Performance Management || Strategic Planning || Team building || Training &amp; Development || Sales &amp; Business Development</t>
  </si>
  <si>
    <t>Consumer Products || Consumer Products || Consumer Products || Consumer Products || Education &amp; Training || Education &amp; Training || Education &amp; Training || Education &amp; Training || Pharmaceuticals, Healthcare and Wellness || Pharmaceuticals, Healthcare and Wellness || Pharmaceuticals, Healthcare and Wellness || Pharmaceuticals, Healthcare and Wellness || Services || Services || Services || Services || Telecommunications || Telecommunications || Telecommunications || Telecommunications || Consumer Products || Consumer Products || Consumer Products || Consumer Products || Education &amp; Training || Education &amp; Training || Education &amp; Training || Education &amp; Training || Pharmaceuticals, Healthcare and Wellness || Pharmaceuticals, Healthcare and Wellness || Pharmaceuticals, Healthcare and Wellness || Pharmaceuticals, Healthcare and Wellness || Services || Services || Services || Services || Telecommunications || Telecommunications || Telecommunications || Telecommunications || Consumer Products || Consumer Products || Consumer Products || Consumer Products || Education &amp; Training || Education &amp; Training || Education &amp; Training || Education &amp; Training || Pharmaceuticals, Healthcare and Wellness || Pharmaceuticals, Healthcare and Wellness || Pharmaceuticals, Healthcare and Wellness || Pharmaceuticals, Healthcare and Wellness || Services || Services || Services || Services || Telecommunications || Telecommunications || Telecommunications || Telecommunications || Pharmaceuticals, Healthcare and Wellness</t>
  </si>
  <si>
    <t>Akash Gogri</t>
  </si>
  <si>
    <t>Associate Director</t>
  </si>
  <si>
    <t>IIDE</t>
  </si>
  <si>
    <t>Summary
Akash operates with a high degree of transparency, navigating life fluently in five languages and embracing life-changing experiences. He is deeply passionate about education and growth, striving to make a positive impact in both the boardroom and the classroom. As the Head of Growth and Partnerships at IIDE, he bridge the gap between industry and education by onboarding experts from top brands and agencies.
Key Areas of Expertise
Strategies, marketing, sales
Curriculum/course management
Learning &amp; development
Teaching managerial skills: start-up essentials, resume building, presentation making, Excel/Google Sheets, LinkedIn Marketing
Collaborative initiatives with prominent brands, tech startups, institutions, corporates, and education consultants
Partnerships with renowned digital marketing agencies and brands
Strategic Contributions
Fostering partnerships with digital marketing agencies and brands
Sharing insights through speaking engagements and training sessions
Contributing to the growth and success of individuals and organizations through meaningful interactions
Mentorship Philosophy
Actively involved in mentoring and guiding students and young professionals
Supporting initiatives that enhance the learning journey and foster a collaborative environment for growth</t>
  </si>
  <si>
    <t>https://www.linkedin.com/in/aakashgogri/</t>
  </si>
  <si>
    <t>aakashgogri@gmail.com</t>
  </si>
  <si>
    <t>Senior Leadership</t>
  </si>
  <si>
    <t>Marketing</t>
  </si>
  <si>
    <t>Branding || Business Model Development || Customer Service &amp; Retention || Digital Marketing || Growth Strategy Formulation || Organizational Development || Public speaking || Sales Strategy || Social Media Marketing || Training &amp; Development || UI/UX Design || Branding || Business Model Development || Customer Service &amp; Retention || Digital Marketing || Growth Strategy Formulation || Organizational Development || Public speaking || Sales Strategy || Social Media Marketing || Training &amp; Development || UI/UX Design || Branding || Business Model Development || Customer Service &amp; Retention || Digital Marketing || Growth Strategy Formulation || Organizational Development || Public speaking || Sales Strategy || Social Media Marketing || Training &amp; Development || UI/UX Design || Branding || Business Model Development || Customer Service &amp; Retention || Digital Marketing || Growth Strategy Formulation || Organizational Development || Public speaking || Sales Strategy || Social Media Marketing || Training &amp; Development || UI/UX Design || Branding || Business Model Development || Customer Service &amp; Retention || Digital Marketing || Growth Strategy Formulation || Organizational Development || Public speaking || Sales Strategy || Social Media Marketing || Training &amp; Development || UI/UX Design || Branding || Business Model Development || Customer Service &amp; Retention || Digital Marketing || Growth Strategy Formulation || Organizational Development || Public speaking || Sales Strategy || Social Media Marketing || Training &amp; Development || UI/UX Design || Branding || Business Model Development || Customer Service &amp; Retention || Digital Marketing || Growth Strategy Formulation || Organizational Development || Public speaking || Sales Strategy || Social Media Marketing || Training &amp; Development || UI/UX Design || Branding || Business Model Development || Customer Service &amp; Retention || Digital Marketing || Growth Strategy Formulation || Organizational Development || Public speaking || Sales Strategy || Social Media Marketing || Training &amp; Development || UI/UX Design || Branding || Business Model Development || Customer Service &amp; Retention || Digital Marketing || Growth Strategy Formulation || Organizational Development || Public speaking || Sales Strategy || Social Media Marketing || Training &amp; Development || UI/UX Design || Branding || Business Model Development || Customer Service &amp; Retention || Digital Marketing || Growth Strategy Formulation || Organizational Development || Public speaking || Sales Strategy || Social Media Marketing || Training &amp; Development || UI/UX Design || Branding || Business Model Development || Customer Service &amp; Retention || Digital Marketing || Growth Strategy Formulation || Organizational Development || Public speaking || Sales Strategy || Social Media Marketing || Training &amp; Development || UI/UX Design || Branding || Business Model Development || Customer Service &amp; Retention || Digital Marketing || Growth Strategy Formulation || Organizational Development || Public speaking || Sales Strategy || Social Media Marketing || Training &amp; Development || UI/UX Design || Digital Marketing || Sales &amp; Business Development</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</si>
  <si>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Retail &amp; e-Commerce || Retail &amp; e-Commerce || Retail &amp; e-Commerce || Retail &amp; e-Commerce || Retail &amp; e-Commerce || Retail &amp; e-Commerce || Retail &amp; e-Commerce || Retail &amp; e-Commerce || Retail &amp; e-Commerce || Retail &amp; e-Commerce || Retail &amp; e-Commerce || Tourism &amp; Hospitality || Tourism &amp; Hospitality || Tourism &amp; Hospitality || Tourism &amp; Hospitality || Tourism &amp; Hospitality || Tourism &amp; Hospitality || Tourism &amp; Hospitality || Tourism &amp; Hospitality || Tourism &amp; Hospitality || Tourism &amp; Hospitality || Tourism &amp; Hospitality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Retail &amp; e-Commerce || Retail &amp; e-Commerce || Retail &amp; e-Commerce || Retail &amp; e-Commerce || Retail &amp; e-Commerce || Retail &amp; e-Commerce || Retail &amp; e-Commerce || Retail &amp; e-Commerce || Retail &amp; e-Commerce || Retail &amp; e-Commerce || Retail &amp; e-Commerce || Tourism &amp; Hospitality || Tourism &amp; Hospitality || Tourism &amp; Hospitality || Tourism &amp; Hospitality || Tourism &amp; Hospitality || Tourism &amp; Hospitality || Tourism &amp; Hospitality || Tourism &amp; Hospitality || Tourism &amp; Hospitality || Tourism &amp; Hospitality || Tourism &amp; Hospitality || Education &amp; Training</t>
  </si>
  <si>
    <t>Akshay Garg</t>
  </si>
  <si>
    <t>Assistant Vice President</t>
  </si>
  <si>
    <t>Tor.ai Limited</t>
  </si>
  <si>
    <t>Summary&lt;/strong&gt;:&lt;/p&gt;&lt;p&gt;Akshay specializes in helping businesses launch Product Managements effectively, regardless of the technology stack. He focuses on improving business Product Managementivity, enhancing process automation, and providing comprehensive business and solution consultation. When unable to provide solutions directly, he facilitates connections with appropriate services.&lt;/p&gt;&lt;p&gt;&lt;br&gt;&lt;/p&gt;Core Expertise:&lt;/strong&gt;&lt;/p&gt;&lt;ul&gt;&lt;li&gt;Web and Mobile Development&lt;/li&gt;&lt;li&gt;Business Process Automation&lt;/li&gt;&lt;li&gt;Business Advisory and Consultancy&lt;/li&gt;&lt;li&gt;Technology Stack Solutions&lt;/li&gt;&lt;li&gt;Cloud, Network, BI&lt;/li&gt;&lt;li&gt;Customer Relationship Management&lt;/li&gt;&lt;li&gt;Market Analysis&lt;/li&gt;&lt;li&gt;Start-up Consulting&lt;/li&gt;&lt;li&gt;Agile, Lean Six Sigma, PMP methodologies&lt;/li&gt;&lt;li&gt;Microsoft ERP &amp;amp; CRM&lt;/li&gt;&lt;li&gt;AR VR MR, Blockchain, AI, SaaS, PaaS, Telematics&lt;/li&gt;&lt;/ul&gt;&lt;p&gt;&lt;br&gt;&lt;/p&gt;Problem Solving Approach:&lt;/strong&gt;&lt;/p&gt;&lt;ul&gt;&lt;li&gt;My problem-solving approach centers on achieving cost savings and efficiency improvements for clients through strategic business and solution consultation. I prioritize understanding the unique needs of each business and tailoring solutions that drive both short-term gains and long-term success.&lt;/li&gt;&lt;li&gt;When specific expertise or resources are required beyond my scope, I leverage my network to facilitate partnerships and connections, ensuring that clients receive comprehensive support tailored to their unique challenges and goals.&lt;/li&gt;&lt;/ul&gt;</t>
  </si>
  <si>
    <t>https://www.linkedin.com/in/shaygarg/</t>
  </si>
  <si>
    <t>Gurugram</t>
  </si>
  <si>
    <t>uncomfortabletruth247@gmail.com</t>
  </si>
  <si>
    <t>Business Model Development || Organizational Development || Process Optimization || Prototyping &amp; Testing || Sales Strategy || Strategic Planning || Business Model Development || Organizational Development || Process Optimization || Prototyping &amp; Testing || Sales Strategy || Strategic Planning || Business Model Development || Organizational Development || Process Optimization || Prototyping &amp; Testing || Sales Strategy || Strategic Planning || Business Model Development || Organizational Development || Process Optimization || Prototyping &amp; Testing || Sales Strategy || Strategic Planning || Business Model Development || Organizational Development || Process Optimization || Prototyping &amp; Testing || Sales Strategy || Strategic Planning || Business Model Development || Organizational Development || Process Optimization || Prototyping &amp; Testing || Sales Strategy || Strategic Planning || Business Model Development || Organizational Development || Process Optimization || Prototyping &amp; Testing || Sales Strategy || Strategic Planning || Business Model Development || Organizational Development || Process Optimization || Prototyping &amp; Testing || Sales Strategy || Strategic Planning || Business Model Development || Organizational Development || Process Optimization || Prototyping &amp; Testing || Sales Strategy || Strategic Planning || Sales &amp; Business Development || Business Model Development</t>
  </si>
  <si>
    <t>Agriculture &amp; Food Processing || Agriculture &amp; Food Processing || Agriculture &amp; Food Processing || Agriculture &amp; Food Processing || Agriculture &amp; Food Processing || Agriculture &amp; Food Processing || Technology &amp; Innovation || Technology &amp; Innovation || Technology &amp; Innovation || Technology &amp; Innovation || Technology &amp; Innovation || Technology &amp; Innovation || Transportation &amp; Logistics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Agriculture &amp; Food Processing || Technology &amp; Innovation || Technology &amp; Innovation || Technology &amp; Innovation || Technology &amp; Innovation || Technology &amp; Innovation || Technology &amp; Innovation || Transportation &amp; Logistics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Agriculture &amp; Food Processing || Technology &amp; Innovation || Technology &amp; Innovation || Technology &amp; Innovation || Technology &amp; Innovation || Technology &amp; Innovation || Technology &amp; Innovation || Transportation &amp; Logistics || Transportation &amp; Logistics || Transportation &amp; Logistics || Transportation &amp; Logistics || Transportation &amp; Logistics || Transportation &amp; Logistics || Deeptech || Automotive &amp; Auto Components</t>
  </si>
  <si>
    <t>Ambrish Jain</t>
  </si>
  <si>
    <t>Business Mentor</t>
  </si>
  <si>
    <t>Summary&lt;/strong&gt;&lt;/p&gt;&lt;p&gt;Mr. Ambrish brings over four decades of experience in senior roles across renowned business houses. Having transitioned to mentoring startups and professionals, he leverages his extensive background to foster success in others. He serves as an Independent Director at Intellect Design Arena and is a member of the Advisory Board at Xstrops Consulting Pvt Ltd. With a B.Tech from IIT Delhi, an MBA from IIM Ahmedabad, and an AMP from Harvard Business School, Mr. Ambrish has held prominent positions, including COO at Vodafone Idea and Deputy Managing Director at Idea Cellular. He is a recipient of the prestigious Chairman's Awards for "Outstanding Leader" and "Leader of Leaders."&lt;/p&gt;&lt;p&gt;&lt;br&gt;&lt;/p&gt;Key Areas of Expertise&lt;/strong&gt;&lt;/p&gt;&lt;ul&gt;&lt;li&gt;Business leadership and operations management&lt;/li&gt;&lt;li&gt;Sales, Retail, and Customer Operations&lt;/li&gt;&lt;li&gt;Merger, integration, cost optimization, restructuring, and business transformation&lt;/li&gt;&lt;li&gt;Board membership and advisory roles&lt;/li&gt;&lt;li&gt;Education: B.Tech (IIT Delhi), MBA (IIM Ahmedabad), AMP (Harvard Business School)&lt;/li&gt;&lt;/ul&gt;&lt;p&gt;&lt;br&gt;&lt;/p&gt;Strategic Contributions&lt;/strong&gt;&lt;/p&gt;&lt;ul&gt;&lt;li&gt;Played key roles in merger, integration, and business transformation at Vodafone Idea and Idea Cellular&lt;/li&gt;&lt;li&gt;Leadership in Customer Operations, Enterprise Business, and New Businesses including Wallet and Payments Bank&lt;/li&gt;&lt;li&gt;Recipient of prestigious Chairman's Awards for leadership excellence at ABG Group&lt;/li&gt;&lt;/ul&gt;</t>
  </si>
  <si>
    <t>https://www.linkedin.com/in/ambrish-jain-331b95228/</t>
  </si>
  <si>
    <t>jambrish1@gmail.com</t>
  </si>
  <si>
    <t>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Business Model Development || Customer Service &amp; Retention || Digital Marketing || Market research || Public speaking || Sales Strategy || Social Media Marketing || Strategic Planning || UI/UX Design || Sales &amp; Business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</si>
  <si>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Telecommunications || Telecommunications || Telecommunications || Telecommunications || Telecommunications || Telecommunications || Telecommunications || Telecommunications || Telecommunications || Tourism &amp; Hospitality || Tourism &amp; Hospitality || Tourism &amp; Hospitality || Tourism &amp; Hospitality || Tourism &amp; Hospitality || Tourism &amp; Hospitality || Tourism &amp; Hospitality || Tourism &amp; Hospitality || Tourism &amp; Hospitality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Telecommunications || Telecommunications || Telecommunications || Telecommunications || Telecommunications || Telecommunications || Telecommunications || Telecommunications || Telecommunications || Tourism &amp; Hospitality || Tourism &amp; Hospitality || Tourism &amp; Hospitality || Tourism &amp; Hospitality || Tourism &amp; Hospitality || Tourism &amp; Hospitality || Tourism &amp; Hospitality || Tourism &amp; Hospitality || Tourism &amp; Hospitality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Telecommunications || Telecommunications || Telecommunications || Telecommunications || Telecommunications || Telecommunications || Telecommunications || Telecommunications || Telecommunications || Tourism &amp; Hospitality || Tourism &amp; Hospitality || Tourism &amp; Hospitality || Tourism &amp; Hospitality || Tourism &amp; Hospitality || Tourism &amp; Hospitality || Tourism &amp; Hospitality || Tourism &amp; Hospitality || Tourism &amp; Hospitality || Telecommunications</t>
  </si>
  <si>
    <t>Sandeep Saxena</t>
  </si>
  <si>
    <t>Founder</t>
  </si>
  <si>
    <t>Pune Angels</t>
  </si>
  <si>
    <t>Summary&lt;/strong&gt;&lt;/p&gt;&lt;p&gt;Mr. Sandeep Saxena is a seasoned professional with 26 years of experience across healthcare, media, travel, and technology sectors. He founded and led Acton Biotech and Hapy India, demonstrating his entrepreneurial spirit and leadership. With experience at prominent organizations like Persistent, Cyber Media, Tata Press, Kotak Mahindra, and Capital Images, he has been a key player in Pune's startup ecosystem for over 15 years. Sandeep is passionate about medtech, digital health, and wellness, and enjoys trekking, tennis, and cycling in his leisure time.&lt;/p&gt;&lt;p&gt;&lt;br&gt;&lt;/p&gt;Core Expertise&lt;/strong&gt;&lt;/p&gt;&lt;ul&gt;&lt;li&gt;Healthcare and Medtech&lt;/li&gt;&lt;li&gt;Digital Health&lt;/li&gt;&lt;li&gt;Entrepreneurship and Leadership&lt;/li&gt;&lt;li&gt;Media and Technology&lt;/li&gt;&lt;li&gt;Startup Ecosystem Development&lt;/li&gt;&lt;/ul&gt;&lt;p&gt;&lt;br&gt;&lt;/p&gt;Problem Solving Approach&lt;/strong&gt;&lt;/p&gt;&lt;ul&gt;&lt;li&gt;Focuses on leveraging extensive industry experience to drive innovation and growth in startups.&lt;/li&gt;&lt;li&gt;Applies leadership skills to navigate complex challenges in diverse domains.&lt;/li&gt;&lt;/ul&gt;&lt;p&gt;&lt;br&gt;&lt;/p&gt;Impactful Projects&lt;/strong&gt;&lt;/p&gt;&lt;ul&gt;&lt;li&gt;Founded and led Acton Biotech and Hapy India, contributing to advancements in their respective fields.&lt;/li&gt;&lt;/ul&gt;&lt;p&gt;&lt;br&gt;&lt;/p&gt;Consulting Style&lt;/strong&gt;&lt;/p&gt;&lt;ul&gt;&lt;li&gt;Emphasizes entrepreneurial insights and leadership based on broad industry experience.&lt;/li&gt;&lt;li&gt;Engages actively with startups and the broader ecosystem to drive innovation and growth.&lt;/li&gt;&lt;/ul&gt;</t>
  </si>
  <si>
    <t>https://www.linkedin.com/in/sandeepsaxena/</t>
  </si>
  <si>
    <t>saxena.sandeep@gmail.com</t>
  </si>
  <si>
    <t>Growth Strategy Formulation</t>
  </si>
  <si>
    <t>Business Model Development || Market research || Media and PR || Business Model Development || Market research || Media and PR || Sales &amp; Business Development || Growth Strategy Formulation</t>
  </si>
  <si>
    <t>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t>
  </si>
  <si>
    <t>Dheeresh Manrai</t>
  </si>
  <si>
    <t>Associate Director Healthcare-South Asia Cluster</t>
  </si>
  <si>
    <t>Linde</t>
  </si>
  <si>
    <t>Summary:&lt;/strong&gt;&amp;nbsp;Dheeresh brings over twenty-three years of expertise in Sales, Marketing, Business Development, and Customer Service within the Healthcare (Medical Devices) Industry. His career spans across managing large-scale operations, strategizing for business growth, and launching innovative therapy Product Managements across the Asia Pacific region.&amp;nbsp;&lt;/p&gt;&lt;p&gt;&lt;br&gt;&lt;/p&gt;Core Expertise:&lt;/strong&gt;&amp;nbsp;Healthcare (Medical Devices), Sales &amp;amp; Marketing, Business Development, Clinical and Technical Training&amp;nbsp;&lt;/p&gt;&lt;p&gt;&lt;br&gt;&lt;/p&gt;Problem-Solving Approach: &lt;/strong&gt;Dheeresh leverages his deep knowledge of clinical and technical aspects to solve complex challenges in the Healthcare Industry. He focuses on integrating innovative therapy solutions and enhancing customer satisfaction through value-added services.&amp;nbsp;&lt;/p&gt;&lt;p&gt;&lt;br&gt;&lt;/p&gt;Impactful Projects:&lt;/strong&gt;&amp;nbsp;Led the successful launch of new Product Managements in Cardiology, Ophthalmology, and Cardiac Diagnostics, expanding market presence and driving revenue growth. Implemented comprehensive clinical and technical training programs for sales teams and distributors, improving Product Management adoption and customer engagement&lt;/p&gt;&lt;p&gt;&lt;br&gt;&lt;/p&gt;Consultation Style:&lt;/strong&gt;&amp;nbsp;Dheeresh adopts a collaborative approach in consultations, emphasizing practical solutions tailored to meet specific market demands and customer needs. He integrates his extensive industry experience to guide teams and stakeholders towards achieving strategic business objectives.&lt;/p&gt;</t>
  </si>
  <si>
    <t>https://www.linkedin.com/in/dheeresh-manrai-315b2216/</t>
  </si>
  <si>
    <t>dheeresh@alliancehealthcare.net.in</t>
  </si>
  <si>
    <t>Sales/GTM: Offline Sales Distribution</t>
  </si>
  <si>
    <t>Marketing: Events &amp; offline marketing</t>
  </si>
  <si>
    <t>Medical Devices</t>
  </si>
  <si>
    <t>Accelerate</t>
  </si>
  <si>
    <t>Paid</t>
  </si>
  <si>
    <t>Go to Market Strategy || Sales Strategy || Go to Market Strategy || Sales Strategy || Sales &amp; Business Development</t>
  </si>
  <si>
    <t>Pharmaceuticals, Healthcare and Wellness || Pharmaceuticals, Healthcare and Wellness || Pharmaceuticals, Healthcare and Wellness || Pharmaceuticals, Healthcare and Wellness || Pharmaceuticals, Healthcare and Wellness</t>
  </si>
  <si>
    <t>Amit Verma</t>
  </si>
  <si>
    <t>Deputy Director and Regional Head North India</t>
  </si>
  <si>
    <t>Nasscom</t>
  </si>
  <si>
    <t>Summary:&lt;/strong&gt;&lt;/p&gt;&lt;p&gt;Mr. Amit is a dynamic professional with 17 years of experience, specializing in ecosystem development, strategic alliances, and customer success. Passionate about mentoring and coaching youth startups, he has a proven track record in business development, operational control, and resource optimization across IT, EdTech, and STEM industries. A skilled public speaker, Mr. Amit is actively involved in promoting the DIY movement, intrapreneurship, and entrepreneurship. He excels in fostering partnerships and advocating for youth and girls in startups.&lt;/p&gt;&lt;p&gt;&lt;br&gt;&lt;/p&gt;Key Areas of Expertise:&lt;/strong&gt;&lt;/p&gt;&lt;ul&gt;&lt;li&gt;Ecosystem Development&lt;/li&gt;&lt;li&gt;Strategic Alliances &amp;amp; Partnerships&lt;/li&gt;&lt;li&gt;Business Development&lt;/li&gt;&lt;li&gt;EdTech &amp;amp; STEM Education&lt;/li&gt;&lt;li&gt;Public Speaking &amp;amp; Media Engagement&lt;/li&gt;&lt;/ul&gt;&lt;p&gt;&lt;br&gt;&lt;/p&gt;Strategic Contributions:&lt;/strong&gt;&lt;/p&gt;&lt;ul&gt;&lt;li&gt;Developed go-to-market strategies for IT and EdTech sectors&lt;/li&gt;&lt;li&gt;Organized India's first Solar Eclipse Cruise and Charter Flight&lt;/li&gt;&lt;li&gt;Fostered key partnerships and outreach for startup ecosystems&lt;/li&gt;&lt;/ul&gt;&lt;p&gt;&lt;br&gt;&lt;/p&gt;Mentorship Philosophy:&lt;/strong&gt;&lt;/p&gt;&lt;p&gt;Mr. Amit believes in nurturing talent, empowering youth startups, and encouraging out-of-the-box thinking. He advocates for intrapreneurship and entrepreneurship, particularly among young girls and educators.&lt;/p&gt;</t>
  </si>
  <si>
    <t>https://www.linkedin.com/in/amitverma21/</t>
  </si>
  <si>
    <t>amit.ivory@gmail.com</t>
  </si>
  <si>
    <t>Customer Relationship Management || Customer Service &amp; Retention || Go to Market Strategy || Market access || Organizational Development || Performance Management || Pitch coaching || Public speaking || Sales Strategy || Customer Relationship Management || Customer Service &amp; Retention || Go to Market Strategy || Market access || Organizational Development || Performance Management || Pitch coaching || Public speaking || Sales Strategy || Customer Relationship Management || Customer Service &amp; Retention || Go to Market Strategy || Market access || Organizational Development || Performance Management || Pitch coaching || Public speaking || Sales Strategy || Sales &amp; Business Development || Training &amp; Development</t>
  </si>
  <si>
    <t>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Services || Services || Services || Services || Services || Services || Services || Services || Services || Software &amp; IT Services</t>
  </si>
  <si>
    <t>Amitabh Sinha</t>
  </si>
  <si>
    <t>Head of Growth</t>
  </si>
  <si>
    <t>IET India</t>
  </si>
  <si>
    <t>Summary&lt;/strong&gt;&lt;/p&gt;&lt;p&gt;Amitabh is a seasoned serial entrepreneur, start-up evangelist, and ecosystem builder with over 28 years of experience across multiple sectors. As the co-Founder and Chief Strategy Officer at Meetings and Offices, and Founder of Dcyphr, he has mentored and evaluated the fundability of young companies for more than a decade. His expertise spans business strategy, growth, and leadership. Mr. Amitabh has co-founded eight startups across various industries and actively consults on scaling, leadership, and business development. He is available for mentoring and advisory roles, particularly in B2B, Healthtech, EV, Communities, and D2C segments.&lt;/p&gt;&lt;p&gt;&lt;br&gt;&lt;/p&gt;Key Areas of Expertise&lt;/strong&gt;&lt;/p&gt;&lt;ul&gt;&lt;li&gt;Business Logic&lt;/li&gt;&lt;li&gt;Business Strategy&lt;/li&gt;&lt;li&gt;Go-to-Market (GTM)&lt;/li&gt;&lt;li&gt;Scaling&lt;/li&gt;&lt;li&gt;Frugal Growth&lt;/li&gt;&lt;li&gt;Fundability Creation&lt;/li&gt;&lt;li&gt;Low/No-Cost Marketing&lt;/li&gt;&lt;li&gt;Stakeholder Engagement &amp;amp; Management&lt;/li&gt;&lt;li&gt;Community Building &amp;amp; Leadership&lt;/li&gt;&lt;/ul&gt;&lt;p&gt;&lt;br&gt;&lt;/p&gt;Strategic Contributions&lt;/strong&gt;&lt;/p&gt;&lt;ul&gt;&lt;li&gt;Co-founded nine startups across diverse sectors since 1998&lt;/li&gt;&lt;li&gt;Evaluated fundability of young companies for various entities&lt;/li&gt;&lt;li&gt;Actively consults on scaling, growth hacking, and business strategy&lt;/li&gt;&lt;li&gt;Evangelized small business growth through honorary roles at SME Chamber of India, Start-Ups Council of India, and Packaging Industry Association of India&lt;/li&gt;&lt;/ul&gt;&lt;p&gt;&lt;br&gt;&lt;/p&gt;Mentorship Philosophy&lt;/strong&gt;&lt;/p&gt;&lt;ul&gt;&lt;li&gt;Focuses on professionalization, business building, frugal growth, and lateral thinking&lt;/li&gt;&lt;li&gt;Advocates leadership development and organizational culture building&lt;/li&gt;&lt;/ul&gt;</t>
  </si>
  <si>
    <t>https://www.linkedin.com/in/amitabhsinhasmefunding</t>
  </si>
  <si>
    <t>amitabhsinha@theiet.in</t>
  </si>
  <si>
    <t>Marketing: Branding</t>
  </si>
  <si>
    <t>Venture Funding</t>
  </si>
  <si>
    <t>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Angel Investing || Branding || Business Model Development || Go to Market Strategy || Growth Strategy Formulation || Organizational Development || Pitch coaching || Pricing Strategy || Public speaking || Sales Strategy || Strategic Planning || Marketing &amp; Branding || Sales &amp; Business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</si>
  <si>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Venture Funding</t>
  </si>
  <si>
    <t>Anant Sood</t>
  </si>
  <si>
    <t>CoFounder running Sales, Partnerships</t>
  </si>
  <si>
    <t xml:space="preserve">worxogo </t>
  </si>
  <si>
    <t>Summary&lt;/strong&gt;: Anant Sood is a seasoned professional with over twenty years of experience in sales and operations consulting. He specializes in 0 to 1 journeys and setting up, building, and scaling teams in large global companies and startups. He is dedicated to giving back by mentoring early-stage startups as part of the Nasscom Deeptech club and other initiatives.&amp;nbsp;&lt;/p&gt;&lt;p&gt;&lt;br&gt;&lt;/p&gt;Core Expertise&lt;/strong&gt;: Sales, Operations Consulting, Team Building, Scaling Operations&amp;nbsp;&lt;/p&gt;&lt;p&gt;&lt;br&gt;&lt;/p&gt;Problem-Solving Approach&lt;/strong&gt;: Utilizes extensive experience and a hands-on approach to mentor startups, helping them navigate the challenges of early-stage growth and scaling.&amp;nbsp;&lt;/p&gt;&lt;p&gt;&lt;br&gt;&lt;/p&gt;Impactful Projects&lt;/strong&gt;: Anant has worked in India, the Middle East, Southeast Asia, and North America across sectors such as automotive, manufacturing, education, and retail. He began his career as a management consultant at PwC and progressed to running a consulting practice within a decade. At PwC, Opera Solutions, and Ernst &amp;amp; Young, he built and led high-performing teams in fast-paced environments. Anant was also part of the founding team at Worxogo, the world's first employee nudge coach, which has been deployed across tens of thousands of employees in six countries.&lt;/p&gt;</t>
  </si>
  <si>
    <t>https://www.linkedin.com/in/anantsood/</t>
  </si>
  <si>
    <t>Bengaluru</t>
  </si>
  <si>
    <t>anantsood@gmail.com</t>
  </si>
  <si>
    <t>DeepTech &amp; Frontier Tech</t>
  </si>
  <si>
    <t>Go to Market Strategy || Go to Market Strategy || Go to Market Strategy || Go to Market Strategy || Sales &amp; Business Development</t>
  </si>
  <si>
    <t>AI, Big Data &amp; Analytics || AI, Big Data &amp; Analytics || Services || Services || AI, Big Data &amp; Analytics || AI, Big Data &amp; Analytics || Services || Services || Deeptech</t>
  </si>
  <si>
    <t>Anirudh Chakrabarty</t>
  </si>
  <si>
    <t>Sales Expert</t>
  </si>
  <si>
    <t>Professional Summary:
Anirudh Chakrabarty is a Sales Expert, Trainer, and Management Professor with extensive experience in FMCG, Direct Sales, B2B, and MSME sectors.
​
Current Positions:
Sales Expert and Trainer at MSMEx (February 2022 - Present) - specializing in FMCG, Direct Sales, B2B, and MSME transformation
Associated Sales Coach at QuaTrain Solutions Private Limited (August 2021 - Present) - Master Sales trainer to leading FMCG brands
Master Trainer for Indian Oil Corporation (Lubricants) for Bihar/Jharkhand (July 2018 - Present)
​
Key Skills &amp; Areas of Expertise:
Sales Process &amp; Capability Development
Retail Tracking &amp; Development
Sales Training and Frontline Sales Training
Distribution Strategy
Cross-selling and Up-selling
FMCG Brand Training
Management and Consulting</t>
  </si>
  <si>
    <t>https://www.linkedin.com/in/anirudh-chakrabarty-962175a/?original_referer=https%3A%2F%2Fwww%2Egoogle%2Ecom%2F&amp;originalSubdomain=in</t>
  </si>
  <si>
    <t>achakrabarty@rediffmail.com</t>
  </si>
  <si>
    <t>Expert Assesment : 4500/hr
Mentoring Session: Probono</t>
  </si>
  <si>
    <t>Business Model Development || Growth Strategy Formulation || Strategic Planning || Business Model Development || Growth Strategy Formulation || Strategic Planning || Business Model Development || Growth Strategy Formulation || Strategic Planning || Sales &amp; Business Development || Training &amp; Development</t>
  </si>
  <si>
    <t>Consumer Products || Consumer Products || Consumer Products || Retail &amp; e-Commerce || Retail &amp; e-Commerce || Retail &amp; e-Commerce || Telecommunications || Telecommunications || Telecommunications || Consumer Products​</t>
  </si>
  <si>
    <t>Prasant Mohanty</t>
  </si>
  <si>
    <t>Chief Business Officer</t>
  </si>
  <si>
    <t>2050 Healthcare</t>
  </si>
  <si>
    <t>Summary:&lt;/strong&gt;&lt;/p&gt;&lt;p&gt;Prasant is a seasoned, customer-focused healthcare professional with over 30 years of experience in the pharmaceutical industry. He has a proven track record in sales, marketing, and business development, excelling at generating impressive sales results and formulating growth strategies that enhance profitability and revenue. Known for his adaptability and ability to thrive in fast-paced environments, Prasant has held key roles in major pharmaceutical companies such as Cipla, Novartis, and Dr. Reddy's. He is currently serving as the Chief Business Officer at 2050 Healthcare, leading efforts in out-of-hospital care services.&lt;/p&gt;&lt;p&gt;&lt;br&gt;&lt;/p&gt;Core Expertise:&lt;/strong&gt;&lt;/p&gt;&lt;p&gt;Prasant specializes in therapeutic areas like Hepatitis/Virology, Gastroenterology, and Pain Management, with vast expertise in Product Management launches, business operations, and digital space management. His core skills include sales and marketing, business development, people management, KOL engagement, partnership management, and cross-functional leadership. He is also highly experienced in developing marketing strategies, launching Product Managements, and performance evaluation.&lt;/p&gt;&lt;p&gt;&lt;br&gt;&lt;/p&gt;Key Areas of Expertise:&lt;/strong&gt;&lt;/p&gt;&lt;ul&gt;&lt;li&gt;Sales and Marketing&lt;/li&gt;&lt;li&gt;Business Development&lt;/li&gt;&lt;li&gt;People Management&lt;/li&gt;&lt;li&gt;Product Management Launch and Marketing Strategy&lt;/li&gt;&lt;li&gt;Cross-Functional Team Leadership&lt;/li&gt;&lt;/ul&gt;&lt;p&gt;&lt;br&gt;&lt;/p&gt;Problem-Solving Approach:&lt;/strong&gt;&lt;/p&gt;&lt;p&gt;Prasant's approach combines strong analytical abilities and exceptional people management skills. He is adept at creating and executing robust marketing strategies while fostering meaningful customer relationships. His knack for understanding customer needs and motivating teams has led to sustainable success and growth across diverse business functions.&lt;/p&gt;&lt;p&gt;&lt;br&gt;&lt;/p&gt;Impactful Projects:&lt;/strong&gt;&lt;/p&gt;&lt;p&gt;Prasant's career began with Fulford (India) Ltd, where he quickly advanced to leadership roles, ultimately becoming Vice President at Cipla. Over the years, he has contributed significantly to the growth of companies like Novartis and Dr. Reddy's. At 2050 Healthcare, he focuses on driving innovation in out-of-hospital care services. His experience with both established and newly launched Product Managements, combined with his ability to navigate complex market dynamics, has made him an influential leader in the pharmaceutical sector.&lt;/p&gt;&lt;p&gt;&lt;br&gt;&lt;/p&gt;Consultation Style:&lt;/strong&gt;&lt;/p&gt;&lt;p&gt;Prasant is a collaborative leader who excels in mentoring and developing teams. His motivational leadership style, paired with a data-driven, results-oriented approach, ensures that his guidance is both strategic and actionable. He focuses on building strong cross-functional teams and crafting solutions that align with business goals, leading to measurable success.&lt;/p&gt;&lt;p&gt;&lt;br&gt;&lt;/p&gt;&lt;p&gt;&lt;br&gt;&lt;/p&gt;</t>
  </si>
  <si>
    <t>https://www.linkedin.com/in/prasantmohanty1972/</t>
  </si>
  <si>
    <t>prashantmohanty187@gmwil.com</t>
  </si>
  <si>
    <t>CXO</t>
  </si>
  <si>
    <t>Go to Market Strategy || Marketing || Product Development || Sales Strategy || Team building || Go to Market Strategy || Marketing || Product Development || Sales Strategy || Team building || Go to Market Strategy || Marketing || Product Development || Sales Strategy || Team building || Sales &amp; Business Development || Marketing &amp; Branding</t>
  </si>
  <si>
    <t>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t>
  </si>
  <si>
    <t>Archana Kulkarni</t>
  </si>
  <si>
    <t>Business Consultant</t>
  </si>
  <si>
    <t>Summary:&lt;/strong&gt;&lt;/p&gt;&lt;p&gt;Ms. Archana is an experienced software professional specializing in Strategic Alliance management, Solutions Go-to-Market (GTM), Business Development, Client Engagement, and Program and Project Management. Currently focusing on Business Development and Account Management for Oracle for Startups in the JAPAC region, she leverages her creativity and analytical skills to foster long-term relationships and convey critical business messages effectively.&lt;/p&gt;&lt;p&gt;&lt;br&gt;&lt;/p&gt;Key Areas of Expertise:&lt;/strong&gt;&lt;/p&gt;&lt;ul&gt;&lt;li&gt;Strategic Alliance Management&lt;/li&gt;&lt;li&gt;Solutions GTM&lt;/li&gt;&lt;li&gt;Business Development&lt;/li&gt;&lt;li&gt;Client Engagement&lt;/li&gt;&lt;li&gt;Program and Project Management&lt;/li&gt;&lt;li&gt;Requirement Analysis&lt;/li&gt;&lt;li&gt;Solution Design and Implementation&lt;/li&gt;&lt;/ul&gt;&lt;p&gt;&lt;br&gt;&lt;/p&gt;Strategic Contributions:&lt;/strong&gt;&lt;/p&gt;&lt;ul&gt;&lt;li&gt;Managed business development and account management for Oracle for Startups in the JAPAC region.&lt;/li&gt;&lt;li&gt;Emphasized long-term outcomes in business cycles to build healthy customer and partner relationships.&lt;/li&gt;&lt;li&gt;Combined creativity and analytical skills to deliver strategic solutions and effective communication.&lt;/li&gt;&lt;/ul&gt;</t>
  </si>
  <si>
    <t>https://www.linkedin.com/in/archana-kulkarni-0b974b7/</t>
  </si>
  <si>
    <t>startupinnologues@gmail.com</t>
  </si>
  <si>
    <t>Customer Service &amp; Retention || Go to Market Strategy || Market research || Product Development || Public speaking || Sales Strategy || Customer Service &amp; Retention || Go to Market Strategy || Market research || Product Development || Public speaking || Sales Strategy || Customer Service &amp; Retention || Go to Market Strategy || Market research || Product Development || Public speaking || Sales Strategy || Customer Service &amp; Retention || Go to Market Strategy || Market research || Product Development || Public speaking || Sales Strategy || Customer Service &amp; Retention || Go to Market Strategy || Market research || Product Development || Public speaking || Sales Strategy || Customer Service &amp; Retention || Go to Market Strategy || Market research || Product Development || Public speaking || Sales Strategy || Sales &amp; Business Development</t>
  </si>
  <si>
    <t>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CleanTech || CleanTech || CleanTech || CleanTech || CleanTech || CleanTech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Services || Services || Services || Services || Services || Services || Software &amp; IT Services</t>
  </si>
  <si>
    <t>Ashish R Bedekar</t>
  </si>
  <si>
    <t>Bodhi Tree Ecosystem/Business development services</t>
  </si>
  <si>
    <t>Summary:&lt;/strong&gt;&lt;/p&gt;&lt;p&gt;Mr. Ashish R. Bedekar is a dynamic leader with extensive experience in business development, partner relationships, and technology ecosystems, particularly in the Internet, IoT, and mobile sectors. As the COO of picoNETS and the Founder of Bodhi Tree Ecosystem, he excels in leveraging market knowledge to drive growth in emerging economies. He is also a startup mentor at various organizations and a recognized voice in the business development community. Mr. Ashish specializes in Go-to-Market strategies, developer relations, and strategic partnerships across global and APAC markets.&lt;/p&gt;&lt;p&gt;&lt;br&gt;&lt;/p&gt;Key Areas of Expertise:&lt;/strong&gt;&lt;/p&gt;&lt;ul&gt;&lt;li&gt;&lt;strong&gt;Business Development&lt;/strong&gt;: Expertise in B2B and B2C markets, with a focus on mobile, IoT, and connectivity solutions.&lt;/li&gt;&lt;li&gt;&lt;strong&gt;Go-to-Market (GTM) Strategies&lt;/strong&gt;: Proven ability to conceptualize and execute market strategies that drive rapid growth.&lt;/li&gt;&lt;li&gt;&lt;strong&gt;Startup Ecosystems&lt;/strong&gt;: Experience in mentoring startups and developing robust ecosystems and programs.&lt;/li&gt;&lt;li&gt;&lt;strong&gt;Technology Expertise&lt;/strong&gt;: Broad knowledge of mobile internet, location-based services, and IT supply chain distribution.&lt;/li&gt;&lt;li&gt;&lt;strong&gt;Partnerships and Alliances&lt;/strong&gt;: Skilled in identifying and nurturing strategic alliances for market penetration.&lt;/li&gt;&lt;/ul&gt;&lt;p&gt;&lt;br&gt;&lt;/p&gt;Strategic Contributions:&lt;/strong&gt;&lt;/p&gt;&lt;ul&gt;&lt;li&gt;&lt;strong&gt;Leadership at picoNETS&lt;/strong&gt;: Leading operations and business development at picoNETS, driving growth in CDN and connectivity solutions.&lt;/li&gt;&lt;li&gt;&lt;strong&gt;Founder of Bodhi Tree Ecosystem&lt;/strong&gt;: Established a platform for business development services and startup mentorship.&lt;/li&gt;&lt;li&gt;&lt;strong&gt;Mentorship&lt;/strong&gt;: Active mentor at organizations like VJTI-TBI, AIC Raise, AIC Pinnacle, and JITO JIIF, supporting the growth of startups.&lt;/li&gt;&lt;/ul&gt;&lt;p&gt;&lt;br&gt;&lt;/p&gt;Mentorship Philosophy:&lt;/strong&gt;&lt;/p&gt;&lt;p&gt;Mr. Ashish believes in fostering growth through strategic partnerships, market insights, and leveraging technology to create competitive advantages. He is committed to mentoring startups by helping them navigate market challenges and achieve sustainable growth.&lt;/p&gt;</t>
  </si>
  <si>
    <t>https://www.linkedin.com/in/ashishrbedekar/</t>
  </si>
  <si>
    <t>ashishrbedekar@gmail.com</t>
  </si>
  <si>
    <t>New Segment Entry</t>
  </si>
  <si>
    <t>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Branding || Business Model Development || Customer Service &amp; Retention || Export || Go to Market Strategy || Growth Strategy Formulation || Market access || Market research || Marketing || Media and PR || Product Development || Prototyping &amp; Testing || Public speaking || Research Partnerships || Sales Strategy || Social Media Marketing || Strategic Planning || Talent Acquisition || Sales &amp; Business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</si>
  <si>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CleanTech || CleanTech || CleanTech || CleanTech || CleanTech || CleanTech || CleanTech || CleanTech || CleanTech || CleanTech || CleanTech || CleanTech || CleanTech || CleanTech || CleanTech || CleanTech || CleanTech || CleanTech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CleanTech || CleanTech || CleanTech || CleanTech || CleanTech || CleanTech || CleanTech || CleanTech || CleanTech || CleanTech || CleanTech || CleanTech || CleanTech || CleanTech || CleanTech || CleanTech || CleanTech || CleanTech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CleanTech || CleanTech || CleanTech || CleanTech || CleanTech || CleanTech || CleanTech || CleanTech || CleanTech || CleanTech || CleanTech || CleanTech || CleanTech || CleanTech || CleanTech || CleanTech || CleanTech || CleanTech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Software &amp; IT Services</t>
  </si>
  <si>
    <t>Ashish Sardesai</t>
  </si>
  <si>
    <t>Co-founder</t>
  </si>
  <si>
    <t>VIOSA Learning</t>
  </si>
  <si>
    <t>Summary:&lt;/strong&gt;&lt;/p&gt;&lt;p&gt;Mr. Ashish brings 27 years of professional experience, with a rich background in profit operations, strategic alliances, and distribution management. He has been instrumental in establishing online business models for insurance Product Managements across various channels, including banks, insurance BPOs, NBFCs, and web aggregators. Additionally, Mr. Ashish has significant experience in building third-party distribution channels in the FMCG and IT education sectors. His extensive expertise makes him a valuable board advisor and startup business mentor.&lt;/p&gt;&lt;p&gt;&lt;br&gt;&lt;/p&gt;Key Areas of Expertise:&lt;/strong&gt;&lt;/p&gt;&lt;ul&gt;&lt;li&gt;Profit Operations&lt;/li&gt;&lt;li&gt;Strategic Alliances&lt;/li&gt;&lt;li&gt;Distribution Management&lt;/li&gt;&lt;li&gt;Online Business Models for Insurance&lt;/li&gt;&lt;li&gt;Third-Party Distribution Channels in FMCG and IT Education Sectors&lt;/li&gt;&lt;/ul&gt;&lt;p&gt;&lt;br&gt;&lt;/p&gt;Strategic Contributions:&lt;/strong&gt;&lt;/p&gt;&lt;ul&gt;&lt;li&gt;Establishing online business models for insurance Product Managements across multiple channels.&lt;/li&gt;&lt;li&gt;Building and managing third-party distribution channels across various industries.&lt;/li&gt;&lt;li&gt;Providing strategic insights and operational guidance as a board advisor.&lt;/li&gt;&lt;/ul&gt;</t>
  </si>
  <si>
    <t>https://www.linkedin.com/in/ashish-sardesai/</t>
  </si>
  <si>
    <t xml:space="preserve">ashish@viosa.in </t>
  </si>
  <si>
    <t>Business Model Development || Fundraising || Go to Market Strategy || Growth Strategy Formulation || Organizational Development || Process Optimization || Sales Strategy || Strategic Planning || Business Model Development || Fundraising || Go to Market Strategy || Growth Strategy Formulation || Organizational Development || Process Optimization || Sales Strategy || Strategic Planning || Sales &amp; Business Development || Supply Chain Management</t>
  </si>
  <si>
    <t>Education &amp; Training || Education &amp; Training || Education &amp; Training || Education &amp; Training || Education &amp; Training || Education &amp; Training || Education &amp; Training || Education &amp; Training || Social &amp; Community Services || Social &amp; Community Services || Social &amp; Community Services || Social &amp; Community Services || Social &amp; Community Services || Social &amp; Community Services || Social &amp; Community Services || Social &amp; Community Services || Education &amp; Training || Fintech, Banking, Financial Services</t>
  </si>
  <si>
    <t>Ayush Agrawal</t>
  </si>
  <si>
    <t>Solutions Architect</t>
  </si>
  <si>
    <t>Amazon Web Services (AWS)</t>
  </si>
  <si>
    <t>Summary: &lt;/strong&gt;&lt;/p&gt;&lt;p&gt;Mr. Ayush is a dynamic serial entrepreneur with a proven track record in building and scaling businesses. He founded LectureNotes, an ed-tech company, growing it to over 60,000 teachers and 1.7 million students before its acquisition within 4 years. With expertise in technology, operations, marketing, and finance, Ayush excels in business development and leadership. Over his 8-year entrepreneurial journey, he has launched and promoted multiple ventures and currently mentors several startups. Passionate about technology and Product Management development, Ayush aims to contribute to scalable tech companies that create substantial value beyond transactions.&lt;/p&gt;&lt;p&gt;&lt;br&gt;&lt;/p&gt;Core Expertise: &lt;/strong&gt;&lt;/p&gt;&lt;ul&gt;&lt;li&gt;Entrepreneurship&lt;/li&gt;&lt;li&gt;Business Development&lt;/li&gt;&lt;li&gt;Technology&lt;/li&gt;&lt;li&gt;Operations&lt;/li&gt;&lt;li&gt;Marketing&lt;/li&gt;&lt;li&gt;Finance&lt;/li&gt;&lt;li&gt;Leadership&lt;/li&gt;&lt;li&gt;Communication&lt;/li&gt;&lt;li&gt;Time Management&lt;/li&gt;&lt;li&gt;Teamwork.&lt;/li&gt;&lt;/ul&gt;&lt;p&gt;&lt;br&gt;&lt;/p&gt;Problem Solving Approach: &lt;/strong&gt;&lt;/p&gt;&lt;p&gt;Ayush emphasizes scalability and value creation beyond transactions in technology-driven environments. He likely approaches problems with a focus on innovation and strategic growth.&lt;/p&gt;&lt;p&gt;&lt;br&gt;&lt;/p&gt;Impactful Projects:&lt;/strong&gt;&lt;/p&gt;&lt;ul&gt;&lt;li&gt;Founded LectureNotes and scaled it to onboard over 60 thousand teachers and 1.7 million students, leading to its successful acquisition.&lt;/li&gt;&lt;li&gt;Mentoring multiple startups and fostering entrepreneurship in the ecosystem.&lt;/li&gt;&lt;/ul&gt;&lt;p&gt;&lt;br&gt;&lt;/p&gt;Consulting Style: &lt;/strong&gt;&lt;/p&gt;&lt;p&gt;Ayush engages actively with enthusiastic Founders, leveraging his experience in business development and entrepreneurship. He brings a hands-on approach to mentoring and emphasizes scalable business models and strategic growth.&lt;/p&gt;</t>
  </si>
  <si>
    <t>https://www.linkedin.com/in/agrlayush/</t>
  </si>
  <si>
    <t>agrlayush@gmail.com</t>
  </si>
  <si>
    <t>Entrepreneurship &amp; Venture Advisory</t>
  </si>
  <si>
    <t># of Mentors &amp; Coaches</t>
  </si>
  <si>
    <t>Business Model Development || Data Analytics || Go to Market Strategy || Market research || Product Development || Tech Strategy &amp; Infrastructure || Business Model Development || Data Analytics || Go to Market Strategy || Market research || Product Development || Tech Strategy &amp; Infrastructure || Business Model Development || Data Analytics || Go to Market Strategy || Market research || Product Development || Tech Strategy &amp; Infrastructure || Business Model Development || Data Analytics || Go to Market Strategy || Market research || Product Development || Tech Strategy &amp; Infrastructure || Entrepreneurship Coaching || Sales &amp; Business Development</t>
  </si>
  <si>
    <t>CleanTech || CleanTech || CleanTech || CleanTech || CleanTech || CleanTech || Education &amp; Training || Education &amp; Training || Education &amp; Training || Education &amp; Training || Education &amp; Training || Education &amp; Training || FinTech || FinTech || FinTech || FinTech || FinTech || FinTech || Retail &amp; e-Commerce || Retail &amp; e-Commerce || Retail &amp; e-Commerce || Retail &amp; e-Commerce || Retail &amp; e-Commerce || Retail &amp; e-Commerce || Education &amp; Training</t>
  </si>
  <si>
    <t>Prashant Mandke</t>
  </si>
  <si>
    <t>Sakhi Unique Rural Enterprise</t>
  </si>
  <si>
    <t>Summary&lt;/strong&gt;&lt;/p&gt;&lt;p&gt;Mr. Prashant is a seasoned professional with over 30 years of experience in business strategy, operations, and rural marketing. He has been recognized as one of the Most Influential Rural Marketing and Agriculture Professionals. With a strong passion for empowering rural women through sustainable livelihoods and community development, Mr. Prashant has been actively involved in mentoring startups, especially in the social entrepreneurship space. He brings expertise in building sustainable business models, strategic partnerships, and communication strategies, focusing on low-income households and rural communities.&lt;/p&gt;&lt;p&gt;&lt;br&gt;&lt;/p&gt;Key Areas of Expertise&lt;/strong&gt;&lt;/p&gt;&lt;ul&gt;&lt;li&gt;Business Strategy &amp;amp; Operations&lt;/li&gt;&lt;li&gt;Strategic Partnerships&lt;/li&gt;&lt;li&gt;Communication Strategy&lt;/li&gt;&lt;li&gt;Rural Marketing &amp;amp; Community Development&lt;/li&gt;&lt;li&gt;Livelihood &amp;amp; Women Empowerment&lt;/li&gt;&lt;li&gt;Social Entrepreneurship &amp;amp; Sustainable Solutions&lt;/li&gt;&lt;/ul&gt;&lt;p&gt;&lt;br&gt;&lt;/p&gt;Strategic Contributions&lt;/strong&gt;&lt;/p&gt;&lt;ul&gt;&lt;li&gt;Developed sustainable and scalable business models for startups in the social entrepreneurship sector.&lt;/li&gt;&lt;li&gt;Designed and implemented communication and partnership strategies for NGOs and foundations.&lt;/li&gt;&lt;li&gt;Managed P&amp;amp;L for corporate businesses, started new ventures, and developed partnerships and alternate channels.&lt;/li&gt;&lt;li&gt;Extensive field experience in the Indian rural ecosystem, focusing on pro-poor and inclusive development.&lt;/li&gt;&lt;/ul&gt;&lt;p&gt;&lt;br&gt;&lt;/p&gt;Mentorship Philosophy&lt;/strong&gt;&lt;/p&gt;&lt;p&gt;Mr. Prashant is committed to building sustainable solutions that address the needs of low-income households and rural communities. He leverages his vast experience to mentor startups and social entrepreneurs, helping them create scalable and impactful businesses.&lt;/p&gt;</t>
  </si>
  <si>
    <t>https://www.linkedin.com/in/prashantmandke/</t>
  </si>
  <si>
    <t>pmandke1@gmail.com</t>
  </si>
  <si>
    <t>AgriTech &amp; Food Processing</t>
  </si>
  <si>
    <t>Branding || Business Model Development || Go to Market Strategy || Growth Strategy Formulation || Market access || Market research || Marketing || Sales Strategy || Strategic Planning || Branding || Business Model Development || Go to Market Strategy || Growth Strategy Formulation || Market access || Market research || Marketing || Sales Strategy || Strategic Planning || Branding || Business Model Development || Go to Market Strategy || Growth Strategy Formulation || Market access || Market research || Marketing || Sales Strategy || Strategic Planning || Branding || Business Model Development || Go to Market Strategy || Growth Strategy Formulation || Market access || Market research || Marketing || Sales Strategy || Strategic Planning || Marketing &amp; Branding || Sales &amp; Business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</si>
  <si>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CleanTech || CleanTech || CleanTech || CleanTech || CleanTech || CleanTech || CleanTech || CleanTech || CleanTech || Consumer Products || Consumer Products || Consumer Products || Consumer Products || Consumer Products || Consumer Products || Consumer Products || Consumer Products || Consumer Products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Agritech &amp; Food Processing</t>
  </si>
  <si>
    <t>Bharathi Vijayappa</t>
  </si>
  <si>
    <t>Founder &amp; CEO</t>
  </si>
  <si>
    <t>HireMap IT Consultants</t>
  </si>
  <si>
    <t>Summary:
Ms. Bharathi is a seasoned professional with over a decade of experience in working with startups, specializing in building high-performing global teams in engineering and sales. She believes in hiring individuals who share the company's values, ensuring their commitment and dedication. Her expertise lies in fostering startup success through effective team building and strategic HR practices.
Key Areas of Expertise:
Building High-Performing Teams
Engineering and Sales Management
Startup Development
Aligning Team Values with Company Beliefs
Strategic Contributions:
Created and led global teams in engineering and sales for startups.
Focused on hiring individuals who share the company's vision to enhance team dedication and performance.
Developed strategies for successful startup scaling through effective team management.
Mentorship Philosophy:
Advocates for hiring people who believe in the company’s mission and values, ensuring their deep commitment and contribution.
Believes that the right team alignment is crucial for a startup's success.
Success Stories:
Successfully built and managed high-performing global teams for various startups.
Demonstrated significant impact on startup growth through strategic team building and value-driven hiring practices.</t>
  </si>
  <si>
    <t>https://www.linkedin.com/in/recruiterstory/</t>
  </si>
  <si>
    <t>bharathi.raj@gmail.com
bharathi@hiremapitconsultants.com</t>
  </si>
  <si>
    <t>HR: Hiring</t>
  </si>
  <si>
    <t>Strategy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Organizational Development || Performance Management || Strategic Planning || Talent Acquisition || Training &amp; Development || HR Consulting || Sales &amp; Business Development</t>
  </si>
  <si>
    <t>Healthtech &amp; Wellness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CleanTech || CleanTech || CleanTech || CleanTech || CleanTech || Consumer Products || Consumer Products || Consumer Products || Consumer Products || Consumer Products || Defence &amp; Public Safety || Defence &amp; Public Safety || Defence &amp; Public Safety || Defence &amp; Public Safety || Defence &amp; Public Safety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FinTech || FinTech || FinTech || FinTech || FinTech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Others || Others || Others || Others || Others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Retail &amp; e-Commerce || Retail &amp; e-Commerce || Retail &amp; e-Commerce || Retail &amp; e-Commerce || Retail &amp; e-Commerce || Services || Services || Services || Services || Services || Social &amp; Community Services || Social &amp; Community Services || Social &amp; Community Services || Social &amp; Community Services || Social &amp; Community Services || Sports || Sports || Sports || Sports || Sports || Technology &amp; Innovation || Technology &amp; Innovation || Technology &amp; Innovation || Technology &amp; Innovation || Technology &amp; Innovation || Telecommunications || Telecommunications || Telecommunications || Telecommunications || Telecommunications || Textiles &amp; Apparel || Textiles &amp; Apparel || Textiles &amp; Apparel || Textiles &amp; Apparel || Textiles &amp; Apparel || Tourism &amp; Hospitality || Tourism &amp; Hospitality || Tourism &amp; Hospitality || Tourism &amp; Hospitality || Tourism &amp; Hospitality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CleanTech || CleanTech || CleanTech || CleanTech || CleanTech || Consumer Products || Consumer Products || Consumer Products || Consumer Products || Consumer Products || Defence &amp; Public Safety || Defence &amp; Public Safety || Defence &amp; Public Safety || Defence &amp; Public Safety || Defence &amp; Public Safety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FinTech || FinTech || FinTech || FinTech || FinTech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Others || Others || Others || Others || Others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Retail &amp; e-Commerce || Retail &amp; e-Commerce || Retail &amp; e-Commerce || Retail &amp; e-Commerce || Retail &amp; e-Commerce || Services || Services || Services || Services || Services || Social &amp; Community Services || Social &amp; Community Services || Social &amp; Community Services || Social &amp; Community Services || Social &amp; Community Services || Sports || Sports || Sports || Sports || Sports || Technology &amp; Innovation || Technology &amp; Innovation || Technology &amp; Innovation || Technology &amp; Innovation || Technology &amp; Innovation || Telecommunications || Telecommunications || Telecommunications || Telecommunications || Telecommunications || Textiles &amp; Apparel || Textiles &amp; Apparel || Textiles &amp; Apparel || Textiles &amp; Apparel || Textiles &amp; Apparel || Tourism &amp; Hospitality || Tourism &amp; Hospitality || Tourism &amp; Hospitality || Tourism &amp; Hospitality || Tourism &amp; Hospitality || Transportation &amp; Logistics || Transportation &amp; Logistics || Transportation &amp; Logistics || Transportation &amp; Logistics || Transportation &amp; Logistics || HR Services</t>
  </si>
  <si>
    <t>Chesta Nagalaxmi</t>
  </si>
  <si>
    <t>Shevalues</t>
  </si>
  <si>
    <t>Summary:&lt;/strong&gt;&lt;/p&gt;&lt;p&gt;Chesta is a passionate leader dedicated to advancing gender equality and empowering women. As the Founder of Shevalues, she has created significant opportunities for women by addressing systemic barriers and fostering a supportive community.&lt;/p&gt;&lt;p&gt;&lt;br&gt;&lt;/p&gt;Core Expertise:&lt;/strong&gt;&lt;/p&gt;&lt;p&gt;Chesta has a diverse background with experience in HR consulting, lead generation, team building, diversity and inclusion, and digital marketing. Her academic credentials from IIM Bangalore further enhance her expertise in these areas.&lt;/p&gt;&lt;p&gt;&lt;br&gt;&lt;/p&gt;Problem-Solving Approach:&lt;/strong&gt;&lt;/p&gt;&lt;p&gt;At Shevalues, Chesta leverages her extensive experience to harness the collective power of women in the professional realm. She is committed to breaking down systemic barriers and developing a skilled talent pool to enable women's advancement and equality in the workplace.&lt;/p&gt;&lt;p&gt;&lt;br&gt;&lt;/p&gt;Impactful Projects:&lt;/strong&gt;&lt;/p&gt;&lt;ul&gt;&lt;li&gt;Founded Shevalues to create an inclusive ecosystem that provides resources, support, and networking opportunities for women.&lt;/li&gt;&lt;li&gt;Collaborated with companies to embed diversity and inclusion within their corporate cultures, enhancing their ability to value and leverage gender diversity for mutual growth and societal impact.&lt;/li&gt;&lt;/ul&gt;&lt;p&gt;&lt;br&gt;&lt;/p&gt;Consultation Style:&lt;/strong&gt;&lt;/p&gt;&lt;p&gt;Chesta believes in fostering collaboration and creating tailored solutions that empower women and organizations alike. She actively seeks partnerships that align with her mission to promote gender equality and create lasting societal impact.&lt;/p&gt;</t>
  </si>
  <si>
    <t>https://www.linkedin.com/in/chestalaxmi</t>
  </si>
  <si>
    <t>hr@shevalues.in</t>
  </si>
  <si>
    <t>Digital Marketing || Sales Strategy || Digital Marketing || Sales Strategy || HR Consulting || Sales &amp; Business Development</t>
  </si>
  <si>
    <t>Others || Others || Services || Services || HR Services</t>
  </si>
  <si>
    <t>Chintan Gajjar</t>
  </si>
  <si>
    <t>Client Solutions Manager</t>
  </si>
  <si>
    <t>Rishabh Software</t>
  </si>
  <si>
    <t>Summary:&lt;/strong&gt; Chintan is a seasoned professional with over 16 years of experience in Pre-sales, Business Analysis, Functional and Technical Consulting, and Product Management Ownership. He has a proven track record in RFX/Tender/Bid Management and Proposal Management, consistently supporting sales teams in closing deals across startups, medium-sized businesses, and enterprise-level requirements across multiple industry verticals and technologies.&lt;/p&gt;&lt;p&gt;&lt;br&gt;&lt;/p&gt;Core Expertise:&lt;/strong&gt;&lt;/p&gt;&lt;ul&gt;&lt;li&gt;Pre-sales Support&lt;/li&gt;&lt;li&gt;Business Analysis&lt;/li&gt;&lt;li&gt;Functional and Technical Consulting&lt;/li&gt;&lt;li&gt;Product Management Ownership (IoT and IIoT)&lt;/li&gt;&lt;li&gt;RFX/Tender/Bid Management&lt;/li&gt;&lt;li&gt;Proposal Management&lt;/li&gt;&lt;/ul&gt;&lt;p&gt;&lt;br&gt;&lt;/p&gt;Problem-Solving Approach:&lt;/strong&gt; Chintan specializes in streamlining pre-sales processes and ensuring the alignment of solutions with client requirements. He defines sales qualification processes, develops comprehensive proposals, and conducts BA workshops to deliver right-fit solutions for clients.&lt;/p&gt;&lt;p&gt;&lt;br&gt;&lt;/p&gt;Impactful Projects:&lt;/strong&gt; As a Product Management Owner, Chintan has defined Product Management backlogs and roadmaps for IoT and IIoT Product Managements. He has also established processes and templates for responding to RFPs, RFIs, and deals, ensuring timely and high-quality proposal submissions.&lt;/p&gt;</t>
  </si>
  <si>
    <t>https://www.linkedin.com/in/gajjarchintan/</t>
  </si>
  <si>
    <t>Ahmedabad</t>
  </si>
  <si>
    <t>gajjarchintan@gmail.com</t>
  </si>
  <si>
    <t>Manufacturing &amp; Manufacturing Tech: Industrial Automation &amp; Robotics</t>
  </si>
  <si>
    <t>Digital Marketing || Sales Strategy || Software Development || Digital Marketing || Sales Strategy || Software Development || Digital Marketing || Sales Strategy || Software Development || Digital Marketing || Sales Strategy || Software Development || Sales &amp; Business Development</t>
  </si>
  <si>
    <t>Retail &amp; e-Commerce || Retail &amp; e-Commerce || Retail &amp; e-Commerce || Tourism &amp; Hospitality || Tourism &amp; Hospitality || Tourism &amp; Hospitality || Retail &amp; e-Commerce || Retail &amp; e-Commerce || Retail &amp; e-Commerce || Tourism &amp; Hospitality || Tourism &amp; Hospitality || Tourism &amp; Hospitality || Software &amp; IT Services</t>
  </si>
  <si>
    <t>Chitra Singh</t>
  </si>
  <si>
    <t>Sales Mentor</t>
  </si>
  <si>
    <t>Summary:&lt;/strong&gt; Chitra is a distinguished Sales Mentor and Inspirer with a rich career spanning three decades, during which she has honed her expertise in building and scaling successful sales teams. As a mentor at Nasscom Product ManagementSkills &amp;amp; Tech and WE, she is dedicated to empowering others, particularly women, to excel in sales roles. Her deep-rooted passion for sales and commitment to nurturing talent drives her mission to inspire and elevate sales professionals across various industries.&lt;/p&gt;&lt;p&gt;&lt;br&gt;&lt;/p&gt;Core Expertise:&lt;/strong&gt;&lt;/p&gt;&lt;ul&gt;&lt;li&gt;&lt;strong&gt;Sales Mentoring and Leadership:&lt;/strong&gt; Chitra brings a wealth of knowledge in sales leadership, specializing in mentoring and training sales teams to achieve exceptional results. Her experience encompasses developing sales strategies, providing coaching, and fostering leadership skills.&lt;/li&gt;&lt;li&gt;&lt;strong&gt;Community Nurturing:&lt;/strong&gt; She is adept at creating and sustaining supportive communities that promote growth and collaboration among sales professionals. This includes building networks that facilitate knowledge sharing and mutual support.&lt;/li&gt;&lt;li&gt;&lt;strong&gt;Women’s Empowerment in Sales:&lt;/strong&gt; A significant focus of Chitra’s career is on advancing women in sales. She works actively to increase female representation in sales leadership roles and supports women in achieving their career aspirations through targeted mentoring and coaching.&lt;/li&gt;&lt;/ul&gt;&lt;p&gt;&lt;br&gt;&lt;/p&gt;Problem-Solving Approach:&lt;/strong&gt; Chitra’s approach to problem-solving is deeply experiential and empathetic. She combines her extensive background with practical, hands-on mentorship to offer actionable sales strategies. Her methodology involves:&lt;/p&gt;&lt;ul&gt;&lt;li&gt;&lt;strong&gt;Personalized Coaching:&lt;/strong&gt; Tailoring her guidance to meet the specific needs of each individual, ensuring that mentees can overcome unique challenges and build confidence.&lt;/li&gt;&lt;li&gt;&lt;strong&gt;Confidence Building:&lt;/strong&gt; Helping mentees navigate obstacles and develop resilience, which is crucial for achieving success in sales roles.&lt;/li&gt;&lt;li&gt;&lt;strong&gt;Strategic Guidance:&lt;/strong&gt; Providing strategic advice on sales techniques, leadership, and career development based on her comprehensive industry knowledge.&lt;/li&gt;&lt;/ul&gt;&lt;p&gt;&lt;br&gt;&lt;/p&gt;Impactful Projects:&lt;/strong&gt; Chitra’s professional journey began with Johnson &amp;amp; Johnson, where she learned the essentials of effective selling through rigorous fieldwork. Her career took her to prominent positions in India’s largest banks, where she led sales teams to remarkable achievements. A pivotal moment in her career was the realization of the lack of women in sales leadership roles, which inspired her to launch SalesWomentoring. This initiative aims to empower one million women by providing a structured support system for their sales careers. The community focuses on equipping women with the skills and confidence needed to thrive in sales, making a significant impact on their professional growth and success.&lt;/p&gt;&lt;p&gt;&lt;br&gt;&lt;/p&gt;Consultation Style:&lt;/strong&gt; Chitra’s consultation style is highly personalized and inclusive. She offers tailored mentorship sessions to a wide range of individuals, including homemakers, entrepreneurs, students, and professionals. Her approach is designed to address the diverse needs of her clients and provide them with practical tools to excel in sales. Chitra offers:&lt;/p&gt;&lt;ul&gt;&lt;li&gt;&lt;strong&gt;Free Speed Mentoring Sessions:&lt;/strong&gt; Available on weekdays (except Monday &amp;amp; Thursday) from 10:00 to 10:30 am IST, where she shares actionable tips to enhance sales confidence.&lt;/li&gt;&lt;li&gt;&lt;strong&gt;Corporate Workshops:&lt;/strong&gt; Developing training programs to enhance the effectiveness of sales teams within organizations.&lt;/li&gt;&lt;li&gt;&lt;strong&gt;Speaking Engagements:&lt;/strong&gt; Addressing women’s communities and DEI initiatives, sharing insights on sales and leadership.&lt;/li&gt;&lt;li&gt;&lt;strong&gt;Mentoring Senior Leaders:&lt;/strong&gt; Providing coaching for women in senior sales and revenue roles to support their continued growth and leadership development.&lt;/li&gt;&lt;/ul&gt;</t>
  </si>
  <si>
    <t>https://www.linkedin.com/in/chitra-singh-sampathkumar-sales-mentor/</t>
  </si>
  <si>
    <t>chitra@salesevangelists.in</t>
  </si>
  <si>
    <t>Go to Market Strategy || Sales Strategy || Go to Market Strategy || Sales Strategy || Go to Market Strategy || Sales Strategy || Go to Market Strategy || Sales Strategy || Go to Market Strategy || Sales Strategy || Go to Market Strategy || Sales Strategy || Sales &amp; Business Development</t>
  </si>
  <si>
    <t>FinTech || FinTech || Pharmaceuticals, Healthcare and Wellness || Pharmaceuticals, Healthcare and Wellness || Retail &amp; e-Commerce || Retail &amp; e-Commerce || FinTech || FinTech || Pharmaceuticals, Healthcare and Wellness || Pharmaceuticals, Healthcare and Wellness || Retail &amp; e-Commerce || Retail &amp; e-Commerce || HR Services</t>
  </si>
  <si>
    <t>Sandeep Gupta</t>
  </si>
  <si>
    <t>Business Unit Head</t>
  </si>
  <si>
    <t>TANITA INDIA PRIVATE LIMITED</t>
  </si>
  <si>
    <t>Summary:
With over 25 years of experience in sales, marketing, business development, and strategic planning, Sandeep is a seasoned business leader renowned for transforming challenges into opportunities. Currently heading the business unit at Hero Eco Med Private Limited, a premier manufacturer of medical furniture and equipment in India, he excels in driving innovation, fostering growth, and enabling change through social and emotional intelligence.
Core Expertise:
Entrepreneurship: Excels in opportunity sensing, navigating ambiguity, and fostering innovation.
Strategic Thinking: Adept at envisioning the future, employing creativity, and applying systems thinking.
Business Acumen: Expertise in customer focus, risk management, and value optimization.
Leadership: Promotes inclusivity, team building, and agility, with a strong focus on accountability and results.
Marketing Management: Proficient in market analysis, sales escalation strategies, and channel management.
Coaching &amp; Mentoring: Passionate about nurturing talent and guiding aspiring professionals, especially in the healthcare sector.
Impactful Projects:
As the business head at Hero Eco Med, Sandeep manages profit center operations, including marketing, competition analysis, financial planning, and people management. His leadership style emphasizes emotional intelligence, ownership, and strategic foresight, ensuring impactful outcomes for customers, stakeholders, and employees alike.
Consultation Style:
Sandeep combines a customer-focused and analytical approach with an emphasis on inclusiveness, agility, and results-driven execution. He excels in identifying core challenges and delivering solutions with a broad management perspective.</t>
  </si>
  <si>
    <t>https://www.linkedin.com/in/sandeep-gupta-81078</t>
  </si>
  <si>
    <t>Delhi</t>
  </si>
  <si>
    <t>sandeep78gupta@gmail.com</t>
  </si>
  <si>
    <t>Sales Strategy || Sales &amp; Business Development || Marketing &amp; Branding</t>
  </si>
  <si>
    <t>Pharmaceuticals, Healthcare and Wellness || Pharmaceuticals, Healthcare and Wellness</t>
  </si>
  <si>
    <t>Deepak Kumar</t>
  </si>
  <si>
    <t>Flowing River</t>
  </si>
  <si>
    <t>Summary:&lt;/strong&gt;&lt;/p&gt;&lt;p&gt;Mr. Deepak Kumar is a seasoned Business Coach specializing in enhancing revenues and sales for entrepreneurs, business leaders, and sales employees by building their capabilities. With certifications in Design Thinking, NLP, Six Sigma, and as an ACC, he believes in the inherent potential of individuals and aims to guide them towards achieving their dreams. His approach involves assessing current and desired states, providing tailored interventions to facilitate unique success journeys.&lt;/p&gt;&lt;p&gt;&lt;br&gt;&lt;/p&gt;Key Areas of Expertise:&lt;/strong&gt;&lt;/p&gt;&lt;ul&gt;&lt;li&gt;Business Coaching&lt;/li&gt;&lt;li&gt;Design Thinking&lt;/li&gt;&lt;li&gt;NLP (Neuro-Linguistic Programming) Training&lt;/li&gt;&lt;li&gt;Six Sigma (Black Belt)&lt;/li&gt;&lt;li&gt;Executive Coaching&lt;/li&gt;&lt;li&gt;Management and Marketing Consulting&lt;/li&gt;&lt;li&gt;UX Research and Interaction Design&lt;/li&gt;&lt;/ul&gt;&lt;p&gt;&lt;br&gt;&lt;/p&gt;Strategic Contributions:&lt;/strong&gt;&lt;/p&gt;&lt;ul&gt;&lt;li&gt;Assessed business environments and development needs to provide tailored advice for improving revenues and sales.&lt;/li&gt;&lt;li&gt;Applied Design Thinking, NLP, and Six Sigma methodologies to enhance organizational capabilities and individual performance.&lt;/li&gt;&lt;li&gt;Developed unique, individualized plans to guide clients from their current state to their desired outcomes, ensuring a personalized approach to success.&lt;/li&gt;&lt;/ul&gt;&lt;p&gt;&lt;br&gt;&lt;/p&gt;Mentorship Philosophy:&lt;/strong&gt;&lt;/p&gt;&lt;p&gt;Mr. Deepak believes that every individual is capable and resourceful, needing only a nudge to reach their full potential. He is dedicated to touching lives and supporting clients in their journey towards success, focusing on creating customized strategies to achieve personal and professional goals.&lt;/p&gt;&lt;p&gt;&lt;br&gt;&lt;/p&gt;Success Stories:&lt;/strong&gt;&lt;/p&gt;&lt;p&gt;Successfully enhanced business capabilities and revenue growth for various entrepreneurs and business leaders through tailored coaching and strategic interventions.&lt;/p&gt;&lt;p&gt;Enabled clients to achieve significant improvements in both business performance and personal fulfillment by guiding them through unique, personalized development journeys.&lt;/p&gt;&lt;p&gt;&lt;br&gt;&lt;/p&gt;Top Skills:&lt;/strong&gt;&lt;/p&gt;&lt;ul&gt;&lt;li&gt;Interaction Design&lt;/li&gt;&lt;li&gt;Presentation Design&lt;/li&gt;&lt;li&gt;UX Research and User Experience Design (UED)&lt;/li&gt;&lt;li&gt;Corporate Training&lt;/li&gt;&lt;li&gt;Executive Coaching&lt;/li&gt;&lt;li&gt;Management Consulting&lt;/li&gt;&lt;li&gt;Marketing Consulting&lt;/li&gt;&lt;/ul&gt;</t>
  </si>
  <si>
    <t>https://www.linkedin.com/in/deepakkumar1267/</t>
  </si>
  <si>
    <t>deepak@flowingriver.in</t>
  </si>
  <si>
    <t>Education and Training</t>
  </si>
  <si>
    <t>Business Model Development || Customer Service &amp; Retention || ESG Strategy || Go to Market Strategy || Prototyping &amp; Testing || Strategic Planning || UI/UX Design || Business Model Development || Customer Service &amp; Retention || ESG Strategy || Go to Market Strategy || Prototyping &amp; Testing || Strategic Planning || UI/UX Design || Business Model Development || Customer Service &amp; Retention || ESG Strategy || Go to Market Strategy || Prototyping &amp; Testing || Strategic Planning || UI/UX Design || Business Model Development || Customer Service &amp; Retention || ESG Strategy || Go to Market Strategy || Prototyping &amp; Testing || Strategic Planning || UI/UX Design || Business Model Development || Customer Service &amp; Retention || ESG Strategy || Go to Market Strategy || Prototyping &amp; Testing || Strategic Planning || UI/UX Design || Business Model Development || Customer Service &amp; Retention || ESG Strategy || Go to Market Strategy || Prototyping &amp; Testing || Strategic Planning || UI/UX Design || Business Model Development || Customer Service &amp; Retention || ESG Strategy || Go to Market Strategy || Prototyping &amp; Testing || Strategic Planning || UI/UX Design || Business Model Development || Customer Service &amp; Retention || ESG Strategy || Go to Market Strategy || Prototyping &amp; Testing || Strategic Planning || UI/UX Design || Business Model Development || Customer Service &amp; Retention || ESG Strategy || Go to Market Strategy || Prototyping &amp; Testing || Strategic Planning || UI/UX Design || Business Model Development || Customer Service &amp; Retention || ESG Strategy || Go to Market Strategy || Prototyping &amp; Testing || Strategic Planning || UI/UX Design || Business Model Development || Customer Service &amp; Retention || ESG Strategy || Go to Market Strategy || Prototyping &amp; Testing || Strategic Planning || UI/UX Design || Business Model Development || Customer Service &amp; Retention || ESG Strategy || Go to Market Strategy || Prototyping &amp; Testing || Strategic Planning || UI/UX Design || Sales &amp; Business Development || Business Model Development</t>
  </si>
  <si>
    <t>FinTech || FinTech || FinTech || FinTech || FinTech || FinTech || FinTech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FinTech || FinTech || FinTech || FinTech || FinTech || FinTech || FinTech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Education &amp; Training</t>
  </si>
  <si>
    <t>Deepak Srinivasan</t>
  </si>
  <si>
    <t>Startup Banking</t>
  </si>
  <si>
    <t>Standard Chartered Bank</t>
  </si>
  <si>
    <t>Summary&lt;/strong&gt;&lt;/p&gt;&lt;p&gt;Mr. Deepak is a seasoned business management professional with over 8 years of experience in Strategic Partnerships, Business Development, and Startup Program Management. Currently, he leads Startup Banking Partnerships for Standard Chartered in the Chennai region. Previously, at Vakilsearch, he scaled the startup partnerships vertical by onboarding 120+ partners in 15 months and drove significant growth through advisory services and events. As Program Manager at Forge Corporate Open Innovation, he led the Vedanta Spark program, identifying over 1,350 startups and supporting Vedanta’s transformation efforts with a $100M investment. Mr. Deepak has also advised startups on fundraising and strategy, founded Crofters, and has expertise in Augmented/Virtual Reality. He runs Techstars’ India startup digest newsletter.&lt;/p&gt;&lt;p&gt;&lt;br&gt;&lt;/p&gt;Core Expertise&lt;/strong&gt;&lt;/p&gt;&lt;ul&gt;&lt;li&gt;Strategic Partnerships&lt;/li&gt;&lt;li&gt;Business Development&lt;/li&gt;&lt;li&gt;Corporate Open Innovation&lt;/li&gt;&lt;li&gt;Operations&lt;/li&gt;&lt;li&gt;Startup Program Management&lt;/li&gt;&lt;li&gt;Startup Advisory Services&lt;/li&gt;&lt;li&gt;Fundraising and Pitch Deck Development&lt;/li&gt;&lt;li&gt;Augmented/Virtual Reality Technology&lt;/li&gt;&lt;/ul&gt;&lt;p&gt;&lt;br&gt;&lt;/p&gt;Problem Solving Approach&lt;/strong&gt;&lt;/p&gt;&lt;p&gt;Focuses on scaling verticals rapidly by building strategic partnerships and onboarding numerous partners. Also emphasizes advising startups on fundraising and crafting effective go-to-market strategies.&lt;/p&gt;&lt;p&gt;&lt;br&gt;&lt;/p&gt;Impactful Projects&lt;/strong&gt;&lt;/p&gt;&lt;ul&gt;&lt;li&gt;&lt;strong&gt;Standard Chartered:&lt;/strong&gt; Leads Startup Banking Partnerships efforts for the Chennai region.&lt;/li&gt;&lt;li&gt;&lt;strong&gt;Vakilsearch:&lt;/strong&gt; Headed Startup Partnerships and scaled the vertical by onboarding 120+ partners in 15 months; led startup advisory services and conducted over a dozen events, integrating 150+ startups into the ecosystem.&lt;/li&gt;&lt;li&gt;&lt;strong&gt;Forge Corporate Open Innovation Programs:&lt;/strong&gt; Program Manager for Vedanta Spark global innovation &amp;amp; venture program; identified 1350+ startups globally to drive Vedanta’s business transformation with a $100M USD investment outlay.&lt;/li&gt;&lt;li&gt;&lt;strong&gt;Crofters:&lt;/strong&gt; Founded and worked on building self-sustaining indoor aquaponics home farms.&lt;/li&gt;&lt;li&gt;&lt;strong&gt;Pulse72+:&lt;/strong&gt; Founded a digital publishing platform during college, attracting over 2000+ monthly readers.&lt;/li&gt;&lt;/ul&gt;&lt;p&gt;&lt;br&gt;&lt;/p&gt;Consulting Style&lt;/strong&gt;&lt;/p&gt;&lt;p&gt;Focuses on hands-on mentorship and advisory roles, particularly in startup ecosystems, with a keen interest in innovation and growth strategies. Encourages collaboration and is open to new opportunities and discussions.&lt;/p&gt;&lt;p&gt;&lt;br&gt;&lt;/p&gt;Additional Information&lt;/strong&gt;&lt;/p&gt;&lt;ul&gt;&lt;li&gt;Runs Techstars’ India startup digest newsletter.&lt;/li&gt;&lt;li&gt;Passionate about building and nurturing new ventures, with a history of engaging in creative and technological projects.&lt;/li&gt;&lt;li&gt;Shares insights and writings on a personal blog.&lt;/li&gt;&lt;/ul&gt;</t>
  </si>
  <si>
    <t>https://www.linkedin.com/in/adeepaksrinivasan/</t>
  </si>
  <si>
    <t>Chennai</t>
  </si>
  <si>
    <t>deepaksrinivasan.a@gmail.com</t>
  </si>
  <si>
    <t>Business Model Development || Go to Market Strategy || Growth Strategy Formulation || Market access || Market research || Marketing || Media and PR || Pitch coaching || Sales Strategy || Strategic Planning || UI/UX Design || Business Model Development || Go to Market Strategy || Growth Strategy Formulation || Market access || Market research || Marketing || Media and PR || Pitch coaching || Sales Strategy || Strategic Planning || UI/UX Design || Business Model Development || Go to Market Strategy || Growth Strategy Formulation || Market access || Market research || Marketing || Media and PR || Pitch coaching || Sales Strategy || Strategic Planning || UI/UX Design || Business Model Development || Go to Market Strategy || Growth Strategy Formulation || Market access || Market research || Marketing || Media and PR || Pitch coaching || Sales Strategy || Strategic Planning || UI/UX Design || Business Model Development || Go to Market Strategy || Growth Strategy Formulation || Market access || Market research || Marketing || Media and PR || Pitch coaching || Sales Strategy || Strategic Planning || UI/UX Design || Business Model Development || Go to Market Strategy || Growth Strategy Formulation || Market access || Market research || Marketing || Media and PR || Pitch coaching || Sales Strategy || Strategic Planning || UI/UX Design || Business Model Development || Go to Market Strategy || Growth Strategy Formulation || Market access || Market research || Marketing || Media and PR || Pitch coaching || Sales Strategy || Strategic Planning || UI/UX Design || Business Model Development || Go to Market Strategy || Growth Strategy Formulation || Market access || Market research || Marketing || Media and PR || Pitch coaching || Sales Strategy || Strategic Planning || UI/UX Design || Sales &amp; Business Development</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</si>
  <si>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FinTech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Services || Services || Services || Services || Services || Services || Services || Services || Services || Services || Services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FinTech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Services || Services || Services || Services || Services || Services || Services || Services || Services || Services || Services || Fintech, Banking, Financial Services</t>
  </si>
  <si>
    <t>Deepaq Vartaq</t>
  </si>
  <si>
    <t>Director - Career Development Cell &amp; Business Incubation</t>
  </si>
  <si>
    <t>Mumbai Educational Trust, MET League of Colleges</t>
  </si>
  <si>
    <t>Summary&lt;/strong&gt;&lt;/p&gt;&lt;p&gt;Mr. Deepaq is a high-energy, result-oriented senior management professional with a proven track record in business turnaround and leadership. As a mentor and coach for startups and SMEs, he specializes in business strategy and sales strategy, providing solutions to business development challenges. With a focus on integrity, ethics, and excellence, Mr. Deepaq is adept at designing and executing sales strategies, content development, and training leaders. He has authored the book "How To Sell Everyday - In 3 Easy Steps," available on Amazon, and offers services in demand generation, business consulting, and leadership development.&lt;/p&gt;&lt;p&gt;&lt;br&gt;&lt;/p&gt;Core Expertise&lt;/strong&gt;&lt;/p&gt;&lt;ul&gt;&lt;li&gt;Business Strategy&lt;/li&gt;&lt;li&gt;Sales Strategy&lt;/li&gt;&lt;li&gt;Sales Management&lt;/li&gt;&lt;li&gt;Content Development&lt;/li&gt;&lt;li&gt;Leadership Development&lt;/li&gt;&lt;li&gt;Coaching and Training&lt;/li&gt;&lt;/ul&gt;&lt;p&gt;&lt;br&gt;&lt;/p&gt;Problem Solving Approach&lt;/strong&gt;&lt;/p&gt;&lt;p&gt;Mr. Deepaq addresses business development challenges with high-energy and result-oriented strategies, focusing on designing and executing effective sales strategies and providing comprehensive solutions.&lt;/p&gt;&lt;p&gt;&lt;br&gt;&lt;/p&gt;Impactful Projects&lt;/strong&gt;&lt;/p&gt;&lt;ul&gt;&lt;li&gt;Book Author: "How To Sell Everyday - In 3 Easy Steps," available on Amazon.&lt;/li&gt;&lt;li&gt;Business Turnaround: Proven track record in transforming and leading businesses across various market segments.&lt;/li&gt;&lt;/ul&gt;&lt;p&gt;&lt;br&gt;&lt;/p&gt;Consulting Style&lt;/strong&gt;&lt;/p&gt;&lt;p&gt;Mr. Deepaq's consulting approach emphasizes high integrity, ethics, and a commitment to excellence.&lt;/p&gt;</t>
  </si>
  <si>
    <t>https://www.linkedin.com/in/deepaqvvartak/</t>
  </si>
  <si>
    <t>deepaqvvartak@gmail.com</t>
  </si>
  <si>
    <t>Business Model Development || Go to Market Strategy || Marketing || Sales Strategy || Training &amp; Development || Business Model Development || Go to Market Strategy || Marketing || Sales Strategy || Training &amp; Development || Business Model Development || Go to Market Strategy || Marketing || Sales Strategy || Training &amp; Development || Business Model Development || Go to Market Strategy || Marketing || Sales Strategy || Training &amp; Development || Business Model Development || Go to Market Strategy || Marketing || Sales Strategy || Training &amp; Development || Business Model Development || Go to Market Strategy || Marketing || Sales Strategy || Training &amp; Development || Business Model Development || Go to Market Strategy || Marketing || Sales Strategy || Training &amp; Development || Business Model Development || Go to Market Strategy || Marketing || Sales Strategy || Training &amp; Development || Training &amp; Development || Sales &amp; Business Development</t>
  </si>
  <si>
    <t>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Others || Others || Others || Others || Others || Pharmaceuticals, Healthcare and Wellness || Pharmaceuticals, Healthcare and Wellness || Pharmaceuticals, Healthcare and Wellness || Pharmaceuticals, Healthcare and Wellness || Pharmaceuticals, Healthcare and Wellness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Others || Others || Others || Others || Others || Pharmaceuticals, Healthcare and Wellness || Pharmaceuticals, Healthcare and Wellness || Pharmaceuticals, Healthcare and Wellness || Pharmaceuticals, Healthcare and Wellness || Pharmaceuticals, Healthcare and Wellness || Education &amp; Training</t>
  </si>
  <si>
    <t>Devesh Chawla</t>
  </si>
  <si>
    <t>Chatur Ideas</t>
  </si>
  <si>
    <t>Summary:&lt;/strong&gt;&lt;/p&gt;&lt;p&gt;Mr. Devesh Chawla is an award-winning innovator, mentor, investor, and TEDx speaker recognized for his contributions to the startup ecosystem. As the Founder of Chatur Ideas, a one-stop solution for entrepreneurs, and Chatur Wealth, an AI-driven investment platform, he has worked with thousands of startups across India. Devesh has received several prestigious awards, including the Mahatma Gandhi Samman Award, and has been covered by Forbes and other international media outlets. He is dedicated to fostering entrepreneurship and regularly serves as a speaker, jury member, and mentor at key startup events.&lt;/p&gt;&lt;p&gt;&lt;br&gt;&lt;/p&gt;Key Areas of Expertise:&lt;/strong&gt;&lt;/p&gt;&lt;ul&gt;&lt;li&gt;Startup Mentorship&lt;/li&gt;&lt;li&gt;Entrepreneurship Programs&lt;/li&gt;&lt;li&gt;Investment Strategy&lt;/li&gt;&lt;li&gt;AI-driven Wealth Management&lt;/li&gt;&lt;li&gt;Public Speaking &amp;amp; Media Engagement&lt;/li&gt;&lt;/ul&gt;&lt;p&gt;&lt;br&gt;&lt;/p&gt;Strategic Contributions:&lt;/strong&gt;&lt;/p&gt;&lt;ul&gt;&lt;li&gt;Founder of Chatur Ideas and Chatur Wealth&lt;/li&gt;&lt;li&gt;Mentored thousands of startups, including high-profile ventures like Catapooolt, Strike, and Hubilo&lt;/li&gt;&lt;li&gt;Developed joint certification courses with IIT-B Ecell&lt;/li&gt;&lt;/ul&gt;&lt;p&gt;&lt;br&gt;&lt;/p&gt;Mentorship Philosophy:&lt;/strong&gt;&lt;/p&gt;&lt;p&gt;Mr. Devesh believes in hands-on mentorship, offering practical, actionable strategies that drive sustainable startup growth and innovation.&lt;/p&gt;</t>
  </si>
  <si>
    <t>https://www.linkedin.com/in/devesh-chawla/</t>
  </si>
  <si>
    <t>Deveshchawla@chaturideas.com</t>
  </si>
  <si>
    <t>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Angel Investing || Business Model Development || Fundraising || Go to Market Strategy || Growth Strategy Formulation || Investment Banking || Pitch coaching || Strategic Planning || Sales &amp; Business Development || Business Finance</t>
  </si>
  <si>
    <t>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Fintech, Banking, Financial Services</t>
  </si>
  <si>
    <t>Dhiraj Khot</t>
  </si>
  <si>
    <t>Summary:&lt;/strong&gt;&lt;/p&gt;&lt;p&gt;Mr. Dhiraj is a seasoned entrepreneur and corporate CEO with over 18 years of experience in launching, turning around, and growing businesses across three continents. A go-to-market specialist, he excels in identifying opportunities, developing business cases, and driving revenue growth in both B2B and B2C sectors. He has expertise in sales and marketing, Product Management management, and leveraging analytics, BI, and IoT technologies to optimize business decisions. Known for his tenacity and strategic mindset, he has successfully built strong networks and delivered results across diverse geographies, including India, East Africa, and Europe.&lt;/p&gt;&lt;p&gt;&lt;br&gt;&lt;/p&gt;Key Areas of Expertise:&lt;/strong&gt;&lt;/p&gt;&lt;ul&gt;&lt;li&gt;Go-to-Market Strategy&lt;/li&gt;&lt;li&gt;Sales &amp;amp; Marketing Leadership&lt;/li&gt;&lt;li&gt;Product Management Management &amp;amp; Market Fitment&lt;/li&gt;&lt;li&gt;Analytics, Business Intelligence &amp;amp; IoT&lt;/li&gt;&lt;li&gt;Pricing Strategy &amp;amp; Market Research&lt;/li&gt;&lt;/ul&gt;&lt;p&gt;&lt;br&gt;&lt;/p&gt;Strategic Contributions:&lt;/strong&gt;&lt;/p&gt;&lt;ul&gt;&lt;li&gt;Launched and turned around multiple businesses across industries.&lt;/li&gt;&lt;li&gt;Led market research and data-driven strategies to optimize pricing, territory expansion, and customer loyalty.&lt;/li&gt;&lt;/ul&gt;&lt;p&gt;&lt;br&gt;&lt;/p&gt;Mentorship Philosophy:&lt;/strong&gt;&lt;/p&gt;&lt;p&gt;Emphasizes analytical approaches, process orientation, and metrics-driven decision-making while focusing on continuous learning and technology adoption.&lt;/p&gt;</t>
  </si>
  <si>
    <t>https://www.linkedin.com/in/dhirajkhot/</t>
  </si>
  <si>
    <t>Finland</t>
  </si>
  <si>
    <t>Helsinki</t>
  </si>
  <si>
    <t>dhiraj@yanaconsulting.com</t>
  </si>
  <si>
    <t>Data Analytics || Go to Market Strategy || International Market Analysis || Market access || Market research || Marketing || Pricing Strategy || Sales Strategy || Data Analytics || Go to Market Strategy || International Market Analysis || Market access || Market research || Marketing || Pricing Strategy || Sales Strategy || Sales &amp; Business Development</t>
  </si>
  <si>
    <t>CleanTech || CleanTech || CleanTech || CleanTech || CleanTech || CleanTech || CleanTech || CleanTech || CleanTech || CleanTech || CleanTech || CleanTech || CleanTech || CleanTech || CleanTech || CleanTech || Real Estate &amp; Construction</t>
  </si>
  <si>
    <t>Dinkar Suri</t>
  </si>
  <si>
    <t>GASP® Sales Academy</t>
  </si>
  <si>
    <t>Consulting Type: Paid&lt;/strong&gt;&lt;/p&gt;&lt;p&gt;&lt;br&gt;&lt;/p&gt;Summary:&lt;/strong&gt; Dinkar is the Founder and CEO of GASP Sales Academy, a pioneering institution dedicated to enhancing sales Product Managementivity across various sectors. With a rich background in sales management, he has developed the patented GASP Sales Process, a methodology designed to build efficient and high-performing sales organizations. His work is grounded in years of experience and a deep understanding of what CEOs and Sales Directors require to create and sustain Product Managementive sales teams.&lt;/p&gt;&lt;p&gt;&lt;br&gt;&lt;/p&gt;Core Expertise:&lt;/strong&gt; Dinkar specializes in several key areas:&lt;/p&gt;&lt;ul&gt;&lt;li&gt;&lt;strong&gt;Sales Management:&lt;/strong&gt; Coaching and mentoring sales leaders to effectively manage and motivate their teams.&lt;/li&gt;&lt;li&gt;&lt;strong&gt;Sales Execution:&lt;/strong&gt; Implementing strategies that ensure consistent achievement of sales targets.&lt;/li&gt;&lt;li&gt;&lt;strong&gt;Sales Product Managementivity:&lt;/strong&gt; Developing and deploying tools and techniques to significantly boost sales team Product Managementivity.&lt;/li&gt;&lt;li&gt;&lt;strong&gt;Sales Development:&lt;/strong&gt; Creating tailored sales processes that align with the specific needs of various industries.&lt;/li&gt;&lt;li&gt;&lt;strong&gt;Sales Training:&lt;/strong&gt; Delivering comprehensive training programs that instill best practices and drive results.&lt;/li&gt;&lt;/ul&gt;&lt;p&gt;&lt;br&gt;&lt;/p&gt;Problem-Solving Approach:&lt;/strong&gt; Dinkar’s approach is centered on the belief that a disciplined, process-driven method is key to sales success. His SPARK (Sales Product Managementivity Acceleration and Resource Kit) program exemplifies this philosophy by diagnosing Product Managementivity challenges within sales teams and offering targeted solutions. This program is designed to address issues at their root, leading to sustainable improvements in both top and bottom-line performance.&lt;/p&gt;&lt;p&gt;&lt;br&gt;&lt;/p&gt;Impactful Projects:&lt;/strong&gt; Throughout his career, Dinkar has led several transformative initiatives:&lt;/p&gt;&lt;ul&gt;&lt;li&gt;&lt;strong&gt;GASP Sales Process:&lt;/strong&gt; Dinkar introduced the Generally Accepted Sales Principles (GASP), which have optimized sales standards across numerous industries.&lt;/li&gt;&lt;li&gt;&lt;strong&gt;Build-Operate-Transfer Model:&lt;/strong&gt; Dinkar has crafted a model that ensures long-term sales growth by initially building and operating the sales process before transferring it to the client for sustained success.&lt;/li&gt;&lt;/ul&gt;&lt;p&gt;&lt;br&gt;&lt;/p&gt;Consultation Style:&lt;/strong&gt; Dinkar’s consultation style is highly collaborative and process-oriented. He emphasizes the importance of following a structured sales process, believing that when teams focus on the process, successful outcomes naturally follow. His guidance is tailored to the specific needs of each client, ensuring that they receive actionable insights and strategies that align with their unique business goals. His hands-on approach ensures that clients are fully equipped to implement the strategies and processes he advocates, leading to lasting improvements in sales performance.&lt;/p&gt;</t>
  </si>
  <si>
    <t>https://www.linkedin.com/in/dinkarsuri/</t>
  </si>
  <si>
    <t>dinkar@gaspsalesacademy.com</t>
  </si>
  <si>
    <t>Business Model Development || Marketing || Sales Strategy || Sales &amp; Business Development</t>
  </si>
  <si>
    <t>Agriculture &amp; Food Processing || Agriculture &amp; Food Processing || Agriculture &amp; Food Processing || Education &amp; Training</t>
  </si>
  <si>
    <t>Diptiprakash Pradhan</t>
  </si>
  <si>
    <t>Adjunct Professor - Strategy</t>
  </si>
  <si>
    <t>Freelancer</t>
  </si>
  <si>
    <t>Summary:&lt;/strong&gt;&lt;/p&gt;&lt;p&gt;Mr. Diptiprakash Pradhan is a strategic management faculty with over a decade of experience in research and teaching. His focus is on human capital, organizational design, corporate governance, and strategic leadership aimed at sustaining business growth. With prior corporate experience in consulting, business development, and program management with global banks, he brings a wealth of practical insight to his academic and consulting roles. His research has been presented at major conferences and involves topics such as organizational performance and intra-team social comparisons.&lt;/p&gt;&lt;p&gt;&lt;br&gt;&lt;/p&gt;Key Areas of Expertise:&lt;/strong&gt;&lt;/p&gt;&lt;ul&gt;&lt;li&gt;Strategic Management&lt;/li&gt;&lt;li&gt;Human Capital&lt;/li&gt;&lt;li&gt;Organizational Design&lt;/li&gt;&lt;li&gt;Corporate Governance&lt;/li&gt;&lt;li&gt;Strategic Leadership&lt;/li&gt;&lt;li&gt;Business Development&lt;/li&gt;&lt;li&gt;Program Management&lt;/li&gt;&lt;li&gt;Consulting&lt;/li&gt;&lt;/ul&gt;&lt;p&gt;&lt;br&gt;&lt;/p&gt;Strategic Contributions:&lt;/strong&gt;&lt;/p&gt;&lt;ul&gt;&lt;li&gt;Conducted research on human capital, organizational learning, and strategic leadership, contributing to the understanding of these areas through published papers and conference presentations.&lt;/li&gt;&lt;li&gt;Provided consulting and advisory services to large global banks, enhancing business development and program management strategies.&lt;/li&gt;&lt;li&gt;Engaged in academia through teaching and mentoring, guiding future leaders in strategic management principles.&lt;/li&gt;&lt;/ul&gt;&lt;p&gt;&lt;br&gt;&lt;/p&gt;Mentorship Philosophy:&lt;/strong&gt;&lt;/p&gt;&lt;p&gt;Mr. Pradhan is dedicated to fostering a deep understanding of strategic management among his students and mentees. He emphasizes the importance of human capital and organizational design in sustaining business growth, aiming to equip individuals with the knowledge and skills to lead effectively and drive organizational success.&lt;/p&gt;&lt;p&gt;&lt;br&gt;&lt;/p&gt;Success Stories:&lt;/strong&gt;&lt;/p&gt;&lt;ul&gt;&lt;li&gt;Authored several working papers and presented research at prestigious conferences, including the Academy of Management Annual Meeting and Strategic Management Society Annual Meeting.&lt;/li&gt;&lt;li&gt;Contributed to the academic community with research on organizational performance and intra-team social comparisons, influencing both theoretical and practical aspects of strategic management.&lt;/li&gt;&lt;/ul&gt;&lt;p&gt;&lt;br&gt;&lt;/p&gt;Top Skills:&lt;/strong&gt;&lt;/p&gt;&lt;ul&gt;&lt;li&gt;Strategic Leadership&lt;/li&gt;&lt;li&gt;Human Capital Management&lt;/li&gt;&lt;li&gt;Organizational Design&lt;/li&gt;&lt;li&gt;Business Development&lt;/li&gt;&lt;li&gt;Program Management&lt;/li&gt;&lt;li&gt;Research and Academia&lt;/li&gt;&lt;/ul&gt;</t>
  </si>
  <si>
    <t>https://www.linkedin.com/in/diptiprakash-pradhan-68957a7/</t>
  </si>
  <si>
    <t xml:space="preserve">diptiprakashp3@gmail.com </t>
  </si>
  <si>
    <t>He is into academics</t>
  </si>
  <si>
    <t>Business Model Development || Customer Relationship Management || Go to Market Strategy || Media and PR || Prototyping &amp; Testing || Public speaking || Research Partnerships || Team building || Business Model Development || Customer Relationship Management || Go to Market Strategy || Media and PR || Prototyping &amp; Testing || Public speaking || Research Partnerships || Team building || Business Model Development || Customer Relationship Management || Go to Market Strategy || Media and PR || Prototyping &amp; Testing || Public speaking || Research Partnerships || Team building || Business Model Development || Customer Relationship Management || Go to Market Strategy || Media and PR || Prototyping &amp; Testing || Public speaking || Research Partnerships || Team building || Sales &amp; Business Development || Strategic Planning</t>
  </si>
  <si>
    <t>Education &amp; Training || Education &amp; Training || Education &amp; Training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Social &amp; Community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Tourism &amp; Hospitality || Education &amp; Training</t>
  </si>
  <si>
    <t>Dr. Butchi Babu</t>
  </si>
  <si>
    <t>Director</t>
  </si>
  <si>
    <t>Chidambaram Academy of Refinement and Enrichment</t>
  </si>
  <si>
    <t>Summary:&lt;/strong&gt;&lt;/p&gt;&lt;p&gt;Dr. Butchi Babu Muvva is a seasoned professional with 30 years of experience across industry and academia, specializing in IT Implementation, Product Management Management, and Business Analytics. He has held various academic and consultancy roles globally, including positions at Educomp Solutions, Sterling lab pharmaceuticals, and institutions like SIM Singapore and Sunway University. His expertise spans Data Science, MIS, SAP training, and more, with a notable contribution to academia and industry. Dr. Muvva is a recognized leader, having received awards like the StartMe Up Award from Wadhwani Foundation. Dr. Muvva's detailed experience and affiliations highlight his significant contributions to both academia and industry, showcasing a versatile and impactful career.&lt;/p&gt;&lt;p&gt;&lt;br&gt;&lt;/p&gt;Key Areas of Expertise:&lt;/strong&gt;&lt;/p&gt;&lt;ul&gt;&lt;li&gt;IT Management and Strategy&lt;/li&gt;&lt;li&gt;Data Science and Analytics&lt;/li&gt;&lt;li&gt;SAP Training (SAP HANA, SuccessFactors)&lt;/li&gt;&lt;li&gt;Business Process Re-engineering&lt;/li&gt;&lt;li&gt;MIS, Decision Science, CRM, E-Business&lt;/li&gt;&lt;li&gt;Entrepreneurship Education&lt;/li&gt;&lt;/ul&gt;&lt;p&gt;&lt;br&gt;&lt;/p&gt;Strategic Contributions:&lt;/strong&gt;&lt;/p&gt;&lt;ul&gt;&lt;li&gt;Director at CARE for AP &amp;amp; Telangana Zone (2024)&lt;/li&gt;&lt;li&gt;Program Head for finance certificate program at FSFM, Frankfurt, Germany (2020)&lt;/li&gt;&lt;li&gt;Faculty roles at various international institutions, including City College, Bangalore, and RMIT, Melbourne&lt;/li&gt;&lt;li&gt;Member of Analytics Society of India, SAP UA, ISACA, CSTA-USA&lt;/li&gt;&lt;/ul&gt;&lt;p&gt;&lt;br&gt;&lt;/p&gt;Success Stories:&lt;/strong&gt;&lt;/p&gt;&lt;p&gt;Awarded the Gold Award for the StartMe Up Awards 2021 by Wadhwani Foundation&lt;/p&gt;</t>
  </si>
  <si>
    <t>https://www.linkedin.com/in/butchi-babu-muvva-phd-578a4318/</t>
  </si>
  <si>
    <t>idbabu@gmail.com</t>
  </si>
  <si>
    <t>Entrepreneurship Coaching || Sales &amp; Business Development</t>
  </si>
  <si>
    <t>Education &amp; Training || Software &amp; IT Services</t>
  </si>
  <si>
    <t>Dr. Dipanjay Bhalerao</t>
  </si>
  <si>
    <t>Dean Research</t>
  </si>
  <si>
    <t>Indira Institute of Management</t>
  </si>
  <si>
    <t>Summary&lt;/strong&gt;&lt;/p&gt;&lt;p&gt;Mr. Deepanjay is an experienced Associate Professor and corporate professional with over 23 years of combined experience in the education management and corporate sectors. He has worked in Telecom, FMCG, and E-commerce industries, and holds an MBA in Marketing Management from Indira Institute of Management. As a mentor to over 15 startups and a trainer for more than 1,000 entrepreneurship aspirants, Mr. Deepanjay is on a mission to raise awareness of entrepreneurship among 1 billion Indians, aiming to build 1 million startups and 1,000 unicorns in the next 10 years. He has received accolades such as the AIMS Best Case award and DNA STAR Outstanding Faculty award.&lt;/p&gt;&lt;p&gt;&lt;br&gt;&lt;/p&gt;Core Expertise&lt;/strong&gt;&lt;/p&gt;&lt;ul&gt;&lt;li&gt;Marketing Management&lt;/li&gt;&lt;li&gt;Negotiation&lt;/li&gt;&lt;li&gt;Business Planning&lt;/li&gt;&lt;li&gt;Analytical Skills&lt;/li&gt;&lt;li&gt;Sales&lt;/li&gt;&lt;/ul&gt;&lt;p&gt;&lt;br&gt;&lt;/p&gt;Problem Solving Approach&lt;/strong&gt;&lt;/p&gt;&lt;p&gt;Mr. Deepanjay utilizes his extensive experience in both education and corporate sectors to provide comprehensive mentorship and training in entrepreneurship, focusing on practical business skills and strategic planning.&lt;/p&gt;&lt;p&gt;&lt;br&gt;&lt;/p&gt;Impactful Projects&lt;/strong&gt;&lt;/p&gt;&lt;ul&gt;&lt;li&gt;Mentorship: Mentored over 15 startups.&lt;/li&gt;&lt;li&gt;Training: Trained over 1,000 entrepreneurship aspirants.&lt;/li&gt;&lt;li&gt;Awards: AIMS Best Case award (Silver Medal, 2017) and DNA STAR Outstanding Faculty - Marketing award (2019).&lt;/li&gt;&lt;li&gt;Startup Mitra: Focuses on mentoring startups and building entrepreneurial awareness.&lt;/li&gt;&lt;li&gt;Dean of Research and Associate Professor: Conducts Faculty Development Programs (FDP) in case writing and Management Development Programs (MDP) in various organizations.&lt;/li&gt;&lt;li&gt;Corporate Trainer: Provides training in marketing, business planning, and entrepreneurship.&lt;/li&gt;&lt;/ul&gt;&lt;p&gt;&lt;br&gt;&lt;/p&gt;Consulting Style&lt;/strong&gt;&lt;/p&gt;&lt;p&gt;Mr. Deepanjay's consulting approach is holistic, combining academic rigor, practical business insights, and personal development.&lt;/p&gt;</t>
  </si>
  <si>
    <t>https://www.linkedin.com/in/dipanjay-bhalerao-06383915?lipi=urn%3Ali%3Apage%3Ad_flagship3_profile_view_base_contact_details%3BX1I1i4O6TdSZBfptzPBJpA%3D%3D</t>
  </si>
  <si>
    <t>dipanjay1@gmail.com</t>
  </si>
  <si>
    <t>Majority of the experience is in Academics and few yrs of experience in Telecom and FMCG</t>
  </si>
  <si>
    <t>BI Proficiency || Branding || Budgeting &amp; Financial Modeling || Business Model Development || Contracts &amp; Agreements || Customer Relationship Management || Customer Service &amp; Retention || Data Analytics || Data Reporting || Digital Marketing || Market research || Prototyping &amp; Testing || Sales Strategy || Social Media Marketing || Strategic Planning || BI Proficiency || Branding || Budgeting &amp; Financial Modeling || Business Model Development || Contracts &amp; Agreements || Customer Relationship Management || Customer Service &amp; Retention || Data Analytics || Data Reporting || Digital Marketing || Market research || Prototyping &amp; Testing || Sales Strategy || Social Media Marketing || Strategic Planning || BI Proficiency || Branding || Budgeting &amp; Financial Modeling || Business Model Development || Contracts &amp; Agreements || Customer Relationship Management || Customer Service &amp; Retention || Data Analytics || Data Reporting || Digital Marketing || Market research || Prototyping &amp; Testing || Sales Strategy || Social Media Marketing || Strategic Planning || BI Proficiency || Branding || Budgeting &amp; Financial Modeling || Business Model Development || Contracts &amp; Agreements || Customer Relationship Management || Customer Service &amp; Retention || Data Analytics || Data Reporting || Digital Marketing || Market research || Prototyping &amp; Testing || Sales Strategy || Social Media Marketing || Strategic Planning || BI Proficiency || Branding || Budgeting &amp; Financial Modeling || Business Model Development || Contracts &amp; Agreements || Customer Relationship Management || Customer Service &amp; Retention || Data Analytics || Data Reporting || Digital Marketing || Market research || Prototyping &amp; Testing || Sales Strategy || Social Media Marketing || Strategic Planning || BI Proficiency || Branding || Budgeting &amp; Financial Modeling || Business Model Development || Contracts &amp; Agreements || Customer Relationship Management || Customer Service &amp; Retention || Data Analytics || Data Reporting || Digital Marketing || Market research || Prototyping &amp; Testing || Sales Strategy || Social Media Marketing || Strategic Planning || BI Proficiency || Branding || Budgeting &amp; Financial Modeling || Business Model Development || Contracts &amp; Agreements || Customer Relationship Management || Customer Service &amp; Retention || Data Analytics || Data Reporting || Digital Marketing || Market research || Prototyping &amp; Testing || Sales Strategy || Social Media Marketing || Strategic Planning || BI Proficiency || Branding || Budgeting &amp; Financial Modeling || Business Model Development || Contracts &amp; Agreements || Customer Relationship Management || Customer Service &amp; Retention || Data Analytics || Data Reporting || Digital Marketing || Market research || Prototyping &amp; Testing || Sales Strategy || Social Media Marketing || Strategic Planning || Sales &amp; Business Development</t>
  </si>
  <si>
    <t>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Education &amp; Training</t>
  </si>
  <si>
    <t>Krishna Dorai</t>
  </si>
  <si>
    <t>Environmental Evangelist</t>
  </si>
  <si>
    <t>Biome Environmental Trust</t>
  </si>
  <si>
    <t>Summary:&lt;/strong&gt; Krishna is a seasoned professional with a proven track record in the E-commerce, Retail, and Consumer industries. He is passionate about environmental sustainability and dedicates himself to initiatives like water conservation, rejuvenating water bodies, advocating for sustainable practices, and fostering community engagement. Krishna’s dedication to creating a resilient planet drives his involvement in these causes.&lt;/p&gt;&lt;p&gt;&lt;br&gt;&lt;/p&gt;Core Expertise:&lt;/strong&gt; Krishna specializes in organizational strategy, sales, operations, digital transformation, and innovation. He is an advocate for leveraging AI and analytics to enhance customer experiences, optimize business performance, and build competitive advantages. His experience spans across leadership roles in the E-commerce and retail sectors, where he has successfully led teams and driven growth.&lt;/p&gt;&lt;p&gt;&lt;br&gt;&lt;/p&gt;Problem-Solving Approach:&lt;/strong&gt; Krishna approaches problem-solving with a strategic mindset, combining data-driven insights with a focus on customer-centric solutions. His expertise in AI and analytics enables him to identify key opportunities for innovation and business optimization. He prioritizes sustainability and aims to incorporate environmentally responsible practices into business operations.&lt;/p&gt;&lt;p&gt;&lt;br&gt;&lt;/p&gt;Impactful Projects:&lt;/strong&gt; Krishna has played pivotal roles in driving growth and transformation for major brands such as AJIO.com, Kontoor Brands, and Adidas, among others. In each role, he has focused on developing innovative strategies, improving operational efficiency, and enhancing customer engagement.&lt;/p&gt;&lt;p&gt;&lt;br&gt;&lt;/p&gt;Mentorship and Investment:&lt;/strong&gt; As an Angel Investor and startup mentor at IIMB NSRCEL, Krishna helps aspiring entrepreneurs in the E-commerce and Retail domain by offering guidance on strategy, operations, and technology-driven growth. His mentorship emphasizes building sustainable and scalable businesses.&lt;/p&gt;&lt;p&gt;&lt;br&gt;&lt;/p&gt;Consultation Style:&lt;/strong&gt; Krishna adopts a collaborative approach to mentoring and consultation, working closely with entrepreneurs to understand their vision and challenges. His deep industry knowledge and commitment to sustainability make him a valuable guide for businesses looking to innovate while maintaining environmental responsibility.&lt;/p&gt;</t>
  </si>
  <si>
    <t>https://www.linkedin.com/in/krishnadorai/</t>
  </si>
  <si>
    <t>krishnadorai@gmail.com</t>
  </si>
  <si>
    <t>Experience is in Ecom &amp; Retail</t>
  </si>
  <si>
    <t>Sales/GTM: eCommerce &amp; Quick Commerce</t>
  </si>
  <si>
    <t>Retail &amp; e-Commerce</t>
  </si>
  <si>
    <t>Angel Investing || Go to Market Strategy || Growth Strategy Formulation || Angel Investing || Go to Market Strategy || Growth Strategy Formulation || Angel Investing || Go to Market Strategy || Growth Strategy Formulation || Angel Investing || Go to Market Strategy || Growth Strategy Formulation || Sales &amp; Business Development || Strategic Planning</t>
  </si>
  <si>
    <t>Consumer Products || Consumer Products || Consumer Products || Retail &amp; e-Commerce || Retail &amp; e-Commerce || Retail &amp; e-Commerce || Consumer Products || Consumer Products || Consumer Products || Retail &amp; e-Commerce || Retail &amp; e-Commerce || Retail &amp; e-Commerce || Retail &amp; e-Commerce</t>
  </si>
  <si>
    <t>Dr. Gyanendra Kumar Attri</t>
  </si>
  <si>
    <t>SustainAble Solutions</t>
  </si>
  <si>
    <t>Summary: &lt;/strong&gt;&lt;/p&gt;&lt;p&gt;Dr. Gyanendra is a Founder and professional with 13 years of experience specializing in sustainability, research, education, cement, and concrete. Recently completed a Ph.D. focused on sustainable materials using construction and demolition waste. Recognized for expertise in Sustainable Product Management Development, Life Cycle Assessment, Green Building, Waste Management, and Optimization Techniques.&lt;/p&gt;&lt;p&gt;&lt;br&gt;&lt;/p&gt;Key Areas of Expertise: &lt;/strong&gt;&lt;/p&gt;&lt;p&gt;Sustainable Product Management Development, Sustainability Analysis, Green Building and Construction, Construction and Demolition Waste Management, Life Cycle Assessment (LCA), Resource Efficiency, Material Testing and Characterization, Optimization Techniques, Construction Project Management.&lt;/p&gt;&lt;p&gt;&lt;br&gt;&lt;/p&gt;Strategic Contributions: &lt;/strong&gt;&lt;/p&gt;&lt;p&gt;Recognized as a specialist in Construction Product Management Life Cycle Assessment and Certified Professional in Resource Efficiency and Environment Sustainability. Selected as a GSFN India Chair (Research) and Sustainability Ambassador, highlighting contributions to global sustainability initiatives. Conducted numerous international and national workshops, training sessions, and FDPs on Sustainability and Waste Management.&lt;/p&gt;&lt;p&gt;&lt;br&gt;&lt;/p&gt;Mentorship Philosophy: &lt;/strong&gt;&lt;/p&gt;&lt;p&gt;Actively shares knowledge and expertise through international and national training sessions and workshops, aiming to educate and empower others in sustainability practices and waste management.&lt;/p&gt;&lt;p&gt;&lt;br&gt;&lt;/p&gt;Success Stories: &lt;/strong&gt;&lt;/p&gt;&lt;p&gt;While specific success stories are not mentioned, the individual's extensive qualifications, certifications, and invitations as an eminent speaker suggest significant contributions to the fields of sustainability and waste management, likely impacting various sectors positively.&lt;/p&gt;</t>
  </si>
  <si>
    <t>https://www.linkedin.com/in/dr-gyanendra-kr-attri-364b6130/</t>
  </si>
  <si>
    <t>Noida</t>
  </si>
  <si>
    <t>gkattri.ss@gmail.com</t>
  </si>
  <si>
    <t>Experience is in QC &amp; Academics</t>
  </si>
  <si>
    <t>Real Estate &amp; Construction</t>
  </si>
  <si>
    <t>BI Proficiency || Data Analytics || Data Reporting || Digital Marketing || Organizational Development || Performance Management || Process Optimization || Product Development || Prototyping &amp; Testing || Quality Assurance || Social Media Marketing || Software Development || Team building || Tech Strategy &amp; Infrastructure || Training &amp; Development || UI/UX Design || BI Proficiency || Data Analytics || Data Reporting || Digital Marketing || Organizational Development || Performance Management || Process Optimization || Product Development || Prototyping &amp; Testing || Quality Assurance || Social Media Marketing || Software Development || Team building || Tech Strategy &amp; Infrastructure || Training &amp; Development || UI/UX Design || BI Proficiency || Data Analytics || Data Reporting || Digital Marketing || Organizational Development || Performance Management || Process Optimization || Product Development || Prototyping &amp; Testing || Quality Assurance || Social Media Marketing || Software Development || Team building || Tech Strategy &amp; Infrastructure || Training &amp; Development || UI/UX Design || BI Proficiency || Data Analytics || Data Reporting || Digital Marketing || Organizational Development || Performance Management || Process Optimization || Product Development || Prototyping &amp; Testing || Quality Assurance || Social Media Marketing || Software Development || Team building || Tech Strategy &amp; Infrastructure || Training &amp; Development || UI/UX Design || BI Proficiency || Data Analytics || Data Reporting || Digital Marketing || Organizational Development || Performance Management || Process Optimization || Product Development || Prototyping &amp; Testing || Quality Assurance || Social Media Marketing || Software Development || Team building || Tech Strategy &amp; Infrastructure || Training &amp; Development || UI/UX Design || BI Proficiency || Data Analytics || Data Reporting || Digital Marketing || Organizational Development || Performance Management || Process Optimization || Product Development || Prototyping &amp; Testing || Quality Assurance || Social Media Marketing || Software Development || Team building || Tech Strategy &amp; Infrastructure || Training &amp; Development || UI/UX Design || Sales &amp; Business Development || Business Model Development</t>
  </si>
  <si>
    <t>CleanTech || CleanTech || CleanTech || CleanTech || CleanTech || CleanTech || CleanTech || CleanTech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CleanTech || CleanTech || CleanTech || CleanTech || CleanTech || CleanTech || CleanTech || CleanTech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Environment, Sustainability &amp; Governance (ESG)</t>
  </si>
  <si>
    <t>Salim Shaikh Sadiq</t>
  </si>
  <si>
    <t>Co-Founder</t>
  </si>
  <si>
    <t>StriderDCT</t>
  </si>
  <si>
    <t>Professional Summary:&lt;/strong&gt;&lt;/p&gt;&lt;p&gt;Mr. Salim is a visionary entrepreneur with over a decade of experience, starting with his tenure at Biocon. He has founded multiple successful ventures, including Symbio Generrics, Spring Bio Solution, and WiStride, demonstrating his market acumen and innovation. His latest venture, StriderDCT, is pioneering decentralized clinical trials.&lt;/p&gt;&lt;p&gt;&lt;br&gt;&lt;/p&gt;Key Areas of Expertise:&lt;/strong&gt;&lt;/p&gt;&lt;ul&gt;&lt;li&gt;Pharma Industry&lt;/li&gt;&lt;li&gt;Market Strategy&lt;/li&gt;&lt;li&gt;Business Development&lt;/li&gt;&lt;li&gt;Clinical Research&lt;/li&gt;&lt;/ul&gt;&lt;p&gt;&lt;br&gt;&lt;/p&gt;Strategic Contributions:&lt;/strong&gt;&lt;/p&gt;&lt;ul&gt;&lt;li&gt;Founder of Symbio Generrics and Spring Bio Solution&lt;/li&gt;&lt;li&gt;Launched WiStride, revolutionizing Pharma B2B platforms&lt;/li&gt;&lt;/ul&gt;&lt;p&gt;&lt;br&gt;&lt;/p&gt;Mentorship Philosophy:&lt;/strong&gt;&lt;/p&gt;&lt;p&gt;Mr. Salim believes in a goal-based approach, mentoring with a focus on challenging the status quo.&lt;/p&gt;&lt;p&gt;&lt;br&gt;&lt;/p&gt;Success Stories:&lt;/strong&gt;&lt;/p&gt;&lt;ul&gt;&lt;li&gt;Symbio Generrics: Economic Times' 'Pharma MSME of the Year' 2022&lt;/li&gt;&lt;li&gt;Winner of 101 Fabulous Healthcare Leaders Award&lt;/li&gt;&lt;li&gt;Entrepreneur of the Year, Institute of Chemical Technology, 2019&lt;/li&gt;&lt;/ul&gt;</t>
  </si>
  <si>
    <t>https://www.linkedin.com/in/salimshaikhsadiq/</t>
  </si>
  <si>
    <t>Salim@wistride.com</t>
  </si>
  <si>
    <t>Angel Investing || Business Model Development || Exit Strategy Planning || Export || Fundraising || Go to Market Strategy || Growth Strategy Formulation || Logistics Management || Market access || Marketing || Organizational Development || Performance Management || Pitch coaching || Sales Strategy || Strategic Planning || Talent Acquisition || Training &amp; Development || Angel Investing || Business Model Development || Exit Strategy Planning || Export || Fundraising || Go to Market Strategy || Growth Strategy Formulation || Logistics Management || Market access || Marketing || Organizational Development || Performance Management || Pitch coaching || Sales Strategy || Strategic Planning || Talent Acquisition || Training &amp; Development || Sales &amp; Business Development</t>
  </si>
  <si>
    <t>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t>
  </si>
  <si>
    <t>Dr. M. Chitra Muthuraman</t>
  </si>
  <si>
    <t>Associate Professor</t>
  </si>
  <si>
    <t>Rishihood University</t>
  </si>
  <si>
    <t>Summary:&lt;/strong&gt;&lt;/p&gt;&lt;p&gt;Mr. Chitra is a seasoned entrepreneur and educator with nearly 24 years of experience in entrepreneurship and teaching. As a co-Founder of Golden Decors India and an Associate Professor at Rishihood University, Mr. Chitra is dedicated to mentoring entrepreneurial students and evaluating business ideas. His expertise in strategic human resource planning and his recognition with the Gold Global Jury Award from the Wadhwani Foundation highlight his commitment to fostering innovation and guiding future leaders in the entrepreneurial space.&lt;/p&gt;&lt;p&gt;&lt;br&gt;&lt;/p&gt;Key Areas of Expertise:&lt;/strong&gt;&lt;/p&gt;&lt;ul&gt;&lt;li&gt;Entrepreneurship Training&lt;/li&gt;&lt;li&gt;Mentoring Students&lt;/li&gt;&lt;li&gt;Strategic Human Resource Planning&lt;/li&gt;&lt;li&gt;Business Idea Evaluation&lt;/li&gt;&lt;/ul&gt;&lt;p&gt;&lt;br&gt;&lt;/p&gt;Strategic Contributions:&lt;/strong&gt;&lt;/p&gt;&lt;ul&gt;&lt;li&gt;Co-founded Golden Decors India, demonstrating a successful entrepreneurial track record.&lt;/li&gt;&lt;li&gt;Contributed to the entrepreneurial education space as an Associate Professor, shaping future leaders.&lt;/li&gt;&lt;li&gt;Evaluated business ideas, providing valuable insights and guidance to emerging entrepreneurs.&lt;/li&gt;&lt;/ul&gt;&lt;p&gt;&lt;br&gt;&lt;/p&gt;Mentorship Philosophy:&lt;/strong&gt;&lt;/p&gt;&lt;p&gt;Mr. Chitra focuses on empowering and mentoring entrepreneurial students through hands-on training and evaluation. He believes in nurturing potential and providing practical insights to help students translate their ideas into successful ventures.&lt;/p&gt;&lt;p&gt;&lt;br&gt;&lt;/p&gt;Success Stories:&lt;/strong&gt;&lt;/p&gt;&lt;ul&gt;&lt;li&gt;Co-Founder of Golden Decors India, contributing to its growth and success.&lt;/li&gt;&lt;li&gt;Awarded the Gold Global Jury Award by the Wadhwani Foundation, recognizing his contributions to entrepreneurship and mentoring.&lt;/li&gt;&lt;li&gt;Actively involved in shaping the next generation of entrepreneurs through his role at Rishihood University.&lt;/li&gt;&lt;/ul&gt;</t>
  </si>
  <si>
    <t>https://www.linkedin.com/in/chitra-muthuraman-851ab715/</t>
  </si>
  <si>
    <t>Sonipat</t>
  </si>
  <si>
    <t>chitramuthuraman@gmail.com</t>
  </si>
  <si>
    <t>Experience is in Academics</t>
  </si>
  <si>
    <t>Business model development</t>
  </si>
  <si>
    <t>Product Management</t>
  </si>
  <si>
    <t>Business Model Development || Market research || Strategic Planning || Business Model Development || Market research || Strategic Planning || Business Model Development || Sales &amp; Business Development</t>
  </si>
  <si>
    <t>Services || Services || Services || Services || Services || Services || Education &amp; Training</t>
  </si>
  <si>
    <t>Dr. Manish Billore</t>
  </si>
  <si>
    <t>AIC - AARTECH &amp; B-Nest Incubation Center</t>
  </si>
  <si>
    <t>Summary: &lt;/strong&gt;&lt;/p&gt;&lt;p&gt;Dr. Manish Billore brings over 26 years of expertise, combining 11+ years in industry roles with global MNCs like Kinetic Honda and DMG Mori Seiki and extensive academic experience. With advanced training in CNC Manufacturing and Metrology, he holds a Post-graduate and Doctorate in Mechanical Engineering from NIT Bhopal. A Chartered Engineer and Fellow of the Institution of Engineers (India), Dr. Billore has been honored with awards such as the 'Air-India Hindustan Times BOLT Award' and 'Rashtriya Vikas Ratna Award.' As a Professor, Principal, and Mentor, he drives academic excellence, industry partnerships, and startup incubation through his roles at AIC-Aartech and B-Nest. His goal is to bridge technology and academia to foster innovation and growth.&lt;/p&gt;&lt;p&gt;&lt;br&gt;&lt;/p&gt;Key Areas of Expertise: &lt;/strong&gt;&lt;/p&gt;&lt;p&gt;CNC Manufacturing, Metrology, Startup Incubation, Manufacturing Processes, Product Managemention Technology, Industrial Engineering.&lt;/p&gt;&lt;p&gt;&lt;br&gt;&lt;/p&gt;Strategic Contributions: &lt;/strong&gt;&lt;/p&gt;&lt;p&gt;Co-Founder of AIC-Aartech and Founding Member of B-Nest incubation centers, involved in enhancing academic quality, Industry-Institute partnerships, and startup incubation.&lt;/p&gt;&lt;p&gt;&lt;br&gt;&lt;/p&gt;Mentorship Philosophy: &lt;/strong&gt;&lt;/p&gt;&lt;p&gt;As a Professor and Principal, he mentors students and professionals, aiming to bridge academia and industry through technological facilitation.&lt;/p&gt;&lt;p&gt;&lt;br&gt;&lt;/p&gt;Success Stories:&amp;nbsp;&lt;/strong&gt;&lt;/p&gt;&lt;p&gt;Received awards like the 'Air-India Hindustan Times BOLT Award' and 'Rashtriya Vikas Ratna Award' highlight his contributions to academia and technology innovation.&lt;/p&gt;</t>
  </si>
  <si>
    <t>https://www.linkedin.com/in/drmanishbillore/</t>
  </si>
  <si>
    <t>Bhopal</t>
  </si>
  <si>
    <t>manishbillore@gmail.com</t>
  </si>
  <si>
    <t>Manufacturing &amp; Manufacturing Tech: Automotive</t>
  </si>
  <si>
    <t>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Business Model Development || Market research || Organizational Development || Training &amp; Development || Sales &amp; Business Development || Entrepreneurship Coaching</t>
  </si>
  <si>
    <t>AI, Big Data &amp; Analytics || AI, Big Data &amp; Analytics || AI, Big Data &amp; Analytics || AI, Big Data &amp; Analytics || Automobiles &amp; Auto Components || Automobiles &amp; Auto Components || Automobiles &amp; Auto Components || Automobiles &amp; Auto Components || Defence &amp; Public Safety || Defence &amp; Public Safety || Defence &amp; Public Safety || Defence &amp; Public Safety || Education &amp; Training || Education &amp; Training || Education &amp; Training || Education &amp; Training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Technology &amp; Innovation || Technology &amp; Innovation || Technology &amp; Innovation || Technology &amp; Innovation || Telecommunications || Telecommunications || Telecommunications || Telecommunications || Transportation &amp; Logistics || Transportation &amp; Logistics || Transportation &amp; Logistics || Transportation &amp; Logistics || AI, Big Data &amp; Analytics || AI, Big Data &amp; Analytics || AI, Big Data &amp; Analytics || AI, Big Data &amp; Analytics || Automobiles &amp; Auto Components || Automobiles &amp; Auto Components || Automobiles &amp; Auto Components || Automobiles &amp; Auto Components || Defence &amp; Public Safety || Defence &amp; Public Safety || Defence &amp; Public Safety || Defence &amp; Public Safety || Education &amp; Training || Education &amp; Training || Education &amp; Training || Education &amp; Training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Technology &amp; Innovation || Technology &amp; Innovation || Technology &amp; Innovation || Technology &amp; Innovation || Telecommunications || Telecommunications || Telecommunications || Telecommunications || Transportation &amp; Logistics || Transportation &amp; Logistics || Transportation &amp; Logistics || Transportation &amp; Logistics || AI, Big Data &amp; Analytics || AI, Big Data &amp; Analytics || AI, Big Data &amp; Analytics || AI, Big Data &amp; Analytics || Automobiles &amp; Auto Components || Automobiles &amp; Auto Components || Automobiles &amp; Auto Components || Automobiles &amp; Auto Components || Defence &amp; Public Safety || Defence &amp; Public Safety || Defence &amp; Public Safety || Defence &amp; Public Safety || Education &amp; Training || Education &amp; Training || Education &amp; Training || Education &amp; Training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Technology &amp; Innovation || Technology &amp; Innovation || Technology &amp; Innovation || Technology &amp; Innovation || Telecommunications || Telecommunications || Telecommunications || Telecommunications || Transportation &amp; Logistics || Transportation &amp; Logistics || Transportation &amp; Logistics || Transportation &amp; Logistics || Manufacturing</t>
  </si>
  <si>
    <t>Nikhil Umesh Jadhav</t>
  </si>
  <si>
    <t>Co-Director</t>
  </si>
  <si>
    <t>Instaheart Foundation</t>
  </si>
  <si>
    <t>Summary&lt;/strong&gt;&lt;/p&gt;&lt;p&gt;Nikhil is a passionate serial entrepreneur with a proven track record of successful ventures, including the acqui-hire of his last startup by Healthians, backed by Yuvraj Singh. His career began as an engineer, transitioning into ITES services, including BPOs and mobile app development strategy. Nikhil excels in leadership roles, leveraging his strength in people management.&amp;nbsp;&lt;/p&gt;&lt;p&gt;&lt;br&gt;&lt;/p&gt;Core Expertise:&lt;/strong&gt;&lt;/p&gt;&lt;ul&gt;&lt;li&gt;&lt;strong&gt;Entrepreneurship&lt;/strong&gt;: Founded Healthy Labs, a healthcare startup acqui-hired by Healthians. Co-founded Apni Sawary in Mumbai, proving the success of the auto-rickshaw aggregation model. This involved on-field coordination, technology setup, alliances, partnerships, and liaising with government agencies.&lt;/li&gt;&lt;li&gt;&lt;strong&gt;Operations&lt;/strong&gt;: Managed inbound customer service and outbound lead generation and sales processes. Worked on Rediff.com’s e-commerce platform, enhancing after-sales service and developing a system for monitoring third-party voice call quality.&lt;/li&gt;&lt;li&gt;&lt;strong&gt;Business Development&lt;/strong&gt;: Transitioned naturally from operations to business development, successfully acquiring new businesses across diverse industries. Developed long-term partnerships for sustainable growth and generated organic growth with existing clients through value additions.&lt;/li&gt;&lt;li&gt;&lt;strong&gt;Alliances and Partnerships&lt;/strong&gt;: Established alliances with auto unions in Mumbai and initiated partnerships with the Mumbai Metro Railway for customer acquisition. Formed a strategic partnership with a payment wallet to enhance service offerings.&lt;/li&gt;&lt;/ul&gt;&lt;p&gt;&lt;br&gt;&lt;/p&gt;Consulting Style:&amp;nbsp;&lt;/strong&gt;&lt;/p&gt;&lt;p&gt;Nikhil believes in empowering startups through hands-on mentorship, leveraging his extensive experience in operations, business development, and entrepreneurship. His approach focuses on building strong teams, fostering customer relationships, and creating sustainable business models. Nikhil’s guidance aims to help startups navigate challenges and achieve long-term success.&lt;/p&gt;</t>
  </si>
  <si>
    <t>https://www.linkedin.com/in/nikkhil-jadhav-l-i-o-n-505a6a15/</t>
  </si>
  <si>
    <t>nikhiljadhav@gmail.com</t>
  </si>
  <si>
    <t>Branding || Business Model Development || Go to Market Strategy || Growth Strategy Formulation || Strategic Planning || Branding || Business Model Development || Go to Market Strategy || Growth Strategy Formulation || Strategic Planning || Branding || Business Model Development || Go to Market Strategy || Growth Strategy Formulation || Strategic Planning || Branding || Business Model Development || Go to Market Strategy || Growth Strategy Formulation || Strategic Planning || Branding || Business Model Development || Go to Market Strategy || Growth Strategy Formulation || Strategic Planning || Branding || Business Model Development || Go to Market Strategy || Growth Strategy Formulation || Strategic Planning || Marketing &amp; Branding || Sales &amp; Business Development</t>
  </si>
  <si>
    <t>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t>
  </si>
  <si>
    <t>Dr. Nandeesh Hiremath</t>
  </si>
  <si>
    <t>Professor &amp; DIRECTOR</t>
  </si>
  <si>
    <t>Kirloskar Institute of Management (KIM)</t>
  </si>
  <si>
    <t>Summary&lt;/strong&gt;&lt;/p&gt;&lt;p&gt;Dr. Nandeesh V. Hiremath is a seasoned techno-management professional with over 33 years of experience in teaching, corporate training, consultancy, and higher education management. He currently serves as Professor &amp;amp; Director at Kirloskar Institute of Management. Previously, he held senior academic and administrative roles at various institutions, including JAGSoM, Vijaybhoomi University, and NSB Academy. Dr. Nandeesh has provided consultancy to international NGOs and received multiple grants and awards. He is actively involved with professional bodies and Rotary International, where he has achieved notable recognition, including two Guinness World Records.&lt;/p&gt;&lt;p&gt;&lt;br&gt;&lt;/p&gt;Core Expertise&lt;/strong&gt;&lt;/p&gt;&lt;ul&gt;&lt;li&gt;Techno-Management&lt;/li&gt;&lt;li&gt;Higher Education Administration&lt;/li&gt;&lt;li&gt;Corporate Training&lt;/li&gt;&lt;li&gt;Consultancy&lt;/li&gt;&lt;li&gt;Research&lt;/li&gt;&lt;li&gt;Start-up Management&lt;/li&gt;&lt;li&gt;HR/Leadership Development&lt;/li&gt;&lt;li&gt;Digital/MOOCs-integrated Learning&lt;/li&gt;&lt;li&gt;Intellectual Property Rights (IPRs)&lt;/li&gt;&lt;/ul&gt;&lt;p&gt;&lt;br&gt;&lt;/p&gt;Problem Solving Approach&lt;/strong&gt;&lt;/p&gt;&lt;p&gt;Dr. Nandeesh employs a multidisciplinary approach combining his expertise in techno-management and higher education to address complex challenges in academia and industry. He integrates technology with management practices to provide practical solutions, especially in start-up management and leadership development.&lt;/p&gt;&lt;p&gt;&lt;br&gt;&lt;/p&gt;Impactful Projects&lt;/strong&gt;&lt;/p&gt;&lt;ul&gt;&lt;li&gt;Consultancy: Provided consultancy to international NGOs and educational institutions.&lt;/li&gt;&lt;li&gt;Grants &amp;amp; Awards: Received grants and awards from various organizations, including CSIR-Govt. of India and Gatsby Foundation-UK.&lt;/li&gt;&lt;li&gt;Professional Associations: Active in various professional bodies, contributing to significant initiatives in HR, leadership, and industry-academic collaborations.&lt;/li&gt;&lt;/ul&gt;&lt;p&gt;&lt;br&gt;&lt;/p&gt;Consulting Style&lt;/strong&gt;&lt;/p&gt;&lt;ul&gt;&lt;li&gt;Leadership Development: Focuses on HR and leadership training.&lt;/li&gt;&lt;li&gt;Start-up Management: Advises on managing and scaling start-ups.&lt;/li&gt;&lt;li&gt;Digital Learning: Utilizes MOOCs and digital tools for integrated learning.&lt;/li&gt;&lt;li&gt;NGO Consultancy: Provides strategic consultancy to NGOs for impactful interventions.&lt;/li&gt;&lt;li&gt;Rotary Involvement: Engages in community service and leadership through Rotary International.&lt;/li&gt;&lt;/ul&gt;&lt;p&gt;&lt;br&gt;&lt;/p&gt;&lt;p&gt;Dr. Nandeesh’s consulting style is characterized by a blend of academic rigor and practical experience, aiming to drive growth and development across various sectors.&lt;/p&gt;</t>
  </si>
  <si>
    <t>https://www.linkedin.com/in/drnandeesh-hiremath-789a5045/</t>
  </si>
  <si>
    <t>drnandeeshvh@gmail.com</t>
  </si>
  <si>
    <t>Organizational Development || Performance Management || Team building || Training &amp; Development || Organizational Development || Performance Management || Team building || Training &amp; Development || Entrepreneurship Coaching || Sales &amp; Business Development</t>
  </si>
  <si>
    <t>Technology &amp; Innovation || Technology &amp; Innovation || Technology &amp; Innovation || Technology &amp; Innovation || Technology &amp; Innovation || Technology &amp; Innovation || Technology &amp; Innovation || Technology &amp; Innovation || Education &amp; Training</t>
  </si>
  <si>
    <t>Dr. Prakash Awade</t>
  </si>
  <si>
    <t xml:space="preserve">B2B Industry sales &amp; marketing expert </t>
  </si>
  <si>
    <t>Summary:&lt;/strong&gt; Dr. Prakash Awade is a distinguished professional with over 24 years of extensive experience in marketing and sales, particularly within the B2B sector. He has worked with leading multinational corporations and government PSUs, honing his expertise in various aspects of business management. Dr. Awade holds multiple degrees, including a PhD in Business Management, and is a published author with research focused on business strategy and technopreneurship innovation.&lt;/p&gt;&lt;p&gt;&lt;br&gt;&lt;/p&gt;Key Areas of Expertise:&lt;/strong&gt;&lt;/p&gt;&lt;ul&gt;&lt;li&gt;Marketing Strategy and Brand Management&lt;/li&gt;&lt;li&gt;B2B Sales and Business Development&lt;/li&gt;&lt;li&gt;Technopreneurship and Innovation&lt;/li&gt;&lt;li&gt;Training and Development&lt;/li&gt;&lt;li&gt;MSME Consulting&lt;/li&gt;&lt;li&gt;Strategic Planning and Execution&lt;/li&gt;&lt;/ul&gt;&lt;p&gt;&lt;br&gt;&lt;/p&gt;Strategic Contributions:&lt;/strong&gt; Dr. Awade has successfully led significant transformations in organizations by implementing innovative strategies that enhance market reach and operational efficiency. He founded a management consulting startup that partnered with MSMEs to promote the "Make in India" initiative, facilitating their entry into national and international markets. His in-house training programs on lubrication applications and distributor growth have significantly improved sales performance in the lubricant sector.&lt;/p&gt;&lt;p&gt;&lt;br&gt;&lt;/p&gt;Mentorship Philosophy:&lt;/strong&gt; Dr. Awade believes in a hands-on, collaborative approach to mentoring, where he actively engages with startups to understand their unique challenges and goals. He emphasizes the importance of practical knowledge and encourages entrepreneurs to leverage innovative strategies to achieve sustainable growth.&lt;/p&gt;&lt;h3 class="ql-align-justify"&gt;&lt;br&gt;&lt;/h3&gt;Success Stories:&lt;/strong&gt; Dr. Awade has mentored several startups in the MSME sector, helping them refine their marketing strategies and improve their sales processes. One notable success involved guiding a startup through its Product Management launch, which resulted in a 150% increase in market penetration within the first year. His mentorship has been instrumental in fostering the growth of multiple businesses by providing tailored insights and actionable strategies.&lt;/p&gt;</t>
  </si>
  <si>
    <t>https://www.linkedin.com/in/dr-prakash-awade-9a901926/</t>
  </si>
  <si>
    <t>prakashawade@gmail.com</t>
  </si>
  <si>
    <t>Sales/GTM: Product pricing</t>
  </si>
  <si>
    <t>Branding || Business Model Development || Go to Market Strategy || Growth Strategy Formulation || Sales Strategy || Strategic Planning || Training &amp; Development || Branding || Business Model Development || Go to Market Strategy || Growth Strategy Formulation || Sales Strategy || Strategic Planning || Training &amp; Development || Branding || Business Model Development || Go to Market Strategy || Growth Strategy Formulation || Sales Strategy || Strategic Planning || Training &amp; Development || Branding || Business Model Development || Go to Market Strategy || Growth Strategy Formulation || Sales Strategy || Strategic Planning || Training &amp; Development || Branding || Business Model Development || Go to Market Strategy || Growth Strategy Formulation || Sales Strategy || Strategic Planning || Training &amp; Development || Branding || Business Model Development || Go to Market Strategy || Growth Strategy Formulation || Sales Strategy || Strategic Planning || Training &amp; Development || Sales &amp; Business Development</t>
  </si>
  <si>
    <t>Automobiles &amp; Auto Components || Automobiles &amp; Auto Components || Automobiles &amp; Auto Components || Automobiles &amp; Auto Components || Automobiles &amp; Auto Components || Automobiles &amp; Auto Components || Automobiles &amp; Auto Components || Education &amp; Training || 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Automobiles &amp; Auto Components || Automobiles &amp; Auto Components || Automobiles &amp; Auto Components || Automobiles &amp; Auto Components || Automobiles &amp; Auto Components || Automobiles &amp; Auto Components || Automobiles &amp; Auto Components || Education &amp; Training || 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Manufacturing || Automotive &amp; Auto Components</t>
  </si>
  <si>
    <t>Fanil Zakhariya</t>
  </si>
  <si>
    <t>Co-Owner</t>
  </si>
  <si>
    <t>SB Tours &amp; Travels</t>
  </si>
  <si>
    <t>Summary&lt;/strong&gt;&lt;/p&gt;&lt;p&gt;Mr. Fanil is a serial entrepreneur with a background in fintech and the travel industry. Has over 6 years of experience in the Indian startup ecosystem, 5 years of conducting internal audits, and 12+ years of practical work experience in travel and tourism. Passionate about making travel accessible and affordable for all, and dedicated to inspiring and mentoring the next generation of entrepreneurs. Public speaker and avid traveler with a knack for comedy.&lt;/p&gt;&lt;p&gt;&lt;br&gt;&lt;/p&gt;Key Areas of Expertise&lt;/strong&gt;&lt;/p&gt;&lt;ul&gt;&lt;li&gt;Entrepreneurship&lt;/li&gt;&lt;li&gt;Travel &amp;amp; Tourism&lt;/li&gt;&lt;li&gt;Internal Audits&lt;/li&gt;&lt;li&gt;Teaching &amp;amp; Training&lt;/li&gt;&lt;li&gt;Public Speaking&lt;/li&gt;&lt;li&gt;Mentorship &amp;amp; Consulting&lt;/li&gt;&lt;li&gt;Innovation in Fintech and Travel Industries&lt;/li&gt;&lt;/ul&gt;&lt;p&gt;&lt;br&gt;&lt;/p&gt;Strategic Contributions&lt;/strong&gt;&lt;/p&gt;&lt;ul&gt;&lt;li&gt;Successfully built a fintech venture&lt;/li&gt;&lt;li&gt;Managed and innovated in a four-decade-old family travel business&lt;/li&gt;&lt;li&gt;Conducted internal audits for 14+ different industries&lt;/li&gt;&lt;li&gt;Developed and delivered practical education in entrepreneurship and travel &amp;amp; tourism&lt;/li&gt;&lt;/ul&gt;&lt;p&gt;&lt;br&gt;&lt;/p&gt;Mentorship Philosophy&lt;/strong&gt;&lt;/p&gt;&lt;p&gt;Believes in inspiring and guiding students and budding entrepreneurs from the ideation stage to scaling up. Uses practical work experience, case studies, and market insights to teach and mentor. Acts as a startup mentor and angel investor, encouraging entrepreneurship as a viable career option.&lt;/p&gt;&lt;p&gt;&lt;br&gt;&lt;/p&gt;Success Stories&lt;/strong&gt;&lt;/p&gt;&lt;ul&gt;&lt;li&gt;FuelConnect, PayCardo, HopBucket, Thought Mania, YogBus, and The Bhaji Hub are among the successful startups mentored&lt;/li&gt;&lt;li&gt;Inspired over 3000 students to pursue entrepreneurship&lt;/li&gt;&lt;li&gt;Delivered impactful sessions at numerous prestigious institutions including Christ University, GH Raisoni Group of Institutions, Symbiosis Institute of Management, Lovely Professional University, Amity University, Ajeenkya DY Patil University, SNS College of Technology&lt;/li&gt;&lt;li&gt;Traveled to 70+ destinations in 12 states of India, enhancing travel experiences and understanding of diverse cultures&lt;/li&gt;&lt;/ul&gt;</t>
  </si>
  <si>
    <t>https://www.linkedin.com/in/fanil-zakhariya-87353162/</t>
  </si>
  <si>
    <t>fanilzakhariya@gmail.com</t>
  </si>
  <si>
    <t>Business Model Development || Corporate Social Responsibility || Customer Service &amp; Retention || Go to Market Strategy || Market research || Prototyping &amp; Testing || Public speaking || Sales Strategy || Business Model Development || Corporate Social Responsibility || Customer Service &amp; Retention || Go to Market Strategy || Market research || Prototyping &amp; Testing || Public speaking || Sales Strategy || Business Model Development || Corporate Social Responsibility || Customer Service &amp; Retention || Go to Market Strategy || Market research || Prototyping &amp; Testing || Public speaking || Sales Strategy || Business Model Development || Corporate Social Responsibility || Customer Service &amp; Retention || Go to Market Strategy || Market research || Prototyping &amp; Testing || Public speaking || Sales Strategy || Entrepreneurship Coaching || Sales &amp; Business Development</t>
  </si>
  <si>
    <t>Education &amp; Training || Education &amp; Training || Education &amp; Training || Education &amp; Training || Education &amp; Training || Education &amp; Training || Education &amp; Training || Education &amp; Training || FinTech || FinTech || FinTech || FinTech || FinTech || FinTech || FinTech || FinTech || Services || Services || Services || Services || Services || Services || Services || Services || Tourism &amp; Hospitality || Tourism &amp; Hospitality || Tourism &amp; Hospitality || Tourism &amp; Hospitality || Tourism &amp; Hospitality || Tourism &amp; Hospitality || Tourism &amp; Hospitality || Tourism &amp; Hospitality || Tourism &amp; Hospitality</t>
  </si>
  <si>
    <t>Gaurav Parulkar</t>
  </si>
  <si>
    <t>Manager</t>
  </si>
  <si>
    <t>IIT Mandi Catalyst</t>
  </si>
  <si>
    <t>Summary&lt;/strong&gt;&lt;/p&gt;&lt;p&gt;Mr. Gaurav has 10 years of industry and professional experience, specializing in helping enterprises and startups scale up by creating unique digital value and turning them into viable, investable business ventures. He is responsible for developing and executing strategies for outreach events, training programs, workshops, mentorship, networking, fundraising, and supporting innovative entrepreneurs and startups.&lt;/p&gt;&lt;p&gt;&lt;br&gt;&lt;/p&gt;Key Areas of Expertise&lt;/strong&gt;&lt;/p&gt;&lt;ul&gt;&lt;li&gt;Startup Mentoring&lt;/li&gt;&lt;li&gt;Digital Value Creation&lt;/li&gt;&lt;li&gt;Digital Business Modeling&lt;/li&gt;&lt;li&gt;Go-To-Market (GTM) Modeling&lt;/li&gt;&lt;/ul&gt;&lt;p&gt;&lt;br&gt;&lt;/p&gt;Strategic Contributions&lt;/strong&gt;&lt;/p&gt;&lt;ul&gt;&lt;li&gt;Developing and executing strategies for outreach events&lt;/li&gt;&lt;li&gt;Organizing training programs and workshops&lt;/li&gt;&lt;li&gt;Providing mentorship and networking opportunities&lt;/li&gt;&lt;li&gt;Assisting with fundraising and supporting innovative entrepreneurs and startups&lt;/li&gt;&lt;/ul&gt;</t>
  </si>
  <si>
    <t>https://www.linkedin.com/in/gaurav-p-4b427820/</t>
  </si>
  <si>
    <t>Mandi</t>
  </si>
  <si>
    <t>gaurav.parulkar@gmail.com</t>
  </si>
  <si>
    <t>97537 36972</t>
  </si>
  <si>
    <t>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Business Model Development || Customer Service &amp; Retention || Digital Marketing || Go to Market Strategy || Market research || Prototyping &amp; Testing || Social Media Marketing || Sales &amp; Business Development || Investing</t>
  </si>
  <si>
    <t>CleanTech || CleanTech || CleanTech || CleanTech || CleanTech || CleanTech || CleanTech || Education &amp; Training || Education &amp; Training || Education &amp; Training || Education &amp; Training || Education &amp; Training || Education &amp; Training || Education &amp; Training || FinTech || FinTech || FinTech || FinTech || FinTech || FinTech || FinTech || Media, Arts &amp; Entertainment || Media, Arts &amp; Entertainment || Media, Arts &amp; Entertainment || Media, Arts &amp; Entertainment || Media, Arts &amp; Entertainment || Media, Arts &amp; Entertainment || Media, Arts &amp; Entertainment || Retail &amp; e-Commerce || Retail &amp; e-Commerce || Retail &amp; e-Commerce || Retail &amp; e-Commerce || Retail &amp; e-Commerce || Retail &amp; e-Commerce || Retail &amp; e-Commerce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CleanTech || CleanTech || CleanTech || CleanTech || CleanTech || CleanTech || CleanTech || Education &amp; Training || Education &amp; Training || Education &amp; Training || Education &amp; Training || Education &amp; Training || Education &amp; Training || Education &amp; Training || FinTech || FinTech || FinTech || FinTech || FinTech || FinTech || FinTech || Media, Arts &amp; Entertainment || Media, Arts &amp; Entertainment || Media, Arts &amp; Entertainment || Media, Arts &amp; Entertainment || Media, Arts &amp; Entertainment || Media, Arts &amp; Entertainment || Media, Arts &amp; Entertainment || Retail &amp; e-Commerce || Retail &amp; e-Commerce || Retail &amp; e-Commerce || Retail &amp; e-Commerce || Retail &amp; e-Commerce || Retail &amp; e-Commerce || Retail &amp; e-Commerce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CleanTech || CleanTech || CleanTech || CleanTech || CleanTech || CleanTech || CleanTech || Education &amp; Training || Education &amp; Training || Education &amp; Training || Education &amp; Training || Education &amp; Training || Education &amp; Training || Education &amp; Training || FinTech || FinTech || FinTech || FinTech || FinTech || FinTech || FinTech || Media, Arts &amp; Entertainment || Media, Arts &amp; Entertainment || Media, Arts &amp; Entertainment || Media, Arts &amp; Entertainment || Media, Arts &amp; Entertainment || Media, Arts &amp; Entertainment || Media, Arts &amp; Entertainment || Retail &amp; e-Commerce || Retail &amp; e-Commerce || Retail &amp; e-Commerce || Retail &amp; e-Commerce || Retail &amp; e-Commerce || Retail &amp; e-Commerce || Retail &amp; e-Commerce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Education &amp; Training</t>
  </si>
  <si>
    <t>Gopal Kalra</t>
  </si>
  <si>
    <t xml:space="preserve">Strategy/ sourcing and channel management </t>
  </si>
  <si>
    <t>Jaina India Private Limited</t>
  </si>
  <si>
    <t>Summary&lt;/strong&gt;&lt;/p&gt;&lt;p&gt;Mr. Gopal, a graduate of Delhi University, has over 25 years of entrepreneurial and professional experience, particularly in the telecom industry. He founded Lemon Mobiles, a feature phone brand with pan-India operations, achieving a top line of INR 200 crore in one year. He later founded Graviti, a smartphone accessories brand, which gained traction but ceased operations due to market misestimations. Currently, Mr. Gopal focuses on professional assignments in telecom and accessories, while studying consumer behavior and business strategies.&lt;/p&gt;&lt;p&gt;&lt;br&gt;&lt;/p&gt;Key Areas of Expertise&lt;/strong&gt;&lt;/p&gt;&lt;ul&gt;&lt;li&gt;Business Strategy&lt;/li&gt;&lt;li&gt;Sales and Distribution Management&lt;/li&gt;&lt;li&gt;Sourcing and Operations&lt;/li&gt;&lt;li&gt;Market Validation&lt;/li&gt;&lt;li&gt;Consumer Behavior&lt;/li&gt;&lt;/ul&gt;&lt;p&gt;&lt;br&gt;&lt;/p&gt;Strategic Contributions&lt;/strong&gt;&lt;/p&gt;&lt;ul&gt;&lt;li&gt;Founded Lemon Mobiles, achieving a top line of INR 200 crore and leading a team of 200 in India and 20 in China&lt;/li&gt;&lt;li&gt;Developed Graviti, a smartphone accessories brand with power banks as the main Product Management&lt;/li&gt;&lt;/ul&gt;&lt;p&gt;&lt;br&gt;&lt;/p&gt;Mentorship Philosophy&lt;/strong&gt;&lt;/p&gt;&lt;p&gt;Focuses on deeply understanding consumer behavior, resource utilization, and effective business strategies&lt;/p&gt;</t>
  </si>
  <si>
    <t>https://www.linkedin.com/in/gopal-kalra-3a301794</t>
  </si>
  <si>
    <t>gopalkalra098@gmail.com</t>
  </si>
  <si>
    <t>Business Model Development || Exit Strategy Planning || Growth Strategy Formulation || Strategic Planning || Business Model Development || Exit Strategy Planning || Growth Strategy Formulation || Strategic Planning || Business Model Development || Exit Strategy Planning || Growth Strategy Formulation || Strategic Planning || Business Model Development || Exit Strategy Planning || Growth Strategy Formulation || Strategic Planning || Business Model Development || Exit Strategy Planning || Growth Strategy Formulation || Strategic Planning || Business Model Development || Exit Strategy Planning || Growth Strategy Formulation || Strategic Planning || Business Model Development || Exit Strategy Planning || Growth Strategy Formulation || Strategic Planning || Business Model Development || Exit Strategy Planning || Growth Strategy Formulation || Strategic Planning || Business Model Development || Exit Strategy Planning || Growth Strategy Formulation || Strategic Planning || Business Model Development || Exit Strategy Planning || Growth Strategy Formulation || Strategic Planning || Business Model Development || Exit Strategy Planning || Growth Strategy Formulation || Strategic Planning || Business Model Development || Exit Strategy Planning || Growth Strategy Formulation || Strategic Planning || Business Model Development || Sales &amp; Business Development</t>
  </si>
  <si>
    <t>Agriculture &amp; Food Processing || Agriculture &amp; Food Processing || Agriculture &amp; Food Processing || Agriculture &amp; Food Processing || Consumer Products || Consumer Products || Consumer Products || Consumer Products || Textiles &amp; Apparel || Textiles &amp; Apparel || Textiles &amp; Apparel || Textiles &amp; Apparel || Tourism &amp; Hospitality || Tourism &amp; Hospitality || Tourism &amp; Hospitality || Tourism &amp; Hospitality || Agriculture &amp; Food Processing || Agriculture &amp; Food Processing || Agriculture &amp; Food Processing || Agriculture &amp; Food Processing || Consumer Products || Consumer Products || Consumer Products || Consumer Products || Textiles &amp; Apparel || Textiles &amp; Apparel || Textiles &amp; Apparel || Textiles &amp; Apparel || Tourism &amp; Hospitality || Tourism &amp; Hospitality || Tourism &amp; Hospitality || Tourism &amp; Hospitality || Agriculture &amp; Food Processing || Agriculture &amp; Food Processing || Agriculture &amp; Food Processing || Agriculture &amp; Food Processing || Consumer Products || Consumer Products || Consumer Products || Consumer Products || Textiles &amp; Apparel || Textiles &amp; Apparel || Textiles &amp; Apparel || Textiles &amp; Apparel || Tourism &amp; Hospitality || Tourism &amp; Hospitality || Tourism &amp; Hospitality || Tourism &amp; Hospitality || Telecommunications</t>
  </si>
  <si>
    <t>Gowri Shankar S</t>
  </si>
  <si>
    <t>SpaceNXT Labs</t>
  </si>
  <si>
    <t>Summary&lt;/strong&gt;&lt;/p&gt;&lt;p&gt;Mr. Gowri Shankar Sivabala is an accomplished academician, international speaker, and entrepreneur with a focus on UAV design, computer-aided design, engineering, sustainability, and manufacturing. With over a decade of experience, he supports startups globally through mentoring and jury roles at platforms such as the National Entrepreneurship Network and University of Bristol. His career spans diverse roles across engineering, education, and community work, and he has collaborated with notable firms like Rolls Royce and Airbus. He is also a distinguished academic with awards and memberships from prestigious institutions.&lt;/p&gt;&lt;p&gt;&lt;br&gt;&lt;/p&gt;Key Areas of Expertise&lt;/strong&gt;&lt;/p&gt;&lt;ul&gt;&lt;li&gt;UAV Design&lt;/li&gt;&lt;li&gt;Computer-Aided Design (CAD)&lt;/li&gt;&lt;li&gt;Engineering&lt;/li&gt;&lt;li&gt;Sustainability&lt;/li&gt;&lt;li&gt;Entrepreneurship&lt;/li&gt;&lt;li&gt;International Relations&lt;/li&gt;&lt;li&gt;Educational Leadership&lt;/li&gt;&lt;/ul&gt;&lt;p&gt;&lt;br&gt;&lt;/p&gt;Strategic Contributions&lt;/strong&gt;&lt;/p&gt;&lt;ul&gt;&lt;li&gt;Mentoring and serving as a global jury at platforms like National Entrepreneurship Network, UKSEDS, StartupTN, and University of Bristol&lt;/li&gt;&lt;li&gt;Supporting the Center for Innovation and Entrepreneurship at UoB and delivering talks for the Careers service&lt;/li&gt;&lt;li&gt;Collaborating on projects for Rolls Royce and Airbus, and pioneering initiatives such as food vlogging and virtual reality airsports in Chennai&lt;/li&gt;&lt;/ul&gt;&lt;p&gt;&lt;br&gt;&lt;/p&gt;Success Stories&lt;/strong&gt;&lt;/p&gt;&lt;ul&gt;&lt;li&gt;Supported the development of over a dozen startups through mentorship and jury roles&lt;/li&gt;&lt;li&gt;Earned accolades including the Distinguished Alumni Award and Special Alumni Community Award&lt;/li&gt;&lt;li&gt;Recognized for contributions to smart cities, UAV R&amp;amp;D, and sustainability initiatives&lt;/li&gt;&lt;/ul&gt;</t>
  </si>
  <si>
    <t>https://www.linkedin.com/in/gowrishankergs</t>
  </si>
  <si>
    <t>United Arab Emirates</t>
  </si>
  <si>
    <t>Dubai</t>
  </si>
  <si>
    <t>gowrishankergs@gmail.com</t>
  </si>
  <si>
    <t>Climate &amp; Sustainability Tech</t>
  </si>
  <si>
    <t>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Organizational Development || Prototyping &amp; Testing || Research Partnerships || Training &amp; Development || UI/UX Design || Entrepreneurship Coaching || Sales &amp; Business Development</t>
  </si>
  <si>
    <t>CleanTech || CleanTech || CleanTech || CleanTech || CleanTech || Industrial Automation &amp; Manufacturing || Industrial Automation &amp; Manufacturing || Industrial Automation &amp; Manufacturing || Industrial Automation &amp; Manufacturing || Industrial Automation &amp; Manufacturing || Others || Others || Others || Others || Others || Services || Services || Services || Services || Services || Transportation &amp; Logistics || Transportation &amp; Logistics || Transportation &amp; Logistics || Transportation &amp; Logistics || Transportation &amp; Logistics || CleanTech || CleanTech || CleanTech || CleanTech || CleanTech || Industrial Automation &amp; Manufacturing || Industrial Automation &amp; Manufacturing || Industrial Automation &amp; Manufacturing || Industrial Automation &amp; Manufacturing || Industrial Automation &amp; Manufacturing || Others || Others || Others || Others || Others || Services || Services || Services || Services || Services || Transportation &amp; Logistics || Transportation &amp; Logistics || Transportation &amp; Logistics || Transportation &amp; Logistics || Transportation &amp; Logistics || CleanTech || CleanTech || CleanTech || CleanTech || CleanTech || Industrial Automation &amp; Manufacturing || Industrial Automation &amp; Manufacturing || Industrial Automation &amp; Manufacturing || Industrial Automation &amp; Manufacturing || Industrial Automation &amp; Manufacturing || Others || Others || Others || Others || Others || Services || Services || Services || Services || Services || Transportation &amp; Logistics || Transportation &amp; Logistics || Transportation &amp; Logistics || Transportation &amp; Logistics || Transportation &amp; Logistics || Spacetech || CleanTech</t>
  </si>
  <si>
    <t>Gurudatt RAO</t>
  </si>
  <si>
    <t>Proprietor</t>
  </si>
  <si>
    <t>EdTeFi Consulting</t>
  </si>
  <si>
    <t>Summary&lt;/strong&gt;:&lt;/p&gt;&lt;p&gt;Mr. Gurudatt is an IIT Bombay and Ohio State University alumnus with a collated experience of 13+ years across different industries. He has been a proponent of applying low-cost innovation to solve the commitments made under the UN Sustainable Developmental Goals of 2015. As a MAARG Mentor (Initiative of Startup India - Government of India) - he works with upcoming and established startups, which are at different stages, to take them to the next level. During his free time, he mentors aspiring graduate student Founders and NGOs working in the fields of healthcare, sanitation, and green initiatives.&amp;nbsp;&lt;/p&gt;&lt;p&gt;&lt;br&gt;&lt;/p&gt;Key Areas of Expertise:&lt;/strong&gt;&lt;/p&gt;&lt;ul&gt;&lt;li&gt;Engineering: Chemical, Materials Science, Electrical &amp;amp; Electronics&lt;/li&gt;&lt;li&gt;Business: Ideation, Strategy, Planning, Operations, Finance,&lt;/li&gt;&lt;/ul&gt;&lt;p&gt;&lt;br&gt;&lt;/p&gt;Strategic Contributions:&lt;/strong&gt;&lt;/p&gt;&lt;p&gt;Mentored 10+ startups in sectors linked to SaaS Solutions (Field of Application - B2C, B2B), IoT Solutions (Field of Application - Waste Management, Agritech, etc.), Material Substitutions&lt;/p&gt;&lt;p&gt;&lt;br&gt;&lt;/p&gt;Mentorship Philosophy: &lt;/strong&gt;Ideate-Iterate-Learn-Repeat&lt;/p&gt;</t>
  </si>
  <si>
    <t>https://www.linkedin.com/in/gurudattrao/</t>
  </si>
  <si>
    <t>gurudattrao@edtefi.co.in
gurudattjrao@gmail.com (Mentor)</t>
  </si>
  <si>
    <t>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Business Model Development || Corporate Social Responsibility || Customer Relationship Management || Customer Service &amp; Retention || E-commerce Management || Fundraising || Go to Market Strategy || Market research || Organizational Development || Pitch coaching || Process Optimization || Product Development || Prototyping &amp; Testing || Sales Strategy || Strategic Planning || Talent Acquisition || Sales &amp; Business Development || Content Strategy</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</si>
  <si>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Education &amp; Training</t>
  </si>
  <si>
    <t>Hari Shankar Shahi</t>
  </si>
  <si>
    <t>Business &amp; Life Coach, Management Consultant, Counsellor &amp; Mentor, Motivational speaker</t>
  </si>
  <si>
    <t>Summary&lt;/strong&gt;&lt;/p&gt;&lt;p&gt;Mr. Hari Shahi is a results-oriented business consultant with extensive experience across diverse industries, including finance, insurance, FMCG, healthcare, and technology. Specializing in branding and distribution, he helps companies identify growth opportunities and implement effective strategies. As a mentor and coach, Mr. Shahi is known for inspiring teams and fostering leadership potential. A passionate writer and speaker, he shares his insights at various platforms and industry events. He is dedicated to developing future business and corporate leaders through consulting, training, and executive coaching.&lt;/p&gt;&lt;p&gt;&lt;br&gt;&lt;/p&gt;Key Areas of Expertise&lt;/strong&gt;&lt;/p&gt;&lt;ul&gt;&lt;li&gt;Branding and Distribution&lt;/li&gt;&lt;li&gt;Business Strategy&lt;/li&gt;&lt;li&gt;Leadership Development&lt;/li&gt;&lt;li&gt;Team Building&lt;/li&gt;&lt;li&gt;Industry Expertise: Finance, Insurance, FMCG, Healthcare, Hospitality, Technology&lt;/li&gt;&lt;/ul&gt;&lt;p&gt;&lt;br&gt;&lt;/p&gt;Strategic Contributions&lt;/strong&gt;&lt;/p&gt;&lt;ul&gt;&lt;li&gt;Helped companies achieve strategic goals and drive growth across multiple industries&lt;/li&gt;&lt;li&gt;Implemented effective solutions for branding and distribution&lt;/li&gt;&lt;/ul&gt;&lt;p&gt;&lt;br&gt;&lt;/p&gt;Mentorship Philosophy&lt;/strong&gt;&lt;/p&gt;&lt;ul&gt;&lt;li&gt;Passionate about developing future business and corporate leaders&lt;/li&gt;&lt;li&gt;Inspires and motivates teams to reach their full potential&lt;/li&gt;&lt;/ul&gt;</t>
  </si>
  <si>
    <t>https://www.linkedin.com/in/hari-shahi/</t>
  </si>
  <si>
    <t>Vadodara</t>
  </si>
  <si>
    <t>hari.1.shahi@gmail.com</t>
  </si>
  <si>
    <t>9936300043, 8394000963</t>
  </si>
  <si>
    <t>Supply Chain</t>
  </si>
  <si>
    <t>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Angel Investing || Branding || Business Model Development || Corporate Social Responsibility || Customer Service &amp; Retention || Digital Marketing || Exit Strategy Planning || Export || Go to Market Strategy || Growth Strategy Formulation || International Market Analysis || Investment Banking || Logistics Management || Market access || Market research || Marketing || Media and PR || Organizational Development || Performance Management || Performance Metrics || Pitch coaching || Pricing Strategy || Process Optimization || Product Development || Public speaking || Research Partnerships || Sales Strategy || Strategic Planning || Supply Chain Management || Talent Acquisition || Technical Support || Training &amp; Development || Sales &amp; Business Development || Business Finance</t>
  </si>
  <si>
    <t>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FinTech || FinTech || FinTech || FinTech || FinTech || FinTech || FinTech || FinTech || FinTech || FinTech || FinTech || FinTech || FinTech || FinTech || FinTech || FinTech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Sports || Sports || Sports || Sports || Sports || Sports || Sports || Sports || Sports || Sports || Sports || Sports || Sports || Sports || Sports || Sports || Sports || Sports || Sports || Sports || Sports || Sports || Sports || Sports || Sports || Sports || Sports || Sports || Sports || Sports || Sports || Sports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Consumer Products​</t>
  </si>
  <si>
    <t>Harsh Deodhar</t>
  </si>
  <si>
    <t>Principal</t>
  </si>
  <si>
    <t>Enrission India Capital Inc.</t>
  </si>
  <si>
    <t>Summary: &lt;/strong&gt;&lt;/p&gt;&lt;p&gt;Mr. Harsh is a serial entrepreneur and venture partner with extensive experience in EdTech and startup advisory. At ah! Ventures, he manages five business verticals and has successfully closed 7 out of 10+ fundraise mandates. Over the past three years, he has built a network of 70+ venture partners across 22 cities. With a background in media and advertising, he has worked with prominent brands including Star TV and Cadburys. His expertise includes investor scouting, startup curation, and fundraising across sectors like Health Tech, AI, and EdTech. He also mentors startups through various global incubation centers.&lt;/p&gt;&lt;p&gt;&lt;br&gt;&lt;/p&gt;Key Areas of Expertise: &lt;/strong&gt;&lt;/p&gt;&lt;ul&gt;&lt;li&gt;EdTech&lt;/li&gt;&lt;li&gt;Venture Capital&lt;/li&gt;&lt;li&gt;Fundraising&lt;/li&gt;&lt;li&gt;Startup Mentorship&lt;/li&gt;&lt;li&gt;Investor Relations&lt;/li&gt;&lt;li&gt;Business Development&lt;/li&gt;&lt;li&gt;Media and Advertising&lt;/li&gt;&lt;/ul&gt;&lt;p&gt;&lt;br&gt;&lt;/p&gt;Strategic Contributions:&lt;/strong&gt;&lt;/p&gt;&lt;ul&gt;&lt;li&gt;Managed 5 business verticals for ah! Ventures.&lt;/li&gt;&lt;li&gt;Led 10+ fundraise mandates and closed 7 deals.&lt;/li&gt;&lt;li&gt;Built a community of 70+ Venture Partners across 22 cities.&lt;/li&gt;&lt;li&gt;Actively involved in investor scouting and curating startups for investors.&lt;/li&gt;&lt;li&gt;Reviewing 50-60 pitch decks monthly and mentoring 3 startups.&lt;/li&gt;&lt;li&gt;Leading fundraising mandates for 6 startups from seed round to series B.&lt;/li&gt;&lt;li&gt;Mentoring at 4 private incubation centers, engaging with over 150 startups.&lt;/li&gt;&lt;/ul&gt;&lt;p&gt;&lt;br&gt;&lt;/p&gt;Mentorship Philosophy: &lt;/strong&gt;&lt;/p&gt;&lt;p&gt;Actively engages with startups through pitch presentations, equity-based mentorship, and investor networks. Focuses on helping startups make informed decisions, supporting them from initial stages to growth phases.&lt;/p&gt;</t>
  </si>
  <si>
    <t>https://www.linkedin.com/in/harshdeodhar/</t>
  </si>
  <si>
    <t>Nashik</t>
  </si>
  <si>
    <t>harshdeodhar@gmail.com</t>
  </si>
  <si>
    <t>Angel Investing || Fundraising || Market access || Market research || Research Partnerships || Angel Investing || Fundraising || Market access || Market research || Research Partnerships || Angel Investing || Fundraising || Market access || Market research || Research Partnerships || Angel Investing || Fundraising || Market access || Market research || Research Partnerships || Angel Investing || Fundraising || Market access || Market research || Research Partnerships || Angel Investing || Fundraising || Market access || Market research || Research Partnerships || Sales &amp; Business Development || Investing</t>
  </si>
  <si>
    <t>Others || Others || Others || Others || Others || Services || Services || Services || Services || Services || Others || Others || Others || Others || Others || Services || Services || Services || Services || Services || Others || Others || Others || Others || Others || Services || Services || Services || Services || Services || Fintech, Banking, Financial Services</t>
  </si>
  <si>
    <t>Himanshu Takkar</t>
  </si>
  <si>
    <t>CBO, Co-Founder</t>
  </si>
  <si>
    <t>LetsMapIt</t>
  </si>
  <si>
    <t>Summary:&amp;nbsp;&lt;/strong&gt;Himanshu is the coFounder of LetsMapIt, a company focused on introducing unique SaaS solutions for retail brands, particularly in the realm of omni-channel marketing. Over the past 12 years, he has collaborated with some of the biggest names in various industries, including Jockey, Mahindra, Hero MotoCorp, Pathkind Labs, Arvind Brands, and Vmart, among others.&amp;nbsp;&lt;/p&gt;&lt;p&gt;&lt;br&gt;&lt;/p&gt;Problem-Solving Approach&lt;/strong&gt;: Himanshu leverages his extensive experience to provide innovative SaaS solutions that enhance omni-channel marketing strategies for retail brands. By focusing on the power of near-me searches, he helps businesses find new customers and grow exponentially. His approach is rooted in understanding the specific needs of each brand and delivering customized solutions that drive results.&amp;nbsp;&lt;/p&gt;&lt;p&gt;&lt;br&gt;&lt;/p&gt;Impactful Projects&lt;/strong&gt;:&amp;nbsp;Collaborated with top brands like Jockey, Mahindra, Hero MotoCorp, Pathkind Labs, Arvind Brands, and Vmart, enhancing their omni-channel marketing efforts.&amp;nbsp;&lt;/p&gt;&lt;p&gt;&lt;br&gt;&lt;/p&gt;&lt;p&gt;Chosen as a Prescreening Council member at Indian Digital Media Awards, Mobile Marketing Association (India, London &amp;amp; Vietnam).&amp;nbsp;&lt;/p&gt;&lt;p&gt;&lt;br&gt;&lt;/p&gt;&lt;p&gt;Trained over 300 local offline businesses, helping them leverage near-me searches to attract new customers and achieve significant growth.&amp;nbsp;&lt;/p&gt;&lt;p&gt;&lt;br&gt;&lt;/p&gt;&lt;p&gt;Selected as a student mentor for MICA (Mudra Institute of Communication, Ahmedabad) students for their Connect the Dots Programme.&amp;nbsp;&lt;/p&gt;&lt;p&gt;&lt;br&gt;&lt;/p&gt;&lt;p&gt;Delivered more than 20 talks on various platforms, including Women’s Entrepreneurs Network, Manzil India, the 21for21dermachallenge, Lions Club, and KCT College (Coimbatore).&amp;nbsp;&lt;/p&gt;&lt;p&gt;&lt;br&gt;&lt;/p&gt;Consultation Style&lt;/strong&gt;: Himanshu’s consultation style is highly engaging and educational. He emphasizes practical, actionable strategies and is committed to helping businesses achieve tangible results. His sessions are tailored to the specific needs of each client, ensuring that they can effectively apply the insights and tools he provides to their unique contexts.&lt;/p&gt;</t>
  </si>
  <si>
    <t>https://www.linkedin.com/in/himansutakkar/</t>
  </si>
  <si>
    <t>himanshu@letsmapit.in</t>
  </si>
  <si>
    <t>Branding || Digital Marketing || Go to Market Strategy || Sales Strategy || Social Media Marketing || Branding || Digital Marketing || Go to Market Strategy || Sales Strategy || Social Media Marketing || Branding || Digital Marketing || Go to Market Strategy || Sales Strategy || Social Media Marketing || Branding || Digital Marketing || Go to Market Strategy || Sales Strategy || Social Media Marketing || Branding || Digital Marketing || Go to Market Strategy || Sales Strategy || Social Media Marketing || Branding || Digital Marketing || Go to Market Strategy || Sales Strategy || Social Media Marketing || Branding || Digital Marketing || Go to Market Strategy || Sales Strategy || Social Media Marketing || Branding || Digital Marketing || Go to Market Strategy || Sales Strategy || Social Media Marketing || Branding || Digital Marketing || Go to Market Strategy || Sales Strategy || Social Media Marketing || Branding || Digital Marketing || Go to Market Strategy || Sales Strategy || Social Media Marketing || Branding || Digital Marketing || Go to Market Strategy || Sales Strategy || Social Media Marketing || Branding || Digital Marketing || Go to Market Strategy || Sales Strategy || Social Media Marketing || Digital Marketing || Sales &amp; Business Development</t>
  </si>
  <si>
    <t>Automobiles &amp; Auto Components || Automobiles &amp; Auto Components || Automobiles &amp; Auto Components || Automobiles &amp; Auto Components || Automobiles &amp; Auto Components || Consumer Products || Consumer Products || Consumer Products || Consumer Products || Consumer Products || Fashion &amp; Beauty || Fashion &amp; Beauty || Fashion &amp; Beauty || Fashion &amp; Beauty || Fashion &amp; Beauty || Media, Arts &amp; Entertainment || Media, Arts &amp; Entertainment || Media, Arts &amp; Entertainment || Media, Arts &amp; Entertainment || Media, Arts &amp; Entertainment || Retail &amp; e-Commerce || Retail &amp; e-Commerce || Retail &amp; e-Commerce || Retail &amp; e-Commerce || Retail &amp; e-Commerce || Transportation &amp; Logistics || Transportation &amp; Logistics || Transportation &amp; Logistics || Transportation &amp; Logistics || Transportation &amp; Logistics || Automobiles &amp; Auto Components || Automobiles &amp; Auto Components || Automobiles &amp; Auto Components || Automobiles &amp; Auto Components || Automobiles &amp; Auto Components || Consumer Products || Consumer Products || Consumer Products || Consumer Products || Consumer Products || Fashion &amp; Beauty || Fashion &amp; Beauty || Fashion &amp; Beauty || Fashion &amp; Beauty || Fashion &amp; Beauty || Media, Arts &amp; Entertainment || Media, Arts &amp; Entertainment || Media, Arts &amp; Entertainment || Media, Arts &amp; Entertainment || Media, Arts &amp; Entertainment || Retail &amp; e-Commerce || Retail &amp; e-Commerce || Retail &amp; e-Commerce || Retail &amp; e-Commerce || Retail &amp; e-Commerce || Transportation &amp; Logistics || Transportation &amp; Logistics || Transportation &amp; Logistics || Transportation &amp; Logistics || Transportation &amp; Logistics || Software &amp; IT Services || Media &amp; Advertising</t>
  </si>
  <si>
    <t>Jigar Sharma</t>
  </si>
  <si>
    <t>Co-Founder &amp; CEO of Gruhfin.com</t>
  </si>
  <si>
    <t>Gruhfin.com</t>
  </si>
  <si>
    <t>Summary:&lt;/strong&gt;&lt;/p&gt;&lt;p&gt;Jigar is a seasoned professional with 22 years of experience, including 15 years in senior roles within the Finance, Loans, Banking, and Real Estate industries. He has a demonstrated history in macro and micro-level sales, strategic marketing, and digital marketing, with a prime focus on end-to-end management, business development, analysis, revenue generation, and profit maximization. Jigar has a comprehensive understanding of branch upgrades and profit and loss accountability, particularly in the real estate and finance sectors.&lt;/p&gt;&lt;p&gt;&lt;br&gt;&lt;/p&gt;Core Expertise:&lt;/strong&gt;&lt;/p&gt;&lt;ul&gt;&lt;li&gt;&lt;strong&gt;Business Strategy and Development:&lt;/strong&gt; Expertise in generating business, contributing significantly to defining and implementing concurrent business strategies that lead to high-impact results.&lt;/li&gt;&lt;li&gt;&lt;strong&gt;Financial and Real Estate Industry:&lt;/strong&gt; Deep knowledge of processes ranging from design to sales, loan sanctioning, and collections recovery.&lt;/li&gt;&lt;li&gt;&lt;strong&gt;Profit Maximization:&lt;/strong&gt; Proven ability to enhance company visibility and profitability, especially in financially distressed units.&lt;/li&gt;&lt;li&gt;&lt;strong&gt;Innovation and Strategic Solutions:&lt;/strong&gt; Skilled in analyzing processes and concepts, providing innovative solutions, and managing projects to improve Product Managementivity, efficiency, and effectiveness.&lt;/li&gt;&lt;li&gt;&lt;strong&gt;Cross-Functional Leadership:&lt;/strong&gt; Experience working in cross-functional team environments with clients and employees from diverse backgrounds and geographies.&lt;/li&gt;&lt;/ul&gt;&lt;p&gt;&lt;br&gt;&lt;/p&gt;Problem-Solving Approach:&lt;/strong&gt;&lt;/p&gt;&lt;p&gt;Jigar excels in devising creative solutions and pragmatic strategies that prioritize utility and business enablement. He focuses on maximizing options for agility and flexibility, allowing businesses to adapt to dynamic market conditions. His approach is centered on translating strategic plans into tangible outcomes, ensuring businesses not only survive but thrive in competitive environments.&lt;/p&gt;&lt;p&gt;&lt;br&gt;&lt;/p&gt;Consultation Style:&lt;/strong&gt;&lt;/p&gt;&lt;p&gt;Jigar's consultation style is collaborative and insightful, with a strong emphasis on strategic thinking and practical application. He is adept at working with diverse teams and stakeholders, leveraging his extensive experience to provide clear guidance and actionable advice. His goal is to empower businesses to achieve their objectives through careful planning, innovative solutions, and effective execution.&lt;/p&gt;</t>
  </si>
  <si>
    <t>https://www.linkedin.com/in/jigar-sharma/</t>
  </si>
  <si>
    <t>jigar.ssharma@gmail.com</t>
  </si>
  <si>
    <t>Go to Market Strategy || Marketing || Sales Strategy || Go to Market Strategy || Marketing || Sales Strategy || Digital Marketing || Sales &amp; Business Development</t>
  </si>
  <si>
    <t>FinTech || FinTech || FinTech || Real Estate &amp; Construction || Real Estate &amp; Construction || Real Estate &amp; Construction || Fintech, Banking, Financial Services || Real Estate &amp; Construction</t>
  </si>
  <si>
    <t>Joy Cheruvathoor</t>
  </si>
  <si>
    <t>Co-Founder &amp; Business Head at GenRev Global</t>
  </si>
  <si>
    <t>GenRev Global</t>
  </si>
  <si>
    <t>Summary:&amp;nbsp;&lt;/strong&gt;&lt;/p&gt;&lt;p&gt;Joy Cheruvathoor is a co-Founder and business head at GenRev Global, a startup that aims to revolutionize the citizen experience with innovative solutions and platforms. He is also a professor at St. Joseph's Institute of Management, where he teaches and designs courses on business ethics, entrepreneurship, innovation, sustainability, and communication for post-graduate students. He is passionate about leveraging technology for education and social impact and has co-chaired several national and international events on IoT, smart cities, and digital transformation.&lt;/p&gt;&lt;p&gt;&lt;br&gt;&lt;/p&gt;Key Areas of Expertise: &lt;/strong&gt;&lt;/p&gt;&lt;ul&gt;&lt;li&gt;Business ethics&lt;/li&gt;&lt;li&gt;Entrepreneurship&lt;/li&gt;&lt;li&gt;Innovation&lt;/li&gt;&lt;li&gt;Sustainability&lt;/li&gt;&lt;li&gt;Communication&lt;/li&gt;&lt;li&gt;Technology for education&lt;/li&gt;&lt;li&gt;Strategic partnerships&lt;/li&gt;&lt;li&gt;Revenue generation&lt;/li&gt;&lt;li&gt;Business transformation&lt;/li&gt;&lt;li&gt;Team management.&lt;/li&gt;&lt;/ul&gt;&lt;p&gt;&lt;br&gt;&lt;/p&gt;Strategic Contributions: &lt;/strong&gt;&lt;/p&gt;&lt;p&gt;Leading business transformation, establishing strategic partnerships, creating new revenue streams, managing high-performing teams, executing large-scale projects in smart cities, telecom, IoT, system integration, and industrial automation.&lt;/p&gt;&lt;p&gt;&lt;br&gt;&lt;/p&gt;Mentorship Philosophy: &lt;/strong&gt;&lt;/p&gt;&lt;p&gt;Passionate about leveraging technology for education and social impact, actively involved in teaching and guiding students in areas like entrepreneurship and innovation.&lt;/p&gt;&lt;p&gt;&lt;br&gt;&lt;/p&gt;Success Stories: &lt;/strong&gt;&lt;/p&gt;&lt;p&gt;Instrumental in winning and executing several large-scale projects for leading companies like L&amp;amp;T, Vodafone, and Tata, valued over $30 million each.&lt;/p&gt;</t>
  </si>
  <si>
    <t>https://www.linkedin.com/in/joycheruvathoor/</t>
  </si>
  <si>
    <t>joyrcheruvathoor@gmail.com</t>
  </si>
  <si>
    <t>Go to Market Strategy || Market access || Market research || Organizational Development || Performance Management || Public speaking || Training &amp; Development || Go to Market Strategy || Market access || Market research || Organizational Development || Performance Management || Public speaking || Training &amp; Development || Go to Market Strategy || Market access || Market research || Organizational Development || Performance Management || Public speaking || Training &amp; Development || Go to Market Strategy || Market access || Market research || Organizational Development || Performance Management || Public speaking || Training &amp; Development || Go to Market Strategy || Market access || Market research || Organizational Development || Performance Management || Public speaking || Training &amp; Development || Go to Market Strategy || Market access || Market research || Organizational Development || Performance Management || Public speaking || Training &amp; Development || Go to Market Strategy || Market access || Market research || Organizational Development || Performance Management || Public speaking || Training &amp; Development || Go to Market Strategy || Market access || Market research || Organizational Development || Performance Management || Public speaking || Training &amp; Development || Sales &amp; Business Development || Marketing &amp; Branding</t>
  </si>
  <si>
    <t>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Services || Services || Services || Services || Services || Services || Services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Services || Services || Services || Services || Services || Services || Services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Software &amp; IT Services</t>
  </si>
  <si>
    <t>Karan Kapoor</t>
  </si>
  <si>
    <t>Owner at Couture Jewellery by Geeta Kapoor &amp; K.K. Enterprises</t>
  </si>
  <si>
    <t>Couture Jewellery by Geeta Kapoor &amp; K.K. Enterprises</t>
  </si>
  <si>
    <t>Summary:&lt;/strong&gt;&lt;/p&gt;&lt;p&gt;Karan Kapoor is a dynamic entrepreneur and advisor with vast experience across nine industries, including Technology, Fintech, Cybersecurity, Green Tech, and more. With a robust career spanning corporate, consulting, and entrepreneurial roles, Karan has founded and managed several successful ventures. His expertise lies in guiding startups from ideation through to market launch and growth, leveraging his extensive background in strategy, fundraising, and business development.&lt;/p&gt;&lt;p&gt;&lt;br&gt;&lt;/p&gt;Core Expertise:&lt;/strong&gt;&lt;/p&gt;&lt;ul&gt;&lt;li&gt;Technology &amp;amp; Innovation: Specializes in disruptive technologies, cybersecurity, and green tech solutions.&lt;/li&gt;&lt;li&gt;Startup Mentorship: Expert in ideation, go-to-market strategies, and business scaling.&lt;/li&gt;&lt;li&gt;Strategic Development: Proficient in identifying growth opportunities, securing funding, and forming strategic partnerships.&lt;/li&gt;&lt;li&gt;Wealth Management: Deep experience in advising family offices, private equity, and wealth management.&lt;/li&gt;&lt;li&gt;Creative Industries: Owner of Couture Jewellery by Geeta Kapoor, focusing on bespoke jewelry design and high craftsmanship.&lt;/li&gt;&lt;/ul&gt;&lt;p&gt;&lt;br&gt;&lt;/p&gt;Problem-Solving Approach:&lt;/strong&gt;&lt;/p&gt;&lt;p&gt;Karan employs a practical, experience-driven methodology to solve industry-specific challenges. His approach is rooted in identifying key opportunities for growth and differentiation while simplifying complex tools and strategies for startup teams. He focuses on actionable insights that align with the unique needs and goals of each business.&lt;/p&gt;&lt;p&gt;&lt;br&gt;&lt;/p&gt;Impactful Projects:&lt;/strong&gt;&lt;/p&gt;&lt;p&gt;Karan has led significant projects across multiple industries, including the establishment of green construction practices and the promotion of eco-friendly technologies. His work in fintech and agritech has brought innovative solutions to market, addressing challenges with scalable, strategic approaches. His ventures, such as Couture Jewellery By Geeta Kapoor, exemplify his ability to blend creativity with business acumen, resulting in timeless, bespoke designs.&lt;/p&gt;&lt;p&gt;&lt;br&gt;&lt;/p&gt;Consultation Style:&lt;/strong&gt;&lt;/p&gt;&lt;p&gt;Karan prefers a hands-on, collaborative consultation style, tailored to the specific needs of the startups he mentors. He engages deeply with Founders to understand their vision and challenges, offering strategic guidance that is both practical and innovative. His sessions focus on actionable strategies, enabling businesses to navigate their growth journey effectively.&lt;/p&gt;</t>
  </si>
  <si>
    <t>https://www.linkedin.com/in/karan-kapoor-59a51929</t>
  </si>
  <si>
    <t>karankapoor00@gmail.com</t>
  </si>
  <si>
    <t>Fundraising || Go to Market Strategy || Growth Strategy Formulation || Fundraising || Go to Market Strategy || Growth Strategy Formulation || Fundraising || Go to Market Strategy || Growth Strategy Formulation || Fundraising || Go to Market Strategy || Growth Strategy Formulation || Fundraising || Go to Market Strategy || Growth Strategy Formulation || Fundraising || Go to Market Strategy || Growth Strategy Formulation || Fundraising || Go to Market Strategy || Growth Strategy Formulation || Fundraising || Go to Market Strategy || Growth Strategy Formulation || Sales &amp; Business Development || Investing</t>
  </si>
  <si>
    <t>Agriculture &amp; Food Processing || Agriculture &amp; Food Processing || Agriculture &amp; Food Processing || Banking &amp; Financial Services || Banking &amp; Financial Services || Banking &amp; Financial Services || FinTech || FinTech || FinTech || Retail &amp; e-Commerce || Retail &amp; e-Commerce || Retail &amp; e-Commerce || Agriculture &amp; Food Processing || Agriculture &amp; Food Processing || Agriculture &amp; Food Processing || Banking &amp; Financial Services || Banking &amp; Financial Services || Banking &amp; Financial Services || FinTech || FinTech || FinTech || Retail &amp; e-Commerce || Retail &amp; e-Commerce || Retail &amp; e-Commerce || Consumer Products​ || Retail &amp; e-Commerce</t>
  </si>
  <si>
    <t>Amit Mishra</t>
  </si>
  <si>
    <t>Dazeinfo Media &amp; Research</t>
  </si>
  <si>
    <t>Summary:&lt;/strong&gt;&lt;/p&gt;&lt;p&gt;Amit is a dynamic leader dedicated to empowering startup entrepreneurs, investors, influencers, and decision-makers to make strategic, data-driven decisions that fuel rapid growth. As a passionate speaker, mentor, and tech enthusiast, he delves into industry trends, challenging the status quo and offering actionable solutions through his insights.&lt;/p&gt;&lt;p&gt;&lt;br&gt;&lt;/p&gt;Core Expertise:&lt;/strong&gt;&lt;/p&gt;&lt;p&gt;Amit specializes in crafting innovative sales and marketing strategies, digital marketing initiatives, and effective sales management. His expertise spans across industries, with a focus on driving client collaborations and fostering impressive results. Amit is also the Founder of Dazeinfo, India's leading business media and&lt;/p&gt;&lt;p&gt;industry intelligence platform, where he has disrupted the business media and research landscape.&lt;/p&gt;&lt;p&gt;&lt;br&gt;&lt;/p&gt;Problem-Solving Approach:&lt;/strong&gt;&lt;/p&gt;&lt;p&gt;With over a decade of global experience and 85,000+ man-hours spent serving brands like LG, Polaris, and ORG Telecom, Amit excels in navigating challenging environments. His approach combines deep industry knowledge with a passion for innovation, enabling him to provide data-rich, in-depth analyses and actionable strategies.&lt;/p&gt;&lt;p&gt;&lt;br&gt;&lt;/p&gt;Impactful Projects:&lt;/strong&gt;&lt;/p&gt;&lt;ul&gt;&lt;li&gt;Pioneered Dazeinfo, a platform known for its unparalleled industry insights and data-driven analyses.&lt;/li&gt;&lt;li&gt;Crafted and executed innovative sales and marketing strategies for global brands across diverse geographies.&lt;/li&gt;&lt;li&gt;Contributed as a columnist, sharing insights that challenge industry norms and offer practical solutions.&lt;/li&gt;&lt;/ul&gt;&lt;p&gt;&lt;br&gt;&lt;/p&gt;Consultation Style:&lt;/strong&gt;&lt;/p&gt;&lt;p&gt;Amit is known for his relentless energy and determination, thriving on challenges and maintaining a positive outlook even in adversity. His extensive travels across the MEA and Asia regions have given him a unique perspective on emerging technologies, which he leverages to drive industry evolution and foster growth.&lt;/p&gt;</t>
  </si>
  <si>
    <t>https://www.linkedin.com/in/amit6060/?originalSubdomain=in</t>
  </si>
  <si>
    <t>amit@dazeinfo.com</t>
  </si>
  <si>
    <t>Growth Strategy Formulation || Growth Strategy Formulation || Growth Strategy Formulation || Growth Strategy Formulation || Sales &amp; Business Development || Social Media Marketing</t>
  </si>
  <si>
    <t>FinTech || FinTech || Retail &amp; e-Commerce || Retail &amp; e-Commerce || FinTech || FinTech || Retail &amp; e-Commerce || Retail &amp; e-Commerce || Media, Arts &amp; Entertainment</t>
  </si>
  <si>
    <t>Gunjan Pai</t>
  </si>
  <si>
    <t>Copylove</t>
  </si>
  <si>
    <t>Summary:&lt;/strong&gt;&lt;/p&gt;&lt;p&gt;Gunjan is a seasoned professional with 23+ years of experience in brand strategy and copywriting. She founded Copylove, a boutique studio focused on brand communication strategies and purpose-led content creation. Gunjan is passionate about sustainability and leads an all-women remote team dedicated to delivering impactful work for a diverse clientele.&lt;/p&gt;&lt;p&gt;&lt;br&gt;&lt;/p&gt;Core Expertise: &lt;/strong&gt;&lt;/p&gt;&lt;ul&gt;&lt;li&gt;Brand Communication Strategy&lt;/li&gt;&lt;li&gt;Purpose-led Copywriting&lt;/li&gt;&lt;li&gt;Content Strategy and&lt;/li&gt;&lt;li&gt;Creation&lt;/li&gt;&lt;li&gt;Remote Team Management&lt;/li&gt;&lt;li&gt;Leadership&lt;/li&gt;&lt;/ul&gt;&lt;p&gt;&lt;br&gt;&lt;/p&gt;Problem Solving Approach:&lt;/strong&gt; Focuses on creating differentiated brand positioning and purpose-driven content. Emphasizes on collaboration and partnerships to deliver high-quality work.&lt;/p&gt;&lt;p&gt;&lt;br&gt;&lt;/p&gt;Impactful Projects: &lt;/strong&gt;Building Copylove as a remote, sustainable company with a focus on purposeful brand communication. Serving multinational corporations, unicorns, leading enterprises, MSMEs, and startups with effective brand strategies and compelling content.&lt;/p&gt;&lt;p&gt;&lt;br&gt;&lt;/p&gt;Consulting Style:&lt;/strong&gt; Values equality, collaboration, and ethical business practices. Creates a safe, creative space for her team and clients, ensuring the best outcomes through dedication and purpose-driven work.&lt;/p&gt;</t>
  </si>
  <si>
    <t>https://www.linkedin.com/in/gunjan-pai-copylove/</t>
  </si>
  <si>
    <t>gunjan@copylove.in</t>
  </si>
  <si>
    <t>Branding || Digital Marketing || Marketing || Organizational Development || Branding || Digital Marketing || Marketing || Organizational Development || Branding || Digital Marketing || Marketing || Organizational Development || Branding || Digital Marketing || Marketing || Organizational Development || Branding || Digital Marketing || Marketing || Organizational Development || Branding || Digital Marketing || Marketing || Organizational Development || Branding || Digital Marketing || Marketing || Organizational Development || Branding || Digital Marketing || Marketing || Organizational Development || Branding || Digital Marketing || Marketing || Organizational Development || Sales &amp; Business Development || Entrepreneurship Coaching</t>
  </si>
  <si>
    <t>Agriculture &amp; Food Processing || Agriculture &amp; Food Processing || Agriculture &amp; Food Processing || Agriculture &amp; Food Processing || Consumer Products || Consumer Products || Consumer Products || Consumer Products || Education &amp; Training || Education &amp; Training || Education &amp; Training || Education &amp; Training || Fashion &amp; Beauty || Fashion &amp; Beauty || Fashion &amp; Beauty || Fashion &amp; Beauty || FinTech || FinTech || FinTech || FinTech || Media, Arts &amp; Entertainment || Media, Arts &amp; Entertainment || Media, Arts &amp; Entertainment || Media, Arts &amp; Entertainment || Services || Services || Services || Services || Textiles &amp; Apparel || Textiles &amp; Apparel || Textiles &amp; Apparel || Textiles &amp; Apparel || Tourism &amp; Hospitality || Tourism &amp; Hospitality || Tourism &amp; Hospitality || Tourism &amp; Hospitality || Media, Arts &amp; Entertainment</t>
  </si>
  <si>
    <t>Dr. Manisha Acharya</t>
  </si>
  <si>
    <t>Founder Director</t>
  </si>
  <si>
    <t>WEneurs™ Forum</t>
  </si>
  <si>
    <t>Summary&lt;/strong&gt;&lt;/p&gt;&lt;p&gt;Dr. Manisha has nearly 22 years of combined experience in Life Sciences Research, the corporate sector, startup mentoring, and incubation and innovation management. She is currently the Project Director at E&amp;amp;Y for the Startup Odisha project and the Founder and director of WEneurs™ Forum, a platform dedicated to supporting women startups. Dr. Manisha has held various leadership positions, including CEO of several incubators and Head of Start-Up Ecosystem Development at ISBA.&lt;/p&gt;&lt;p&gt;&lt;br&gt;&lt;/p&gt;Key Areas of Expertise&lt;/strong&gt;&lt;/p&gt;&lt;ul&gt;&lt;li&gt;Life Sciences Research&lt;/li&gt;&lt;li&gt;Startup Mentoring&lt;/li&gt;&lt;li&gt;Incubation and Innovation Management&lt;/li&gt;&lt;li&gt;Science and Technology Innovation&lt;/li&gt;&lt;li&gt;Ecosystem Development&lt;/li&gt;&lt;li&gt;Women Startups Support&lt;/li&gt;&lt;/ul&gt;&lt;p&gt;&lt;br&gt;&lt;/p&gt;Strategic Contributions&lt;/strong&gt;&lt;/p&gt;&lt;ul&gt;&lt;li&gt;Project Director at E&amp;amp;Y for the Startup Odisha project&lt;/li&gt;&lt;li&gt;Founder and Director of WEneurs™ Forum&lt;/li&gt;&lt;li&gt;CEO of Indigram Labs Foundation and CII Utkal at Utkal University&lt;/li&gt;&lt;li&gt;Head of Start-Up Ecosystem Development at ISBA&lt;/li&gt;&lt;li&gt;Secured best-emerging technology business incubator award from DST, GoI for Indigram Labs&lt;/li&gt;&lt;li&gt;Published papers and articles on innovation, entrepreneurship, and incubation&lt;/li&gt;&lt;li&gt;Invited speaker at national and international forums&lt;/li&gt;&lt;li&gt;Participated in training and cross-learning programs in Taiwan and Silicon Valley&lt;/li&gt;&lt;/ul&gt;&lt;p&gt;&lt;br&gt;&lt;/p&gt;Mentorship Philosophy&lt;/strong&gt;&lt;/p&gt;&lt;p&gt;Dr. Manisha believes in supporting and nurturing startups, with a special focus on women entrepreneurs. Her goal is to foster innovation and create a supportive ecosystem for aspiring entrepreneurs.&lt;/p&gt;&lt;p&gt;&lt;br&gt;&lt;/p&gt;Success Stories&lt;/strong&gt;&lt;/p&gt;&lt;ul&gt;&lt;li&gt;Indigram Labs received the best-emerging technology business incubator award from DST, GoI&lt;/li&gt;&lt;li&gt;Featured in the book “She is,” recognizing 75 outstanding women in STEAM&lt;/li&gt;&lt;li&gt;Awarded the British Chevening Fellowship in Science, Research, and Innovation at the University of Oxford&lt;/li&gt;&lt;li&gt;Nominated by the Government of India to study and network with the Startup Ecosystem at Silicon Valley&lt;/li&gt;&lt;li&gt;Awarded the Best CEO under the Incubator category by ICFA&lt;/li&gt;&lt;li&gt;Awarded the “Miss Innovation Award” in the 5th World Innompics Games 2021&lt;/li&gt;&lt;/ul&gt;</t>
  </si>
  <si>
    <t>https://www.linkedin.com/in/drmanishaacharya/</t>
  </si>
  <si>
    <t>drmanisha1971@gmail.com</t>
  </si>
  <si>
    <t>Business Model Development || Prototyping &amp; Testing || Research Partnerships || Sales Strategy || Business Model Development || Prototyping &amp; Testing || Research Partnerships || Sales Strategy || Business Model Development || Prototyping &amp; Testing || Research Partnerships || Sales Strategy || Entrepreneurship Coaching || Sales &amp; Business Development</t>
  </si>
  <si>
    <t>Agriculture &amp; Food Processing || Agriculture &amp; Food Processing || Agriculture &amp; Food Processing || Agriculture &amp; Food Processing || Pharmaceuticals, Healthcare and Wellness || Pharmaceuticals, Healthcare and Wellness || Pharmaceuticals, Healthcare and Wellness || Pharmaceuticals, Healthcare and Wellness || Services || Services || Services || Services || Pharmaceuticals, Healthcare and Wellness</t>
  </si>
  <si>
    <t>Kritika Soin</t>
  </si>
  <si>
    <t>Founder of KIAH</t>
  </si>
  <si>
    <t>KIAH</t>
  </si>
  <si>
    <t>Summary:&lt;/strong&gt;&lt;/p&gt;&lt;p&gt;Kritika is a Chartered Accountant with a background in corporate experience at PwC, Oswal Woollen Mills, and Pidilite Industries. Transitioning from corporate life, she pursued entrepreneurship with her retail store KIYAH in Jaipur. She is deeply involved in mentoring startups and women entrepreneurs through programs like AIC, Banasthali, StartUp Oasis, and RIICO. Kritika is also an author of two books and passionate about the lifestyle industry.&lt;/p&gt;&lt;p&gt;&lt;br&gt;&lt;/p&gt;Key Areas of Expertise:&lt;/strong&gt;&lt;/p&gt;&lt;ul&gt;&lt;li&gt;Entrepreneurship&lt;/li&gt;&lt;li&gt;Mentoring Startups&lt;/li&gt;&lt;li&gt;Women Entrepreneurship&lt;/li&gt;&lt;li&gt;Lifestyle Industry&lt;/li&gt;&lt;li&gt;Retail Management&lt;/li&gt;&lt;/ul&gt;&lt;p&gt;&lt;br&gt;&lt;/p&gt;Strategic Contributions:&lt;/strong&gt;&lt;/p&gt;&lt;ul&gt;&lt;li&gt;Founded and managed KIYAH, a successful retail store.&lt;/li&gt;&lt;li&gt;Actively mentors startups and women entrepreneurs in various programs.&lt;/li&gt;&lt;li&gt;Contributions to the lifestyle industry and retail management.&lt;/li&gt;&lt;/ul&gt;&lt;p&gt;&lt;br&gt;&lt;/p&gt;Mentorship Philosophy:&lt;/strong&gt;&lt;/p&gt;&lt;ul&gt;&lt;li&gt;Passionate about empowering and mentoring women entrepreneurs.&lt;/li&gt;&lt;li&gt;Engages in structured programs to support startups and aspiring entrepreneurs.&lt;/li&gt;&lt;li&gt;Shares knowledge and experience through mentoring and authorship.&lt;/li&gt;&lt;/ul&gt;</t>
  </si>
  <si>
    <t>https://www.linkedin.com/in/kritika-g-soin-23663b6b/</t>
  </si>
  <si>
    <t>Jaipur</t>
  </si>
  <si>
    <t>kritikagsoin@gmail.com</t>
  </si>
  <si>
    <t>Business Model Development || Market access || Market research || Research Partnerships || Business Model Development || Market access || Market research || Research Partnerships || Business Model Development || Market access || Market research || Research Partnerships || Business Model Development || Market access || Market research || Research Partnerships || Sales &amp; Business Development || Content Strategy</t>
  </si>
  <si>
    <t>Fashion &amp; Beauty || Fashion &amp; Beauty || Fashion &amp; Beauty || Fashion &amp; Beauty || Social Enterprise || Social Enterprise || Social Enterprise || Social Enterprise || Fashion &amp; Beauty || Fashion &amp; Beauty || Fashion &amp; Beauty || Fashion &amp; Beauty || Social Enterprise || Social Enterprise || Social Enterprise || Social Enterprise || Retail &amp; e-Commerce</t>
  </si>
  <si>
    <t>Kumaresh Tirukonda</t>
  </si>
  <si>
    <t>Founder / Chief Sales Officer of Sales Expert Consultancy</t>
  </si>
  <si>
    <t>Sales Expert Consultancy</t>
  </si>
  <si>
    <t>Summary:&amp;nbsp;&lt;/strong&gt;&lt;/p&gt;&lt;p&gt;Mr. Kumaresh, with over 25 years in international sales operations and business development, is a dynamic sales hunter and growth hacker. As the Founder and Chief Sales Officer of Sales as a Service, he excels in lead generation, CRM, and sales strategy. His expertise includes generating and closing deals for IT Product Managements across global markets including the USA, Europe, the Middle East, and Asia-Pacific. Certified in PMP, Oracle BI, DW, SCM, and CRM OnDemand, Mr. Kumaresh has a proven track record of driving significant revenue, including $1.95 million remotely for an event management platform. He is committed to continuous learning and innovation in sales and CRM.&lt;/p&gt;&lt;p&gt;&lt;br&gt;&lt;/p&gt;Key Areas of Expertise: &lt;/strong&gt;&lt;/p&gt;&lt;ul&gt;&lt;li&gt;International sales operations,&lt;/li&gt;&lt;li&gt;Business development,&lt;/li&gt;&lt;li&gt;Project management,&lt;/li&gt;&lt;li&gt;IT sales,&lt;/li&gt;&lt;li&gt;Lead generation,&lt;/li&gt;&lt;li&gt;CRM (Customer Relationship Management),&lt;/li&gt;&lt;li&gt;Sales strategy.&lt;/li&gt;&lt;/ul&gt;&lt;p&gt;&lt;br&gt;&lt;/p&gt;Strategic Contributions: &lt;/strong&gt;&lt;/p&gt;&lt;ul&gt;&lt;li&gt;PMP certified with expertise in Oracle BI, DW, SCM, and CRM OnDemand.&lt;/li&gt;&lt;li&gt;Proven track record in generating and closing deals for IT Product Managements/services globally.&lt;/li&gt;&lt;li&gt;Achieved significant revenue generation remotely for an event management platform in 2021.&lt;/li&gt;&lt;/ul&gt;&lt;p&gt;&lt;br&gt;&lt;/p&gt;Success Stories: &lt;/strong&gt;&lt;/p&gt;&lt;p&gt;Generated 1.95 million revenue remotely for an event management platform in 2021, demonstrating effectiveness in IT sales and CRM expertise.&lt;/p&gt;</t>
  </si>
  <si>
    <t>https://www.linkedin.com/in/kumaresh69</t>
  </si>
  <si>
    <t>kumaresh@salesexpert.in</t>
  </si>
  <si>
    <t>9384873363 / 7397383393</t>
  </si>
  <si>
    <t>Budgeting &amp; Financial Modeling || Business Model Development || Digital Marketing || Organizational Development || Sales Strategy || Tech Strategy &amp; Infrastructure || Budgeting &amp; Financial Modeling || Business Model Development || Digital Marketing || Organizational Development || Sales Strategy || Tech Strategy &amp; Infrastructure || Budgeting &amp; Financial Modeling || Business Model Development || Digital Marketing || Organizational Development || Sales Strategy || Tech Strategy &amp; Infrastructure || Sales &amp; Business Development</t>
  </si>
  <si>
    <t>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Software &amp; IT Services</t>
  </si>
  <si>
    <t>B Gopalakrishnan</t>
  </si>
  <si>
    <t>Business Coach</t>
  </si>
  <si>
    <t>Summary:&lt;/strong&gt; B Gopalakrishnan is an accomplished business leader and multi-faceted thought leader with a 37-year career spanning information technology, office automation, K-12 education, agriculture innovation, entrepreneurship, and ecosystem building. Known for his ability to get things done and deliver results, he excels in gaining buy-in and facilitating cross-functional and cross-disciplinary cooperation.&lt;/p&gt;&lt;p&gt;&lt;br&gt;&lt;/p&gt;Core Expertise: &lt;/strong&gt;Sales &amp;amp; Marketing, Operations, Business Strategy, Innovation, Ecosystem Building&lt;/p&gt;&lt;p&gt;&lt;br&gt;&lt;/p&gt;Problem-Solving Approach:&lt;/strong&gt; Gopalakrishnan is renowned for his practical approach to business challenges, leveraging his extensive experience to implement effective solutions. He believes in the power of collaboration and strategic engagement to drive success.&lt;/p&gt;&lt;p&gt;&lt;br&gt;&lt;/p&gt;Impactful Projects:&lt;/strong&gt; Worked with Samunnati Startup Initiative and Deshpande Startups, gaining the opportunity to collaborate with over 1500 startups. Currently aiding Agritech, Deep tech, Edtech, and Water tech startups in realizing their dreams through deeper and strategic business consultancy.&lt;/p&gt;&lt;p&gt;&lt;br&gt;&lt;/p&gt;Consultation Style:&lt;/strong&gt; "I believe in strategic engagement and hands-on collaboration with startups, providing them with the guidance and support they need to navigate challenges and achieve their goals."&lt;/p&gt;&lt;p&gt;&lt;br&gt;&lt;/p&gt;Career Highlights:&lt;/strong&gt; 37 years of diverse experience across various industries, including IT, office automation, K-12 education, and agriculture innovation. Expertise in starting, running, and growing successful businesses. Seasoned Independent Director and Board Member. Significant contributions to the innovation ecosystem, particularly in working with startups. Gopalakrishnan's commitment to innovation and entrepreneurship, combined with his expertise in sales, marketing, and operations, positions him as a valuable mentor and advisor in the startup ecosystem. His experience with both for-profit and non-profit entities underscores his versatility and dedication to fostering growth and success across diverse sectors.&lt;/p&gt;</t>
  </si>
  <si>
    <t>https://www.linkedin.com/in/bgk/</t>
  </si>
  <si>
    <t>bgk.hcl@gmail.com</t>
  </si>
  <si>
    <t> 9818392109</t>
  </si>
  <si>
    <t>Business Model Development || Go to Market Strategy || Marketing || Sales Strategy || Business Model Development || Go to Market Strategy || Marketing || Sales Strategy || Business Model Development || Go to Market Strategy || Marketing || Sales Strategy || Business Model Development || Go to Market Strategy || Marketing || Sales Strategy || Business Model Development || Go to Market Strategy || Marketing || Sales Strategy || Business Model Development || Go to Market Strategy || Marketing || Sales Strategy || Business Model Development || Go to Market Strategy || Marketing || Sales Strategy || Business Model Development || Go to Market Strategy || Marketing || Sales Strategy || Business Model Development || Go to Market Strategy || Marketing || Sales Strategy || Business Model Development || Go to Market Strategy || Marketing || Sales Strategy || Sales &amp; Business Development || Business Model Development</t>
  </si>
  <si>
    <t>Agriculture &amp; Food Processing || Agriculture &amp; Food Processing || Agriculture &amp; Food Processing || Agriculture &amp; Food Processing || AI, Big Data &amp; Analytics || AI, Big Data &amp; Analytics || AI, Big Data &amp; Analytics || AI, Big Data &amp; Analytics || Education &amp; Training || Education &amp; Training || Education &amp; Training || Education &amp; Training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Agriculture &amp; Food Processing || Agriculture &amp; Food Processing || Agriculture &amp; Food Processing || Agriculture &amp; Food Processing || AI, Big Data &amp; Analytics || AI, Big Data &amp; Analytics || AI, Big Data &amp; Analytics || AI, Big Data &amp; Analytics || Education &amp; Training || Education &amp; Training || Education &amp; Training || Education &amp; Training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Agritech &amp; Food Processing</t>
  </si>
  <si>
    <t>Mahesh Regundwar</t>
  </si>
  <si>
    <t>Regional Sales Head at SEQRITE</t>
  </si>
  <si>
    <t>SEQRITE</t>
  </si>
  <si>
    <t>Summary:&lt;/strong&gt;&amp;nbsp;&lt;/p&gt;&lt;p&gt;Mahesh is a result-oriented sales and business development professional with over 20 years of experience in Telecom/ITeS, Startups, and Operations. Proven track record in driving organizational sales, growth, and profitability, with expertise in strategic leadership and startup management.&lt;/p&gt;&lt;p&gt;&lt;br&gt;&lt;/p&gt;Core Expertise:&amp;nbsp;&lt;/strong&gt;&lt;/p&gt;&lt;ul&gt;&lt;li&gt;Sales Management&lt;/li&gt;&lt;li&gt;Business Development&lt;/li&gt;&lt;li&gt;Startups&lt;/li&gt;&lt;li&gt;Operations Management&lt;/li&gt;&lt;li&gt;Strategic Leadership&lt;/li&gt;&lt;li&gt;Team Building&lt;/li&gt;&lt;li&gt;Marketing Strategy&lt;/li&gt;&lt;li&gt;Technology Solution Sales&lt;/li&gt;&lt;li&gt;Direct/Indirect Selling&lt;/li&gt;&lt;li&gt;Profitability Enhancement.&lt;/li&gt;&lt;/ul&gt;&lt;p&gt;&lt;br&gt;&lt;/p&gt;Problem Solving Approach:&lt;/strong&gt;&lt;/p&gt;&lt;p&gt;Focuses on strategic planning, implementation, and leveraging analytical skills to drive business startup, turnaround, and growth initiatives. Emphasizes compliance with enterprise standards and regulations while impacting the bottom line.&lt;/p&gt;&lt;p&gt;&lt;br&gt;&lt;/p&gt;Impactful Projects:&lt;/strong&gt;&amp;nbsp;&lt;/p&gt;&lt;p&gt;Led successful business startups and turnaround ventures, achieving significant sales growth and profitability. Built and managed top-performing teams to exceed sales and operational goals in Telecom/ITeS and startup environments.&lt;/p&gt;&lt;p&gt;&lt;br&gt;&lt;/p&gt;Consulting Style:&lt;/strong&gt;&lt;/p&gt;&lt;p&gt;Known for a big-picture perspective in sales and operations, with a strategic approach to marketing and technology solution sales. Emphasizes teamwork, customer focus, multitasking ability, and effective leadership to achieve results.&lt;/p&gt;</t>
  </si>
  <si>
    <t>https://www.linkedin.com/in/mahesh-regundwar-05074514</t>
  </si>
  <si>
    <t>mahesh.regundwar@gmail.com</t>
  </si>
  <si>
    <t>Growth Strategy Formulation || Marketing || Sales Strategy || Strategic Planning || Team building || Growth Strategy Formulation || Marketing || Sales Strategy || Strategic Planning || Team building || Sales &amp; Business Development</t>
  </si>
  <si>
    <t>Retail &amp; e-Commerce || Retail &amp; e-Commerce || Retail &amp; e-Commerce || Retail &amp; e-Commerce || Retail &amp; e-Commerce || Retail &amp; e-Commerce || Retail &amp; e-Commerce || Retail &amp; e-Commerce || Retail &amp; e-Commerce || Retail &amp; e-Commerce || Software &amp; IT Services</t>
  </si>
  <si>
    <t>Mahesh Shankar</t>
  </si>
  <si>
    <t>Independent Director at LYNKS LOGISTICS LIMITED | Partner and Chief Financial Officer India region at YCP Auctus</t>
  </si>
  <si>
    <t>LYNKS LOGISTICS LIMITED</t>
  </si>
  <si>
    <t>Summary:&amp;nbsp;&lt;/strong&gt;Mahesh Shankar is a Chartered Accountant with 30 years of experience primarily in manufacturing sectors, including automobile, pharmaceuticals, industrials, consumer electronics, and auto components. He has played a pivotal role in evolving the finance function, bridging the gap between corporate finance and accounting with a strategic approach. His career reflects a commitment to transforming finance roles through integrity, value addition, and innovation.&lt;/p&gt;&lt;p&gt;&lt;br&gt;&lt;/p&gt;Core Expertise&lt;/strong&gt;: Business Planning and Strategy, Systems and Process Improvements, ERP Implementation, Fund and Cost Management, Financial Reporting, Audit and Tax Management, Strategic Finance, Leadership&lt;/p&gt;&lt;p&gt;&lt;br&gt;&lt;/p&gt;Impactful Projects&lt;/strong&gt;: Mahesh has successfully managed and scaled several large brands, including leading finance functions in HP and GE, and later becoming CFO at GE-Triveni and Envision. His strategic insights have enabled him to build trust with JV partners and Board members, and he has consistently applied principles of integrity, business value, and innovation throughout his career.&lt;/p&gt;&lt;p&gt;&lt;br&gt;&lt;/p&gt;Consultation Style&lt;/strong&gt;: Mahesh views mentorship as an opportunity for reciprocal learning and growth. He is passionate about the Indian startup ecosystem and provides guidance and investment to emerging entrepreneurs. His approach combines extensive industry knowledge with a commitment to fostering innovation and strategic thinking in startups.&lt;/p&gt;&lt;p&gt;&lt;br&gt;&lt;/p&gt;Success Stories&lt;/strong&gt;: Mahesh's career highlights include transforming finance functions in large corporations, scaling businesses profitably, and contributing to the growth of the Indian startup ecosystem. His experience in diverse industries and roles has equipped him with a comprehensive understanding of business and finance, making him a valuable mentor and advisor.&lt;/p&gt;</t>
  </si>
  <si>
    <t>https://www.linkedin.com/in/mahesh-shankar-3a28aa16/?originalSubdomain=in</t>
  </si>
  <si>
    <t>mahesh.shankar@cfobridge.com</t>
  </si>
  <si>
    <t>Audit &amp; Compliance || Budgeting &amp; Financial Modeling || Business Model Development || Cost Management || Growth Strategy Formulation || Pricing Strategy || Tax Incentives || Audit &amp; Compliance || Budgeting &amp; Financial Modeling || Business Model Development || Cost Management || Growth Strategy Formulation || Pricing Strategy || Tax Incentives || Audit &amp; Compliance || Budgeting &amp; Financial Modeling || Business Model Development || Cost Management || Growth Strategy Formulation || Pricing Strategy || Tax Incentives || Audit &amp; Compliance || Budgeting &amp; Financial Modeling || Business Model Development || Cost Management || Growth Strategy Formulation || Pricing Strategy || Tax Incentives || Audit &amp; Compliance || Budgeting &amp; Financial Modeling || Business Model Development || Cost Management || Growth Strategy Formulation || Pricing Strategy || Tax Incentives || Audit &amp; Compliance || Budgeting &amp; Financial Modeling || Business Model Development || Cost Management || Growth Strategy Formulation || Pricing Strategy || Tax Incentives || Marketing &amp; Branding || Sales &amp; Business Development</t>
  </si>
  <si>
    <t>Automobiles &amp; Auto Components || Automobiles &amp; Auto Components || Automobiles &amp; Auto Components || Automobiles &amp; Auto Components || Automobiles &amp; Auto Components || Automobiles &amp; Auto Components || Automobiles &amp; Auto Components || Energy &amp; Renewable Resources || Energy &amp; Renewable Resources || Energy &amp; Renewable Resources || Energy &amp; Renewable Resources || Energy &amp; Renewable Resources || Energy &amp; Renewable Resources || Energy &amp; Renewable Resources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Automobiles &amp; Auto Components || Automobiles &amp; Auto Components || Automobiles &amp; Auto Components || Automobiles &amp; Auto Components || Automobiles &amp; Auto Components || Automobiles &amp; Auto Components || Automobiles &amp; Auto Components || Energy &amp; Renewable Resources || Energy &amp; Renewable Resources || Energy &amp; Renewable Resources || Energy &amp; Renewable Resources || Energy &amp; Renewable Resources || Energy &amp; Renewable Resources || Energy &amp; Renewable Resources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Fintech, Banking, Financial Services</t>
  </si>
  <si>
    <t>Mahima Merani</t>
  </si>
  <si>
    <t>Startup Business and Investment Consultant at Lakhani Financial Services</t>
  </si>
  <si>
    <t>Lakhani Financial Services</t>
  </si>
  <si>
    <t>Summary:&lt;/strong&gt;&lt;/p&gt;&lt;p&gt;Mahima is a seasoned startup evangelist with a diverse background in business development, banking, and manufacturing. With a Master’s in Business Administration from NMIMS Mumbai, she has successfully managed and built businesses, and her expertise spans across contract negotiations, strategy execution, and team performance.&lt;/p&gt;&lt;p&gt;&lt;br&gt;&lt;/p&gt;Key Areas of Expertise:&lt;/strong&gt;&lt;/p&gt;&lt;p&gt;Business Development Contract Negotiations Product Management Management Sales and Operations Strategic Planning and Execution Team-Building and Performance Analysis Strategic Contributions: Mahima's career includes significant roles in managing a manufacturing business that supplied major MNCs like ABB and L&amp;amp;T. Her corporate experience spans the banking, power, and manufacturing sectors, where she has applied her skills in developing and executing efficient processes. As a Consultant in Mentoring &amp;amp; Incubation for the iStart initiative, she has provided valuable guidance to startups, contributing to their strategic growth and success.&lt;/p&gt;&lt;p&gt;&lt;br&gt;&lt;/p&gt;Mentorship Philosophy:&lt;/strong&gt;&lt;/p&gt;&lt;p&gt;Mahima believes in fostering startup success through hands-on mentoring and strategic support. She views mentorship as a collaborative process where she shares her expertise while learning from the evolving needs and perspectives of startups. Her approach is centered on practical advice and strategic insights, aimed at empowering entrepreneurs to achieve their business objectives.&lt;/p&gt;&lt;p&gt;&lt;br&gt;&lt;/p&gt;Success Stories:&lt;/strong&gt;&lt;/p&gt;&lt;ul&gt;&lt;li&gt;Managed a successful manufacturing business at Coppersmiths, growing it to supply major MNCs.&lt;/li&gt;&lt;li&gt;Contributed significantly to the iStart initiative, helping numerous startups through strategic mentoring and assessment.&amp;nbsp;&lt;/li&gt;&lt;/ul&gt;</t>
  </si>
  <si>
    <t>https://www.linkedin.com/in/mahima-m-28b702a/</t>
  </si>
  <si>
    <t>mahimamerani@gmail.com</t>
  </si>
  <si>
    <t>Fintech, Banking, Financial Services</t>
  </si>
  <si>
    <t>Business Model Development || Go to Market Strategy || Growth Strategy Formulation || Pitch coaching || Process Optimization || Quality Assurance || Business Model Development || Go to Market Strategy || Growth Strategy Formulation || Pitch coaching || Process Optimization || Quality Assurance || Business Model Development || Go to Market Strategy || Growth Strategy Formulation || Pitch coaching || Process Optimization || Quality Assurance || Business Model Development || Go to Market Strategy || Growth Strategy Formulation || Pitch coaching || Process Optimization || Quality Assurance || Sales &amp; Business Development || Customer Relationship Management</t>
  </si>
  <si>
    <t>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Fintech, Banking, Financial Services</t>
  </si>
  <si>
    <t>Monaliesa Sarkar</t>
  </si>
  <si>
    <t>Pleasuresutra and Dezine Display Solutions Pvt. Ltd.</t>
  </si>
  <si>
    <t>Summary:&lt;/strong&gt;&lt;/p&gt;&lt;p&gt;Monaliesa is a seasoned professional with over 25 years of experience in the branding and marketing industry. She is widely recognized for her expertise and business acumen, which have been instrumental in driving exceptional growth and success in her previous roles. Monaliesa is also the Founder of the Pleasure Sutra Community, an initiative born out of her personal experiences aimed at helping women and men infuse pleasure into every aspect of their lives. She is a mindful life navigator who advocates for embracing pleasure while overcoming societal taboos and challenges to foster a vibrant and uplifting existence.&lt;/p&gt;&lt;p&gt;&lt;br&gt;&lt;/p&gt;Key Areas of Expertise:&lt;/strong&gt;&lt;/p&gt;&lt;ul&gt;&lt;li&gt;Branding&lt;/li&gt;&lt;li&gt;Marketing Strategy&lt;/li&gt;&lt;li&gt;Business Growth&lt;/li&gt;&lt;li&gt;Community Building&lt;/li&gt;&lt;li&gt;Mindful Living&lt;/li&gt;&lt;li&gt;Personal Development&lt;/li&gt;&lt;/ul&gt;&lt;p&gt;&lt;br&gt;&lt;/p&gt;Strategic Contributions:&lt;/strong&gt;&lt;/p&gt;&lt;p&gt;Monaliesa has significantly impacted the branding and marketing landscape with her strategic insights and innovative approaches. In her previous roles, she has led successful campaigns and initiatives that resulted in substantial business growth and brand recognition. Her strategic vision and ability to execute effective marketing strategies have been key drivers in achieving remarkable outcomes. Additionally, through the Pleasure Sutra Community, Monaliesa has created a platform that empowers individuals to navigate societal challenges and embrace pleasure in their daily lives, leading to enhanced well-being and personal fulfillment.&lt;/p&gt;&lt;p&gt;&lt;br&gt;&lt;/p&gt;Mentorship Philosophy:&lt;/strong&gt;&lt;/p&gt;&lt;p&gt;Monaliesa's mentorship philosophy centers on holistic growth and personal well-being. She believes that true success comes from balancing professional achievements with personal fulfillment. As a mentor, Monaliesa guides individuals to integrate pleasure and mindfulness into their lives, helping them navigate societal taboos and challenges. Her approach is grounded in empathy, understanding, and practical wisdom, empowering her mentees to achieve their goals while maintaining a vibrant and uplifting existence.&lt;/p&gt;&lt;p&gt;&lt;br&gt;&lt;/p&gt;Success Stories:&lt;/strong&gt;&lt;/p&gt;&lt;p&gt;One of Monaliesa's notable success stories involves her impact on the Pleasure Sutra Community. By sharing her personal experiences and advocating for the infusion of pleasure into everyday life, she has helped numerous individuals overcome societal taboos and challenges. Her community has empowered men and women to embrace a more fulfilling and vibrant existence, leading to improved mental and emotional well-being.&lt;/p&gt;</t>
  </si>
  <si>
    <t>https://www.linkedin.com/in/monaliesa-sarkar</t>
  </si>
  <si>
    <t>Monaliesa@intimalifewellness.com</t>
  </si>
  <si>
    <t>Branding || Marketing || Sales Strategy || Branding || Marketing || Sales Strategy || Marketing &amp; Branding || Sales &amp; Business Development</t>
  </si>
  <si>
    <t>Pharmaceuticals, Healthcare and Wellness || Pharmaceuticals, Healthcare and Wellness || Pharmaceuticals, Healthcare and Wellness || Retail &amp; e-Commerce || Retail &amp; e-Commerce || Retail &amp; e-Commerce || Pharmaceuticals, Healthcare and Wellness</t>
  </si>
  <si>
    <t>Mrunal Kakkad</t>
  </si>
  <si>
    <t>Project Manager</t>
  </si>
  <si>
    <t>i-Hub Gujarat</t>
  </si>
  <si>
    <t>Entrepreneur and startup ecosystem advocate with expertise in incubation and innovation management at Gujarat Student StartUp &amp; Innovation Hub (i-Hub). Certified in Entrepreneurship Development Programme from Centre for Entrepreneurship Development, Government of Gujarat, he brings practical experience in legal structures, business planning, and startup mentoring across institutional and industrial levels. Co-Founder of Gardenify Services (top 100 startup in Gujarat 2019), he actively mentors startups and drives innovation culture. Skills: Startup Mentoring, Incubation Management, Business Planning, Legal Structures, Marketing Planning, Operations Management, Entrepreneurship Development, Startup Facilitation, Program Coordination, Innovation Management.</t>
  </si>
  <si>
    <t>https://www.linkedin.com/in/mtkakkad</t>
  </si>
  <si>
    <t>mrunalkakkad@gmail.com</t>
  </si>
  <si>
    <t>Branding || Budgeting &amp; Financial Modeling || Business Model Development || Contracts &amp; Agreements || Customer Experience Optimization || Customer Relationship Management || Digital Marketing || Entity Formation || Go to Market Strategy || Government Funding || Growth Strategy Formulation || Market access || Market research || Marketing || Media and PR || Organizational Development || Pitch coaching || Pricing Strategy || Process Optimization || Product Development || Sales Strategy || Social Media Marketing || Software Development || Strategic Planning || Technical Support || Branding || Budgeting &amp; Financial Modeling || Business Model Development || Contracts &amp; Agreements || Customer Experience Optimization || Customer Relationship Management || Digital Marketing || Entity Formation || Go to Market Strategy || Government Funding || Growth Strategy Formulation || Market access || Market research || Marketing || Media and PR || Organizational Development || Pitch coaching || Pricing Strategy || Process Optimization || Product Development || Sales Strategy || Social Media Marketing || Software Development || Strategic Planning || Technical Support || Branding || Budgeting &amp; Financial Modeling || Business Model Development || Contracts &amp; Agreements || Customer Experience Optimization || Customer Relationship Management || Digital Marketing || Entity Formation || Go to Market Strategy || Government Funding || Growth Strategy Formulation || Market access || Market research || Marketing || Media and PR || Organizational Development || Pitch coaching || Pricing Strategy || Process Optimization || Product Development || Sales Strategy || Social Media Marketing || Software Development || Strategic Planning || Technical Support || Branding || Budgeting &amp; Financial Modeling || Business Model Development || Contracts &amp; Agreements || Customer Experience Optimization || Customer Relationship Management || Digital Marketing || Entity Formation || Go to Market Strategy || Government Funding || Growth Strategy Formulation || Market access || Market research || Marketing || Media and PR || Organizational Development || Pitch coaching || Pricing Strategy || Process Optimization || Product Development || Sales Strategy || Social Media Marketing || Software Development || Strategic Planning || Technical Support || Branding || Budgeting &amp; Financial Modeling || Business Model Development || Contracts &amp; Agreements || Customer Experience Optimization || Customer Relationship Management || Digital Marketing || Entity Formation || Go to Market Strategy || Government Funding || Growth Strategy Formulation || Market access || Market research || Marketing || Media and PR || Organizational Development || Pitch coaching || Pricing Strategy || Process Optimization || Product Development || Sales Strategy || Social Media Marketing || Software Development || Strategic Planning || Technical Support || Branding || Budgeting &amp; Financial Modeling || Business Model Development || Contracts &amp; Agreements || Customer Experience Optimization || Customer Relationship Management || Digital Marketing || Entity Formation || Go to Market Strategy || Government Funding || Growth Strategy Formulation || Market access || Market research || Marketing || Media and PR || Organizational Development || Pitch coaching || Pricing Strategy || Process Optimization || Product Development || Sales Strategy || Social Media Marketing || Software Development || Strategic Planning || Technical Support || Branding || Budgeting &amp; Financial Modeling || Business Model Development || Contracts &amp; Agreements || Customer Experience Optimization || Customer Relationship Management || Digital Marketing || Entity Formation || Go to Market Strategy || Government Funding || Growth Strategy Formulation || Market access || Market research || Marketing || Media and PR || Organizational Development || Pitch coaching || Pricing Strategy || Process Optimization || Product Development || Sales Strategy || Social Media Marketing || Software Development || Strategic Planning || Technical Support || Branding || Budgeting &amp; Financial Modeling || Business Model Development || Contracts &amp; Agreements || Customer Experience Optimization || Customer Relationship Management || Digital Marketing || Entity Formation || Go to Market Strategy || Government Funding || Growth Strategy Formulation || Market access || Market research || Marketing || Media and PR || Organizational Development || Pitch coaching || Pricing Strategy || Process Optimization || Product Development || Sales Strategy || Social Media Marketing || Software Development || Strategic Planning || Technical Support || Entrepreneurship Coaching || Sales &amp; Business Development</t>
  </si>
  <si>
    <t>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Others || Others || Others || Others || Others || Others || Others || Others || Others || Others || Others || Others || Others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Services || Services || Services || Services || Services || Services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Education &amp; Training</t>
  </si>
  <si>
    <t>Mukesh Gajjar</t>
  </si>
  <si>
    <t>AVP Integrated Solutions</t>
  </si>
  <si>
    <t>Cygnet Infotech</t>
  </si>
  <si>
    <t>Summary&lt;/strong&gt;&lt;/p&gt;&lt;p&gt;Mr. Mukesh is an accomplished professional with over 21 years of experience in presales, Product Management management, program delivery, and process management. As an Associate Vice President in Presales, he is responsible for bid and proposal management, technical solutioning, and knowledge management. He is TOGAF certified and has expertise in CMMI Development, ISO 9000, and ISO 27000 standards. His specialties include program delivery management, business analysis, and process improvement, with a strong focus on defining and implementing processes. Mr. Mukesh is also an Access Bars Practitioner, highlighting his holistic approach to professional and personal development.&lt;/p&gt;&lt;p&gt;&lt;br&gt;&lt;/p&gt;Core Expertise&lt;/strong&gt;&lt;/p&gt;&lt;ul&gt;&lt;li&gt;Bid/Proposal Management&lt;/li&gt;&lt;li&gt;Technical Solutioning&lt;/li&gt;&lt;li&gt;Program Delivery Management&lt;/li&gt;&lt;li&gt;Process Management (CMMI, ISO 9000, ISO 27000)&lt;/li&gt;&lt;li&gt;Business Analysis&lt;/li&gt;&lt;li&gt;Research &amp;amp; Knowledge Management&lt;/li&gt;&lt;/ul&gt;&lt;p&gt;&lt;br&gt;&lt;/p&gt;Problem Solving Approach&lt;/strong&gt;&lt;/p&gt;&lt;ul&gt;&lt;li&gt;Process Definition &amp;amp; Improvement: Emphasizes defining, training, and implementing processes to enhance efficiency and effectiveness in project delivery.&lt;/li&gt;&lt;li&gt;Technical Solutioning: Leverages deep technical expertise to craft innovative and competitive solutions for bids and proposals.&lt;/li&gt;&lt;/ul&gt;&lt;p&gt;&lt;br&gt;&lt;/p&gt;Impactful Projects&lt;/strong&gt;&lt;/p&gt;&lt;p&gt;Presales Leadership: Successfully led bid and proposal management initiatives, driving the unique selling proposition and contributing to business growth.&lt;/p&gt;</t>
  </si>
  <si>
    <t>https://www.linkedin.com/in/mukesh-gajjar-75b62910/</t>
  </si>
  <si>
    <t>mukesh71277@gmail.com</t>
  </si>
  <si>
    <t>Process Optimization || Research Partnerships || Sales Strategy || Tech Strategy &amp; Infrastructure || Sales &amp; Business Development</t>
  </si>
  <si>
    <t>Technology &amp; Innovation || Technology &amp; Innovation || Technology &amp; Innovation || Technology &amp; Innovation || Software &amp; IT Services</t>
  </si>
  <si>
    <t>Narayana Swaroop</t>
  </si>
  <si>
    <t>Beatroot Finserv Pvt Ltd</t>
  </si>
  <si>
    <t>Summary:&lt;/strong&gt; Narayana Swaroop is a seasoned entrepreneur with over 25 years of experience and a strong track record in building successful teams and organizations. With expertise in strategic planning, market execution, and operational performance, he has been recognized for his innovative thinking and ability to deliver outstanding results. Narayana is currently a Venture Partner at ah! Ventures and has successfully exited two ventures. He is also an active angel investor with a keen eye for identifying and nurturing high-potential startups.&lt;/p&gt;&lt;p&gt;&lt;br&gt;&lt;/p&gt;Core Expertise:&lt;/strong&gt; Narayana's expertise spans across multiple domains, including sales and marketing, business development, talent management, and client servicing. He is particularly skilled in strategic planning, market analysis, account management, and team leadership. His ability to think outside the box has enabled him to increase revenues, establish robust networks, streamline workflows, and foster a collaborative work environment.&lt;/p&gt;&lt;p&gt;&lt;br&gt;&lt;/p&gt;Problem-Solving Approach:&lt;/strong&gt; Narayana’s approach to problem-solving is rooted in strategic thinking and meticulous attention to detail. He believes in identifying key challenges early on and addressing them through innovative solutions that enhance Product Managementivity and drive growth. His leadership style is proactive, ensuring that his teams are always aligned with the organization’s goals and are equipped to tackle any obstacles that may arise.&lt;/p&gt;&lt;p&gt;&lt;br&gt;&lt;/p&gt;Impactful Projects:&lt;/strong&gt; Throughout his career, Narayana has led numerous impactful projects that have significantly contributed to organizational growth and operational efficiency. His efforts in expanding businesses into new markets and optimizing operations have been particularly noteworthy. He has also played a crucial role in establishing strong business partnerships globally, leading cross-functional teams, and fostering relationships with industry leaders.&lt;/p&gt;&lt;p&gt;&lt;br&gt;&lt;/p&gt;Consultation Style:&lt;/strong&gt; Narayana is a highly skilled communicator with exceptional presentation abilities. He engages with startups and businesses by offering strategic guidance that is tailored to their specific needs. His mentorship is characterized by a hands-on approach, where he actively collaborates with teams to ensure that they achieve their objectives. He is passionate about empowering entrepreneurs and is committed to helping them navigate the complexities of scaling their businesses.&lt;/p&gt;&lt;p&gt;&lt;br&gt;&lt;/p&gt;Expertise:&lt;/strong&gt;&lt;/p&gt;&lt;ul&gt;&lt;li&gt;Sales &amp;amp; Marketing&lt;/li&gt;&lt;li&gt;Business Development&lt;/li&gt;&lt;li&gt;Pre-Sales&lt;/li&gt;&lt;li&gt;Talent Management&lt;/li&gt;&lt;li&gt;Social Recruiting&lt;/li&gt;&lt;li&gt;Client Servicing&lt;/li&gt;&lt;li&gt;Relationship Management&lt;/li&gt;&lt;li&gt;Channel Sales&lt;/li&gt;&lt;li&gt;Team Management&lt;/li&gt;&lt;li&gt;Senior Management&lt;/li&gt;&lt;li&gt;P&amp;amp;L Management&lt;/li&gt;&lt;li&gt;Budgetary Management&lt;/li&gt;&lt;li&gt;Operations Management&lt;/li&gt;&lt;li&gt;Executive Management&lt;/li&gt;&lt;li&gt;Cross-Functional Team Leadership&lt;/li&gt;&lt;li&gt;Startup Mentoring&lt;/li&gt;&lt;/ul&gt;&lt;p&gt;Narayana Swaroop's diverse expertise and strategic insights make him a valuable asset to any organization looking to achieve sustainable growth and operational excellence.&lt;/p&gt;</t>
  </si>
  <si>
    <t>https://www.linkedin.com/in/narayanaswaroop/</t>
  </si>
  <si>
    <t>vnswaroop@gmail.com</t>
  </si>
  <si>
    <t>Software &amp; IT Services</t>
  </si>
  <si>
    <t>Angel Investing || Fundraising || Go to Market Strategy || Market research || Marketing || Sales Strategy || Angel Investing || Fundraising || Go to Market Strategy || Market research || Marketing || Sales Strategy || Angel Investing || Fundraising || Go to Market Strategy || Market research || Marketing || Sales Strategy || Angel Investing || Fundraising || Go to Market Strategy || Market research || Marketing || Sales Strategy || Angel Investing || Fundraising || Go to Market Strategy || Market research || Marketing || Sales Strategy || Angel Investing || Fundraising || Go to Market Strategy || Market research || Marketing || Sales Strategy || Sales &amp; Business Development || Investing</t>
  </si>
  <si>
    <t>Automobiles &amp; Auto Components || Automobiles &amp; Auto Components || Automobiles &amp; Auto Components || Automobiles &amp; Auto Components || Automobiles &amp; Auto Components || Automobiles &amp; Auto Components || FinTech || FinTech || FinTech || FinTech || FinTech || FinTech || Automobiles &amp; Auto Components || Automobiles &amp; Auto Components || Automobiles &amp; Auto Components || Automobiles &amp; Auto Components || Automobiles &amp; Auto Components || Automobiles &amp; Auto Components || FinTech || FinTech || FinTech || FinTech || FinTech || FinTech || Automobiles &amp; Auto Components || Automobiles &amp; Auto Components || Automobiles &amp; Auto Components || Automobiles &amp; Auto Components || Automobiles &amp; Auto Components || Automobiles &amp; Auto Components || FinTech || FinTech || FinTech || FinTech || FinTech || FinTech || Software &amp; IT Services || Fintech, Banking, Financial Services</t>
  </si>
  <si>
    <t>Neetu V Bansal</t>
  </si>
  <si>
    <t>Business Mentor and Sales Coach</t>
  </si>
  <si>
    <t>Business Karya</t>
  </si>
  <si>
    <t>Summary:&lt;/strong&gt;&amp;nbsp;&lt;/p&gt;&lt;p&gt;Neetu is a dedicated business coach and mentor with a deep passion for understanding all facets of a business. With extensive experience as a business owner since the age of 17, Neetu brings a wealth of knowledge and firsthand insights to her role. She excels in working closely with business owners, sharing their vision and helping them achieve their goals through hands-on involvement and strategic guidance.&lt;/p&gt;&lt;p&gt;&lt;br&gt;&lt;/p&gt;Core Expertise&lt;/strong&gt;:&lt;/p&gt;&lt;ul&gt;&lt;li&gt;&lt;strong&gt;Business Coaching&lt;/strong&gt;: Providing tailored coaching and mentoring to business owners across various stages, including startups, early-stage, and growth phases.&lt;/li&gt;&lt;li&gt;&lt;strong&gt;Business Analysis&lt;/strong&gt;: In-depth understanding of organizational structure, processes, systems, policies, markets, Product Managements/services, customers, and competitors.&lt;/li&gt;&lt;li&gt;&lt;strong&gt;Strategic Planning&lt;/strong&gt;: Assisting businesses in developing and executing revenue and profit growth strategies.&lt;/li&gt;&lt;li&gt;&lt;strong&gt;Leadership Development&lt;/strong&gt;: Guiding leadership teams to achieve clarity and effectiveness in their roles.&lt;/li&gt;&lt;li&gt;&lt;strong&gt;Mentorship&lt;/strong&gt;: Offering support, education, and inspiration to business owners, helping them navigate challenges and thrive in competitive markets.&lt;/li&gt;&lt;/ul&gt;&lt;p&gt;&lt;br&gt;&lt;/p&gt;Problem-Solving Approach&lt;/strong&gt;:&lt;/p&gt;&lt;p&gt;Neetu's problem-solving approach is hands-on and collaborative. She begins by thoroughly understanding the unique aspects of each business, including its people, processes, and market dynamics. Neetu then works closely with business owners and leadership teams to identify challenges and develop customized strategies to address them. She believes in rolling up her sleeves and getting actively involved in the business, ensuring that solutions are practical and aligned with the organization's vision. Neetu also emphasizes the importance of challenging assumptions and fostering open communication to drive innovation and growth.&lt;/p&gt;&lt;p&gt;&lt;br&gt;&lt;/p&gt;Consultation Style&lt;/strong&gt;:&lt;/p&gt;&lt;p&gt;Neetu's approach involves a combination of mentoring, coaching and training, ensuring that clients receive comprehensive guidance tailored to their specific needs. She uses assessments and templates to bring about clarity of thought and action. She conducts strategic workshops, one-on-one mentoring sessions, and continuous feedback loops to foster a collaborative and open environment. Neetu is committed to helping businesses achieve their grand visions by providing clarity on the what, why, how, when, where, and who of their strategies and tactics, ultimately driving growth and success.&lt;/p&gt;</t>
  </si>
  <si>
    <t>https://www.linkedin.com/in/neetuvbansal/</t>
  </si>
  <si>
    <t>neetu@businesskarya.com</t>
  </si>
  <si>
    <t>Go to Market Strategy || Growth Strategy Formulation || Pricing Strategy || Sales Strategy || Strategic Planning || Go to Market Strategy || Growth Strategy Formulation || Pricing Strategy || Sales Strategy || Strategic Planning || Go to Market Strategy || Growth Strategy Formulation || Pricing Strategy || Sales Strategy || Strategic Planning || Go to Market Strategy || Growth Strategy Formulation || Pricing Strategy || Sales Strategy || Strategic Planning || Go to Market Strategy || Growth Strategy Formulation || Pricing Strategy || Sales Strategy || Strategic Planning || Go to Market Strategy || Growth Strategy Formulation || Pricing Strategy || Sales Strategy || Strategic Planning || Go to Market Strategy || Growth Strategy Formulation || Pricing Strategy || Sales Strategy || Strategic Planning || Go to Market Strategy || Growth Strategy Formulation || Pricing Strategy || Sales Strategy || Strategic Planning || Go to Market Strategy || Growth Strategy Formulation || Pricing Strategy || Sales Strategy || Strategic Planning || Go to Market Strategy || Growth Strategy Formulation || Pricing Strategy || Sales Strategy || Strategic Planning || Go to Market Strategy || Growth Strategy Formulation || Pricing Strategy || Sales Strategy || Strategic Planning || Go to Market Strategy || Growth Strategy Formulation || Pricing Strategy || Sales Strategy || Strategic Planning || Sales &amp; Business Development</t>
  </si>
  <si>
    <t>Automobiles &amp; Auto Components || Automobiles &amp; Auto Components || Automobiles &amp; Auto Components || Automobiles &amp; Auto Components || Automobiles &amp; Auto Components || Fashion &amp; Beauty || Fashion &amp; Beauty || Fashion &amp; Beauty || Fashion &amp; Beauty || Fashion &amp; Beauty || FinTech || FinTech || FinTech || FinTech || FinTech || Industrial Automation &amp; Manufacturing || Industrial Automation &amp; Manufacturing || Industrial Automation &amp; Manufacturing || Industrial Automation &amp; Manufacturing || Industrial Automation &amp; Manufacturing || Retail &amp; e-Commerce || Retail &amp; e-Commerce || Retail &amp; e-Commerce || Retail &amp; e-Commerce || Retail &amp; e-Commerce || Services || Services || Services || Services || Services || Automobiles &amp; Auto Components || Automobiles &amp; Auto Components || Automobiles &amp; Auto Components || Automobiles &amp; Auto Components || Automobiles &amp; Auto Components || Fashion &amp; Beauty || Fashion &amp; Beauty || Fashion &amp; Beauty || Fashion &amp; Beauty || Fashion &amp; Beauty || FinTech || FinTech || FinTech || FinTech || FinTech || Industrial Automation &amp; Manufacturing || Industrial Automation &amp; Manufacturing || Industrial Automation &amp; Manufacturing || Industrial Automation &amp; Manufacturing || Industrial Automation &amp; Manufacturing || Retail &amp; e-Commerce || Retail &amp; e-Commerce || Retail &amp; e-Commerce || Retail &amp; e-Commerce || Retail &amp; e-Commerce || Services || Services || Services || Services || Services || Education &amp; Training</t>
  </si>
  <si>
    <t>Vignesh Narayanan</t>
  </si>
  <si>
    <t>Vice President - Business Head, Media</t>
  </si>
  <si>
    <t>JioAds</t>
  </si>
  <si>
    <t>Summary:&lt;/strong&gt;&lt;/p&gt;&lt;p&gt;Vignesh is a seasoned Ad-tech professional with over 18 years of experience, having held leadership roles across Ad-tech, E-commerce, and Banking sectors. His entrepreneurial approach and global exposure across key markets like India, Southeast Asia, and Europe have shaped him into a key expert in driving market expansion and scaling businesses. Vignesh’s journey began in banking sales before transitioning to E-commerce and eventually finding his niche in Ad-tech, where he has excelled in optimizing ROI from marketing budgets across APAC, EMEA, and LATAM regions.&lt;/p&gt;&lt;p&gt;&lt;br&gt;&lt;/p&gt;Core Expertise:&lt;/strong&gt;&lt;/p&gt;&lt;p&gt;Vignesh specializes in Ad-tech, with a strong focus on digital marketing, strategic media planning, partner development, and media Product Management development. His deep understanding of the media ecosystem, including channels like CTV, DOOH, and mobile, has positioned him as a thought leader in driving innovation and growth in the Ad-tech space. His leadership extends across various functions, including Business, Operations, Product Management, and Engineering, with a proven track record of P&amp;amp;L growth.&lt;/p&gt;&lt;p&gt;&lt;br&gt;&lt;/p&gt;Problem-Solving Approach:&lt;/strong&gt;&lt;/p&gt;&lt;p&gt;Vignesh’s approach to problem-solving is anchored in his ability to identify and address the unsolved challenges within the Ad-tech industry, particularly the need to drive higher ROI from marketing budgets. His strategic mindset, combined with his hands-on experience, allows him to craft solutions that are both innovative and practical. Whether it's building scale, expanding into new markets, or optimizing media partnerships, Vignesh is adept at navigating complex challenges to deliver impactful results.&lt;/p&gt;&lt;p&gt;&lt;br&gt;&lt;/p&gt;Impactful Projects:&lt;/strong&gt;&lt;/p&gt;&lt;p&gt;In his current role as Business Head for JioAds at Jio Platforms, Vignesh is at the helm of building the next Unicorn, overseeing a cross-functional team of 150+ people across India. His leadership has driven significant growth across Digital, Advanced TV, and Offline channels. Previously, as Senior Director at MediaMath, Vignesh led media partnerships for international markets, providing strategic solutions to clients and driving partner development across APAC, EMEA, and LATAM regions. At C1X Inc., he was instrumental in helping online publishers and e-commerce companies monetize their advertising inventory through C1X Header Bidding and Programmatic Direct Solutions.&lt;/p&gt;&lt;p&gt;&lt;br&gt;&lt;/p&gt;Consultation Style:&lt;/strong&gt;&lt;/p&gt;&lt;p&gt;Vignesh is a dynamic and collaborative leader who thrives on building strong relationships with his clients and partners. His consultation style is characterized by a strategic and results-oriented approach, where he works closely with stakeholders to develop customized solutions that drive business growth. Vignesh is known for his ability to inspire and lead highly motivated teams, ensuring that they are aligned with the overall business objectives and are equipped to tackle any challenges that come their way.&lt;/p&gt;</t>
  </si>
  <si>
    <t>https://www.linkedin.com/in/vigneshnar/</t>
  </si>
  <si>
    <t>vignesh2782@gmail.com</t>
  </si>
  <si>
    <t>Go to Market Strategy || Marketing || Sales Strategy || Social Media Marketing || Go to Market Strategy || Marketing || Sales Strategy || Social Media Marketing || Go to Market Strategy || Marketing || Sales Strategy || Social Media Marketing || Go to Market Strategy || Marketing || Sales Strategy || Social Media Marketing || Go to Market Strategy || Marketing || Sales Strategy || Social Media Marketing || Go to Market Strategy || Marketing || Sales Strategy || Social Media Marketing || Sales &amp; Business Development</t>
  </si>
  <si>
    <t>Banking &amp; Financial Services || Banking &amp; Financial Services || Banking &amp; Financial Services || Banking &amp; Financial Services || FinTech || FinTech || FinTech || FinTech || Retail &amp; e-Commerce || Retail &amp; e-Commerce || Retail &amp; e-Commerce || Retail &amp; e-Commerce || Banking &amp; Financial Services || Banking &amp; Financial Services || Banking &amp; Financial Services || Banking &amp; Financial Services || FinTech || FinTech || FinTech || FinTech || Retail &amp; e-Commerce || Retail &amp; e-Commerce || Retail &amp; e-Commerce || Retail &amp; e-Commerce || Media, Arts &amp; Entertainment</t>
  </si>
  <si>
    <t>Dr. Inv. Shivakiran Makam</t>
  </si>
  <si>
    <t>Chief Academics and Innovation Officer</t>
  </si>
  <si>
    <t>Healthcare Global Enterprises Limited</t>
  </si>
  <si>
    <t>Summary&lt;/strong&gt;&lt;/p&gt;&lt;p&gt;Mr. Shivakiran is an innovator and startup ecosystem enabler with a focus on affordable healthcare, rural entrepreneurship, and strategic growth. He is currently the Chief Academics and Innovation Officer at Healthcare Global Enterprises Ltd (HCG Oncology) and has served as Co-Chair and Taskforce member of Startup20 for the G20 in 2023, representing India's incubator ecosystem at the G20 summit in Brazil in 2024. As CEO at AIC-SKU, he promoted startups in agriculture, food processing, and renewable energy sectors, aiming for self-employment and sustainable economic growth. He also advises institutions on incubator ecosystems, Product Management design, and research, and is the Director of Strategy and Collaboration at Section Infin8 Foundation, Mangalore.&lt;/p&gt;&lt;p&gt;&lt;br&gt;&lt;/p&gt;Key Areas of Expertise&lt;/strong&gt;&lt;/p&gt;&lt;ul&gt;&lt;li&gt;Leadership Development&lt;/li&gt;&lt;li&gt;Business Consulting&lt;/li&gt;&lt;li&gt;Strategic Planning&lt;/li&gt;&lt;li&gt;Research Skills&lt;/li&gt;&lt;li&gt;Grant Writing&lt;/li&gt;&lt;/ul&gt;&lt;p&gt;&lt;br&gt;&lt;/p&gt;Strategic Contributions&lt;/strong&gt;&lt;/p&gt;&lt;ul&gt;&lt;li&gt;Led AIC-SKU to promote startups in Agri, Food Processing, and Renewable Energy&lt;/li&gt;&lt;li&gt;Developed low-cost animal feed, sewage water cleanup technologies, and solar-based mobile fridges&lt;/li&gt;&lt;li&gt;Founded VTBI (Section 8 company)&lt;/li&gt;&lt;li&gt;Represented India's incubator ecosystem at G20 in Brazil, 2024&lt;/li&gt;&lt;/ul&gt;&lt;p&gt;&lt;br&gt;&lt;/p&gt;Mentorship Philosophy&lt;/strong&gt;&lt;/p&gt;&lt;ul&gt;&lt;li&gt;Supports agro-based businesses and waste-to-value innovations&lt;/li&gt;&lt;li&gt;Focuses on empowering startups and economic development through innovation&lt;/li&gt;&lt;/ul&gt;&lt;p&gt;&lt;br&gt;&lt;/p&gt;</t>
  </si>
  <si>
    <t>https://www.linkedin.com/in/dr-inv-shivakiran-makam-5006a350</t>
  </si>
  <si>
    <t>shivakiran@sectioninfin8.org
shivasaimsk@gmail.com</t>
  </si>
  <si>
    <t>Business Model Development || Government Funding || Intellectual Property Rights || Pitch coaching || Product Development || Research Partnerships || Strategic Planning || Tech Strategy &amp; Infrastructure || Business Model Development || Government Funding || Intellectual Property Rights || Pitch coaching || Product Development || Research Partnerships || Strategic Planning || Tech Strategy &amp; Infrastructure || Business Model Development || Government Funding || Intellectual Property Rights || Pitch coaching || Product Development || Research Partnerships || Strategic Planning || Tech Strategy &amp; Infrastructure || Business Model Development || Government Funding || Intellectual Property Rights || Pitch coaching || Product Development || Research Partnerships || Strategic Planning || Tech Strategy &amp; Infrastructure || Sales &amp; Business Development || Investing</t>
  </si>
  <si>
    <t>Agriculture &amp; Food Processing || Agriculture &amp; Food Processing || Agriculture &amp; Food Processing || Agriculture &amp; Food Processing || Agriculture &amp; Food Processing || Agriculture &amp; Food Processing || Agriculture &amp; Food Processing || Agriculture &amp; Food Processing || CleanTech || CleanTech || CleanTech || CleanTech || CleanTech || CleanTech || CleanTech || CleanTech || Energy &amp; Renewable Resources || Energy &amp; Renewable Resources || Energy &amp; Renewable Resources || Energy &amp; Renewable Resources || Energy &amp; Renewable Resources || Energy &amp; Renewable Resources || Energy &amp; Renewable Resources || Energy &amp; Renewable Resources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Education &amp; Training</t>
  </si>
  <si>
    <t>Charu Chawla</t>
  </si>
  <si>
    <t>GM - Marketing</t>
  </si>
  <si>
    <t>HT Media Ltd</t>
  </si>
  <si>
    <t>Summary:&lt;/strong&gt;&amp;nbsp;Charu is a passionate and accomplished marketing professional with 16 years of expertise in driving creative and innovative marketing solutions. Her extensive experience spans brand building, communication strategies, and revenue-support initiatives, with a strong focus on both online and offline platforms. As a proven leader, she excels in team building, stakeholder management, and executing strategic roadmaps to achieve organizational goals.&lt;/p&gt;&lt;p&gt;&lt;br&gt;&lt;/p&gt;Core Expertise:&amp;nbsp;&lt;/strong&gt;Charu's areas of expertise include brand development, marketing strategy, social media and digital strategy, campaign management, content planning, Product Management launches, and resource optimization. She is adept at leading high-performance marketing teams and delivering measurable business results. Her expertise extends to ad/event innovation, PR, revenue enablement, and stakeholder communication.&lt;/p&gt;&lt;p&gt;&lt;br&gt;&lt;/p&gt;Problem-Solving Approach:&lt;/strong&gt;&amp;nbsp;Charu employs a strategic and data-driven approach to marketing, focusing on identifying key performance areas and optimizing processes to align with business goals. She monitors market trends and competitors, ensuring the company's marketing efforts remain cutting-edge and relevant. She is a strong believer in marketing and brand-building efforts, with a strong focus on improving revenue &amp;amp; building sustainable businesses.&amp;nbsp;&amp;nbsp;Through collaborative leadership, Charu has successfully driven cross-functional teams to enable revenue generation and cost reduction.&lt;/p&gt;&lt;p&gt;&lt;br&gt;&lt;/p&gt;Impactful Projects:&lt;/strong&gt;&lt;/p&gt;&lt;ul&gt;&lt;li&gt;As General Manager - Marketing at HT Media Ltd., Charu has led the Hindustan Times brand to achieve significant milestones, enhancing brand awareness (TOM, NPS for print) and expanding the digital portfolio. She spearheaded 360-degree strategic initiatives, Product Management innovations, and operational optimization to support revenue growth. She was instrumental in HT's re-positioning campaign. As part of HT Media Ltd. she has also launched&amp;nbsp;slurry.com&amp;nbsp;(and app), with a focus on brand building &amp;amp; unique users.&lt;/li&gt;&lt;li&gt;Her work at Future Retail, Network 18, and the Times of India group provided her with a broad range of experience managing large-scale marketing campaigns, launching Product Managements, and building strong brands in highly competitive environments. This also enabled her to understand the use &amp;amp; potential of different&amp;nbsp;&amp;nbsp;media platforms for different services/businesses and various TG's&amp;nbsp;&lt;/li&gt;&lt;li&gt;Her experience in hospitality sales (The Oberoi Group) and the start of her career provided her with a unique understanding of the customer journey, sales cycle, and the importance of sales enablement.&amp;nbsp;&lt;/li&gt;&lt;/ul&gt;&lt;p&gt;&lt;br&gt;&lt;/p&gt;Consultation Style:&amp;nbsp;&lt;/strong&gt;Charu thrives in dynamic, fast-paced settings where she can collaborate with diverse teams to drive marketing innovation. She is dedicated to building strategic, results-oriented marketing roadmaps and ensuring alignment across all business functions for impactful outcomes.&lt;/p&gt;</t>
  </si>
  <si>
    <t>https://www.linkedin.com/in/chawlacharu</t>
  </si>
  <si>
    <t>chawlacharu9@gmail.com</t>
  </si>
  <si>
    <t>Branding || Marketing || Branding || Marketing || Branding || Marketing || Branding || Marketing || Marketing &amp; Branding || Sales &amp; Business Development</t>
  </si>
  <si>
    <t>Media, Arts &amp; Entertainment || Media, Arts &amp; Entertainment || Retail &amp; e-Commerce || Retail &amp; e-Commerce || Media, Arts &amp; Entertainment || Media, Arts &amp; Entertainment || Retail &amp; e-Commerce || Retail &amp; e-Commerce || Media, Arts &amp; Entertainment || Retail &amp; e-Commerce</t>
  </si>
  <si>
    <t>Prakash Balasubramanian</t>
  </si>
  <si>
    <t>Co-Founder &amp; CEO</t>
  </si>
  <si>
    <t>18startup, Rydo</t>
  </si>
  <si>
    <t>Summary:&lt;/strong&gt;&lt;/p&gt;&lt;p&gt;Mr. Prakash is a dedicated social entrepreneur and angel investor with 25 years of experience across diverse industries, including manufacturing, banking, logistics, and technology. His career spans roles in engineering, sales, operations, finance, and strategy. As the Founder of Rydo, a ride-hailing platform for auto-rickshaws, and co-Founder of 18startup, he is committed to empowering aspiring entrepreneurs and improving financial inclusion for auto driver households. His journey reflects a passion for continuous learning, impactful service, and supporting students in gaining entrepreneurial insights.&lt;/p&gt;&lt;p&gt;&lt;br&gt;&lt;/p&gt;Key Areas of Expertise:&lt;/strong&gt;&lt;/p&gt;&lt;ul&gt;&lt;li&gt;&lt;strong&gt;Entrepreneurship Development&lt;/strong&gt;: Building entrepreneurial capacity and supporting student entrepreneurs.&lt;/li&gt;&lt;li&gt;&lt;strong&gt;Social Entrepreneurship&lt;/strong&gt;: Founding and managing initiatives like Rydo for socio-economic impact.&lt;/li&gt;&lt;li&gt;&lt;strong&gt;Corporate Experience&lt;/strong&gt;: Extensive background in engineering, sales, operations, finance, and strategy.&lt;/li&gt;&lt;li&gt;&lt;strong&gt;Angel Investing&lt;/strong&gt;: Investing in and mentoring emerging startups.&lt;/li&gt;&lt;li&gt;&lt;strong&gt;Writing and Public Speaking&lt;/strong&gt;: Authored "Ranjan and his Many Lives" and participated in media projects.&lt;/li&gt;&lt;/ul&gt;&lt;p&gt;&lt;br&gt;&lt;/p&gt;Strategic Contributions:&lt;/strong&gt;&lt;/p&gt;&lt;ul&gt;&lt;li&gt;&lt;strong&gt;Rydo&lt;/strong&gt;: Launched a ride-hailing platform using auto-rickshaws to support financial inclusion for auto driver households.&lt;/li&gt;&lt;li&gt;&lt;strong&gt;18startup&lt;/strong&gt;: Co-founded an initiative to enhance entrepreneurial skills among college students.&lt;/li&gt;&lt;li&gt;&lt;strong&gt;Corporate Roles&lt;/strong&gt;: Contributed to various sectors through strategic roles in companies like Gmmco, Atlas Copco, and ICICI Bank.&lt;/li&gt;&lt;/ul&gt;&lt;p&gt;&lt;br&gt;&lt;/p&gt;Mentorship Philosophy:&lt;/strong&gt;&lt;/p&gt;&lt;p&gt;Mr. Prakash believes in lifelong learning and adding value through consistent initiative. His approach focuses on building supportive communities for aspiring entrepreneurs and leveraging his diverse experience to provide practical insights and guidance.&lt;/p&gt;</t>
  </si>
  <si>
    <t>https://www.linkedin.com/in/prakash-balasubramanian-iyer/</t>
  </si>
  <si>
    <t>Goa</t>
  </si>
  <si>
    <t>bp@18startup.com</t>
  </si>
  <si>
    <t>Business Model Development || Fundraising || Growth Strategy Formulation || Market research || Pricing Strategy || Prototyping &amp; Testing || Business Model Development || Fundraising || Growth Strategy Formulation || Market research || Pricing Strategy || Prototyping &amp; Testing || Business Model Development || Fundraising || Growth Strategy Formulation || Market research || Pricing Strategy || Prototyping &amp; Testing || Business Model Development || Fundraising || Growth Strategy Formulation || Market research || Pricing Strategy || Prototyping &amp; Testing || Entrepreneurship Coaching || Sales &amp; Business Development</t>
  </si>
  <si>
    <t>Automobiles &amp; Auto Components || Automobiles &amp; Auto Components || Automobiles &amp; Auto Components || Automobiles &amp; Auto Components || Automobiles &amp; Auto Components || Automobiles &amp; Auto Components || FinTech || FinTech || FinTech || FinTech || FinTech || FinTech || Services || Services || Services || Services || Services || Services || Social &amp; Community Services || Social &amp; Community Services || Social &amp; Community Services || Social &amp; Community Services || Social &amp; Community Services || Social &amp; Community Services || Transportation &amp; Logistics</t>
  </si>
  <si>
    <t>Cyriac Meppuram</t>
  </si>
  <si>
    <t>The Wellness Junxion</t>
  </si>
  <si>
    <t>Summary&lt;/strong&gt;:&lt;/p&gt;&lt;p&gt;Mr. Cyriac Meppuram is a seasoned professional from Kerala with an MBA in HR and Marketing, bringing 13 years of experience in marketing, human resources, public relations, administration, restructuring, and training. As a director and start-up mentor, he has significantly contributed to the entrepreneurial ecosystem in Kerala, mentoring startups and aiding in business model development. His ventures include ADENZ, Angel Bees, Agronest Tourism, and Wellnexion Platforms. He is recognized for his expertise in talent acquisition, change management, and strategic planning, and is passionate about fostering entrepreneurship and sustainable tourism.&lt;/p&gt;&lt;p&gt;&lt;br&gt;&lt;/p&gt;Key Areas of Expertise:&lt;/strong&gt;&lt;/p&gt;&lt;ul&gt;&lt;li&gt;Talent Acquisition and Development&lt;/li&gt;&lt;li&gt;Change Management&lt;/li&gt;&lt;li&gt;Strategic Planning&lt;/li&gt;&lt;li&gt;Marketing&lt;/li&gt;&lt;li&gt;Customer Service&lt;/li&gt;&lt;li&gt;Startup Development&lt;/li&gt;&lt;li&gt;Sustainable Tourism&lt;/li&gt;&lt;li&gt;Leadership Development&lt;/li&gt;&lt;/ul&gt;&lt;p&gt;&lt;br&gt;&lt;/p&gt;Strategic Contributions:&lt;/strong&gt;&lt;/p&gt;&lt;ul&gt;&lt;li&gt;Founded and led multiple ventures, including ADENZ, a unique tourism initiative in Kerala, and Angel Bees, a kids' clothing brand with a focus on women empowerment.&lt;/li&gt;&lt;li&gt;Mentored startups, providing guidance on restructuring, market access, and scaling operations.&lt;/li&gt;&lt;li&gt;Developed new business models for small businesses and entrepreneurs in Kerala, enhancing their market presence and growth potential.&lt;/li&gt;&lt;/ul&gt;&lt;p&gt;&lt;br&gt;&lt;/p&gt;Mentorship Philosophy:&lt;/strong&gt;&lt;/p&gt;&lt;p&gt;Mr. Cyriac emphasizes the importance of mentorship in overcoming entrepreneurial challenges. He provides comprehensive support to entrepreneurs, helping them restructure, motivate, and train for better business outcomes. His mentorship aims at empowering individuals to achieve their entrepreneurial goals and contribute to the local economy.&lt;/p&gt;&lt;p&gt;&lt;br&gt;&lt;/p&gt;Success Stories:&lt;/strong&gt;&lt;/p&gt;&lt;ul&gt;&lt;li&gt;Founder and initiator of ADENZ, a venture that promotes real village tourism in Kerala.&lt;/li&gt;&lt;li&gt;Played a crucial role in the growth and success of Angel Bees, a startup recognized by Startup India.&lt;/li&gt;&lt;li&gt;Co-Founder of Wellnexion Platforms, a healthcare/wellness startup recognized by Startup India.&lt;/li&gt;&lt;/ul&gt;&lt;p&gt;&lt;br&gt;&lt;/p&gt;Top Skills:&lt;/strong&gt;&lt;/p&gt;&lt;ul&gt;&lt;li&gt;Sustainable Tourism&lt;/li&gt;&lt;li&gt;Marketing&lt;/li&gt;&lt;li&gt;Customer Service&lt;/li&gt;&lt;li&gt;Startups&lt;/li&gt;&lt;li&gt;Startup Development&lt;/li&gt;&lt;li&gt;Business Consulting&lt;/li&gt;&lt;li&gt;Brand Consulting&lt;/li&gt;&lt;li&gt;Management Consulting&lt;/li&gt;&lt;li&gt;Digital Marketing&lt;/li&gt;&lt;li&gt;Social Media Marketing&lt;/li&gt;&lt;/ul&gt;&lt;p&gt;&lt;br&gt;&lt;/p&gt;&lt;p&gt;https://www.startupindia.gov.in/content/sih/en/profile.Mentor.63be8633e4b08bd10c71f994.html&lt;/p&gt;</t>
  </si>
  <si>
    <t>https://www.linkedin.com/in/cyriac-t-meppuram-0b397b55</t>
  </si>
  <si>
    <t>Alleppey</t>
  </si>
  <si>
    <t>cmtheinitiator@gmail.com</t>
  </si>
  <si>
    <t>Branding || Business Model Development || Customer Service &amp; Retention || Digital Marketing || Entity Formation || Marketing || Organizational Development || Social Media Marketing || Strategic Planning || Sustainable Operations || Training &amp; Development || Branding || Business Model Development || Customer Service &amp; Retention || Digital Marketing || Entity Formation || Marketing || Organizational Development || Social Media Marketing || Strategic Planning || Sustainable Operations || Training &amp; Development || Branding || Business Model Development || Customer Service &amp; Retention || Digital Marketing || Entity Formation || Marketing || Organizational Development || Social Media Marketing || Strategic Planning || Sustainable Operations || Training &amp; Development || Branding || Business Model Development || Customer Service &amp; Retention || Digital Marketing || Entity Formation || Marketing || Organizational Development || Social Media Marketing || Strategic Planning || Sustainable Operations || Training &amp; Development || Marketing &amp; Branding || Sales &amp; Business Development</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</si>
  <si>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Tourism &amp; Hospitality || Tourism &amp; Hospitality || Tourism &amp; Hospitality || Tourism &amp; Hospitality || Pharmaceuticals, Healthcare and Wellness || Tourism &amp; Hospitality</t>
  </si>
  <si>
    <t>Priyanka Sachdeva</t>
  </si>
  <si>
    <t>Core &amp; Pure</t>
  </si>
  <si>
    <t>Summary:&lt;/strong&gt;&lt;/p&gt;&lt;p&gt;Priyanka is the visionary Founder of CORE &amp;amp; PURE, a pioneering company that specializes in 100% natural origin and pure essential oils and Product Managements. With a strong foundation in management from prestigious institutions and a career that includes roles at ICICI, ABN AMRO, and Aditya Birla, Priyanka’s journey reflects a deep commitment to holistic health and wellness. Her passion for essential oils, combined with rigorous research and exploration of ancient medicinal practices, has led her to create a brand that stands at the forefront of natural health solutions.&lt;/p&gt;&lt;p&gt;&lt;br&gt;&lt;/p&gt;Key Areas of Expertise:&lt;/strong&gt;&lt;/p&gt;&lt;p&gt;Priyanka's expertise encompasses essential oils and natural Product Managements, holistic health, beauty, and wellness. Her background in business management and strategy enhances her ability to lead and innovate in the wellness industry. She is also adept at networking and community engagement, evidenced by her involvement in various professional and social organizations.&lt;/p&gt;&lt;p&gt;&lt;br&gt;&lt;/p&gt;Strategic Contributions:&lt;/strong&gt;&lt;/p&gt;&lt;p&gt;Priyanka’s strategic vision has been instrumental in transforming her passion into a successful enterprise. She meticulously researched and studied ancient texts, including Vedas, Puranas, and Ayurvedic scriptures, to understand the profound benefits of essential oils. This knowledge, combined with insights from industry veterans and technical experts, enabled her to develop a Product Management line that meets the highest standards of purity and efficacy. Her approach ensures that CORE &amp;amp; PURE delivers authentic, natural solutions that cater to diverse health and wellness needs.&lt;/p&gt;&lt;p&gt;&lt;br&gt;&lt;/p&gt;Mentorship Philosophy: &lt;/strong&gt;&lt;/p&gt;&lt;p&gt;Priyanka's mentorship philosophy is rooted in her belief in the transformative power of natural solutions. She is dedicated to guiding individuals toward better health and well-being by providing personalized advice and sharing her extensive knowledge of essential oils. Priyanka emphasizes the importance of a balanced approach to wellness, focusing on how natural Product Managements can enhance both physical health and overall happiness. Her mentoring style is supportive and empathetic, aimed at empowering others to make informed choices and achieve their wellness goals.&lt;/p&gt;&lt;p&gt;&lt;br&gt;&lt;/p&gt;Success Stories:&lt;/strong&gt;&lt;/p&gt;&lt;p&gt;Priyanka's impact is evident through her active participation in several esteemed organizations. As a lifetime member of the Essential Oils Association of India (EOAI), she contributes to the advancement of the essential oils industry in India. Her role as Secretary-Treasurer of BNI, an international business networking group, and her position on the Rotary Club Inner Wheel executive board highlight her commitment to professional development and community service. These roles reflect her dedication to societal and self-growth, furthering her mission to enhance well-being through CORE &amp;amp; PURE's offerings.&lt;/p&gt;&lt;p&gt;&lt;br&gt;&lt;/p&gt;Impactful Projects: &lt;/strong&gt;&lt;/p&gt;&lt;p&gt;Under Priyanka’s leadership, CORE &amp;amp; PURE has emerged as a key player in the natural Product Managements industry. The company’s success is a testament to her ability to integrate traditional wisdom with modern business practices. By creating a range of essential oils and wellness Product Managements that adhere to stringent quality standards, she has set a benchmark for purity and efficacy in the market. Priyanka’s efforts have not only brought high-quality Product Managements to consumers but have also educated and inspired many to embrace natural health solutions.&lt;/p&gt;&lt;p&gt;&lt;br&gt;&lt;/p&gt;Consultation Style:&lt;/strong&gt;&lt;/p&gt;&lt;p&gt;Priyanka’s consultation style is characterized by her holistic and personalized approach. She tailors her guidance to address individual needs, focusing on how natural Product Managements can contribute to overall well-being. Her extensive knowledge and active engagement in the wellness community allow her to provide valuable insights and practical advice. Priyanka’s commitment to balancing health and happiness is at the core of her mentoring, helping others to achieve a harmonious and fulfilling lifestyle through CORE &amp;amp; PURE’s natural solutions.&lt;/p&gt;</t>
  </si>
  <si>
    <t>http://linkedin.com/in/priyanka-sachdeva-b064b887</t>
  </si>
  <si>
    <t>priyanka@coreandpure.com</t>
  </si>
  <si>
    <t>Sales Strategy || Sales Strategy || Sales Strategy || Sales Strategy || Sales &amp; Business Development || Marketing &amp; Branding</t>
  </si>
  <si>
    <t>Fashion &amp; Beauty || Pharmaceuticals, Healthcare and Wellness || Real Estate &amp; Construction || Retail &amp; e-Commerce || Consumer Products​</t>
  </si>
  <si>
    <t>Punit Pandey</t>
  </si>
  <si>
    <t>Vice President</t>
  </si>
  <si>
    <t>FICSI - Food SSC</t>
  </si>
  <si>
    <t>Summary:&lt;/strong&gt;&lt;/p&gt;&lt;p&gt;Mr. Punit has 29 years of extensive experience in Sales, Business Development, Education, and Skill Development, working with notable organizations like ICFAI University, NIIT, EY, IPE Global, Delhi Skill &amp;amp; Entrepreneurship University, and UNICEF. An MBA graduate from Kanpur University, he specializes in business development, consulting, policy formulation, and project execution, with a strong focus on social development and public policy. He is also an advisor with NEN of Wadhwani Foundation and has contributed to academic activities as a member of the Board of Studies at ICFAI Business School Jaipur.&lt;/p&gt;&lt;p&gt;&lt;br&gt;&lt;/p&gt;Key Areas of Expertise:&lt;/strong&gt;&lt;/p&gt;&lt;ul&gt;&lt;li&gt;&lt;strong&gt;Sales &amp;amp; Business Development&lt;/strong&gt;: Proven ability in driving growth and developing strategic business initiatives.&lt;/li&gt;&lt;li&gt;&lt;strong&gt;Education &amp;amp; Skill Development&lt;/strong&gt;: Expertise in educational program development and skill enhancement.&lt;/li&gt;&lt;li&gt;&lt;strong&gt;Public Policy&lt;/strong&gt;: Experience in policy formulation and execution in social development sectors.&lt;/li&gt;&lt;li&gt;&lt;strong&gt;Consulting&lt;/strong&gt;: Consulting experience with prominent organizations including KPMG and EY.&lt;/li&gt;&lt;/ul&gt;&lt;p&gt;&lt;br&gt;&lt;/p&gt;Strategic Contributions:&lt;/strong&gt;&lt;/p&gt;&lt;ul&gt;&lt;li&gt;&lt;strong&gt;Policy Formulation&lt;/strong&gt;: Contributed to policy development in social development and education sectors.&lt;/li&gt;&lt;li&gt;&lt;strong&gt;Project Execution&lt;/strong&gt;: Managed and executed complex projects involving multiple stakeholders.&lt;/li&gt;&lt;li&gt;&lt;strong&gt;Academic Contributions&lt;/strong&gt;: Enabled academic activities and industry interface as a Board of Studies member at ICFAI Business School Jaipur.&lt;/li&gt;&lt;/ul&gt;&lt;p&gt;&lt;br&gt;&lt;/p&gt;Mentorship Philosophy:&lt;/strong&gt;&lt;/p&gt;&lt;p&gt;Mr. Punit focuses on guiding entrepreneurs and professionals through strategic business development and policy formulation. His approach emphasizes practical insights, stakeholder engagement, and leveraging his extensive experience in social development and education.&lt;/p&gt;</t>
  </si>
  <si>
    <t>https://www.linkedin.com/in/punitpandey71/?originalSubdomain=in</t>
  </si>
  <si>
    <t>punit_pandey2020@amppp.isb.edu</t>
  </si>
  <si>
    <t>Growth Strategy Formulation || Marketing || Sales Strategy || Strategic Planning || Training &amp; Development || Growth Strategy Formulation || Marketing || Sales Strategy || Strategic Planning || Training &amp; Development || Strategic Planning || Sales &amp; Business Development</t>
  </si>
  <si>
    <t>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t>
  </si>
  <si>
    <t>Puru Singh</t>
  </si>
  <si>
    <t>Push Sports</t>
  </si>
  <si>
    <t>Summary:&lt;/strong&gt; Puru is a dedicated coach and entrepreneur passionate about transforming India's sports landscape. As the co-Founder of Push Sports, a venture launched into prominence after securing funding on Shark Tank, he aims to shape India into a sporting powerhouse across multiple disciplines. Puru's journey spans from gully cricket to coaching elite teams, including his victorious tenure with Chitwan Tigers in Nepal's Everest Premier League and mentorship of Delhi Women's U19 and U23 teams.&lt;/p&gt;&lt;p&gt;&lt;br&gt;&lt;/p&gt;Core Expertise:&lt;/strong&gt; Puru specializes in cricket coaching, entrepreneurship, and sports management. With over 15,000 hours of coaching experience, he has worked with players of all ages, focusing on honing their techniques, mental toughness, and physical abilities. He also has extensive knowledge of the sports business, having grown Push Sports from a small cricket academy to a multi-sport entity operating in 17 locations.&lt;/p&gt;&lt;p&gt;&lt;br&gt;&lt;/p&gt;Problem-Solving Approach:&lt;/strong&gt; Puru believes in a hands-on, holistic approach to coaching and business development. As a coach, he emphasizes uniting teams, fostering mental resilience, and enhancing individual strengths to achieve collective success. As an entrepreneur, he has experience in every facet of building and scaling a sports business, from operations to marketing to business development.&lt;/p&gt;&lt;p&gt;&lt;br&gt;&lt;/p&gt;Impactful Projects:&lt;/strong&gt;&lt;/p&gt;&lt;ul&gt;&lt;li&gt;&lt;strong&gt;Push Sports:&lt;/strong&gt; Founded PUSH Cricket Academy in 2016 with two nets and three kids, and has since expanded to Push Sports Arenas Pvt Ltd, covering more than 10 sports in 17 locations.&lt;/li&gt;&lt;li&gt;&lt;strong&gt;Chitwan Tigers:&lt;/strong&gt; Led the team to victory in Nepal's Everest Premier League by nurturing both international stars and local players, overcoming significant challenges to unify the squad.&lt;/li&gt;&lt;li&gt;&lt;strong&gt;Cricket Coaching:&lt;/strong&gt; Mentored over 15,000 hours, including leading Delhi Women's U19 and U23 teams, and played as a top wicket-taker during his time with Delhi in the North Zone.&lt;/li&gt;&lt;/ul&gt;&lt;p&gt;&lt;br&gt;&lt;/p&gt;Consultation Style:&lt;/strong&gt; Puru values teamwork and personal growth, both in sports and business. He focuses on empowering individuals, ensuring they not only excel professionally but also mature personally. Whether on the cricket field or in business, he tailors his approach to each team's or individual's needs, helping them unlock their full potential.&lt;/p&gt;</t>
  </si>
  <si>
    <t>https://www.linkedin.com/in/puru-singh-61ba7b74?utm_source=share&amp;utm_campaign=share_via&amp;utm_content=profile&amp;utm_medium=android_app</t>
  </si>
  <si>
    <t>puru@pushsports.in</t>
  </si>
  <si>
    <t>Branding || Strategic Planning || Branding || Strategic Planning || Buisness Operations || Sales &amp; Business Development</t>
  </si>
  <si>
    <t>Sports || Sports || Sports || Sports || Consumer Products​</t>
  </si>
  <si>
    <t>Raghesh G Menon</t>
  </si>
  <si>
    <t>Scooppin</t>
  </si>
  <si>
    <t>Summary:&lt;/strong&gt;&lt;/p&gt;&lt;p&gt;Mr. Raghesh is a Leadership Evangelist, Trainer, and Coach with over 24 years of experience in IT/ITES organization development, business modeling, and leadership training. He is the creator of the 'LEADERSHIP WITH SYSTEMS THINKING' framework, helping organizations build resilient leadership succession layers. His approach focuses on enhancing decision-making, improving team performance, and increasing organizational resilience through systems thinking and mental modeling. With a background in strategy, consulting, and project management, Mr. Raghesh is committed to empowering organizations to perform at their fullest leadership potential.&lt;/p&gt;&lt;p&gt;&lt;br&gt;&lt;/p&gt;Key Areas of Expertise:&lt;/strong&gt;&lt;/p&gt;&lt;ul&gt;&lt;li&gt;Leadership Development &amp;amp; Mentoring&lt;/li&gt;&lt;li&gt;Strategy &amp;amp; Consulting (Business Strategy, Organization Development, Centre of Excellence)&lt;/li&gt;&lt;li&gt;IT/ITES Project Management (SDLC, Waterfall, Agile)&lt;/li&gt;&lt;li&gt;End-to-End Delivery Ownership (Technology, Operations, Services)&lt;/li&gt;&lt;li&gt;Learning &amp;amp; Development (Facilitation Management)&lt;/li&gt;&lt;li&gt;Business Process Consulting &amp;amp; Outsourcing (Procress Re-engineering, Change Management)&lt;/li&gt;&lt;li&gt;Innovation &amp;amp; Product Management Development (Tech-enabled Process &amp;amp; Service Automation)&lt;/li&gt;&lt;/ul&gt;&lt;p&gt;&lt;br&gt;&lt;/p&gt;Strategic Contributions:&lt;/strong&gt;&lt;/p&gt;&lt;ul&gt;&lt;li&gt;Created the 'LEADERSHIP WITH SYSTEMS THINKING' framework.&lt;/li&gt;&lt;li&gt;Successfully applied systems thinking to transform managers into performing leaders.&lt;/li&gt;&lt;li&gt;Facilitated leadership development across multiple domains, including technology and operations.&lt;/li&gt;&lt;li&gt;Contributed to international projects, leveraging expertise in IT/ITES for Fortune 500 companies, SMEs, and startups.&lt;/li&gt;&lt;/ul&gt;&lt;p&gt;&lt;br&gt;&lt;/p&gt;Mentorship Philosophy:&lt;/strong&gt;&lt;/p&gt;&lt;p&gt;Mr. Raghesh believes that the highest level of leadership skills can only be invoked, not taught. He leads conversations, interactions, and activities that help clients rediscover themselves, creating lasting and impactful transformations. His mentorship focuses on enabling leaders to think and act on problems at a systemic level, driving meaningful change and quick decision-making in uncertain environments.&lt;/p&gt;</t>
  </si>
  <si>
    <t>https://www.linkedin.com/in/ragheshmenon/</t>
  </si>
  <si>
    <t>raghesh@scooppin.com</t>
  </si>
  <si>
    <t>Business Model Development || Go to Market Strategy || Organizational Development || Research Partnerships || Strategic Planning || Team building || Training &amp; Development || Business Model Development || Go to Market Strategy || Organizational Development || Research Partnerships || Strategic Planning || Team building || Training &amp; Development || Sales &amp; Business Development</t>
  </si>
  <si>
    <t>Professional &amp; Business Services || Professional &amp; Business Services || Professional &amp; Business Services || Professional &amp; Business Services || Professional &amp; Business Services || Professional &amp; Business Services || Professional &amp; Business Services || Services || Services || Services || Services || Services || Services || Services || Software &amp; IT Services</t>
  </si>
  <si>
    <t>Prakadesh Subramanian</t>
  </si>
  <si>
    <t>Zero2Billion(Z2B Innovations Foundation)</t>
  </si>
  <si>
    <t>Summary:&lt;/strong&gt;&lt;/p&gt;&lt;p&gt;Mr. Prakadesh is the Founder and CEO of Z2B Venture Studio, with over 17 years of expertise in entrepreneurship development and project management across engineering and life sciences in India, the Middle East, and Malaysia. He is a visionary leader and business evangelist, known for his ability to rapidly advance business goals and deliver high-impact projects. Mr. Prakadesh has empowered over 70 startups and scaled multiple enterprises, establishing himself as a game-changer in the industry.&lt;/p&gt;&lt;p&gt;&lt;br&gt;&lt;/p&gt;Key Areas of Expertise:&lt;/strong&gt;&lt;/p&gt;&lt;ul&gt;&lt;li&gt;&lt;strong&gt;Entrepreneurship Development&lt;/strong&gt;: Specializes in nurturing startups and scaling businesses.&lt;/li&gt;&lt;li&gt;&lt;strong&gt;Project Management&lt;/strong&gt;: Successfully managed million-dollar projects within tight deadlines.&lt;/li&gt;&lt;li&gt;&lt;strong&gt;Business Consulting&lt;/strong&gt;: Provides strategic guidance in engineering, life sciences, and technology sectors.&lt;/li&gt;&lt;li&gt;&lt;strong&gt;Leadership Development&lt;/strong&gt;: Focuses on building strong, visionary leaders.&lt;/li&gt;&lt;li&gt;&lt;strong&gt;Public Speaking&lt;/strong&gt;: Engages and inspires as a speaker on business and entrepreneurship topics.&lt;/li&gt;&lt;/ul&gt;&lt;p&gt;&lt;br&gt;&lt;/p&gt;Strategic Contributions:&lt;/strong&gt;&lt;/p&gt;&lt;ul&gt;&lt;li&gt;&lt;strong&gt;Incubation and Empowerment&lt;/strong&gt;: Established the Agri &amp;amp; Technology Business Incubation Forum, empowering 25+ Agri Startups and 45+ Tech Startups.&lt;/li&gt;&lt;li&gt;&lt;strong&gt;Project Delivery&lt;/strong&gt;: Scheduled and delivered multi-million-dollar projects within challenging 14-week timeframes.&lt;/li&gt;&lt;li&gt;&lt;strong&gt;Enterprise Scaling&lt;/strong&gt;: Scaled up 5+ enterprises, driving significant business growth.&lt;/li&gt;&lt;/ul&gt;&lt;p&gt;&lt;br&gt;&lt;/p&gt;Mentorship Philosophy:&lt;/strong&gt;&lt;/p&gt;&lt;p&gt;Mr. Prakadesh is committed to empowering dreamers and entrepreneurs by providing practical advice, fostering innovation, and helping them turn their visions into reality. He believes in crafting extraordinary success stories from ordinary beginnings.&lt;/p&gt;</t>
  </si>
  <si>
    <t>https://www.linkedin.com/in/prakadesh-subramanian-37475b48</t>
  </si>
  <si>
    <t xml:space="preserve">founder@zero2billion.in </t>
  </si>
  <si>
    <t>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Business Model Development || Market research || Public speaking || Sales &amp; Business Development || Entrepreneurship Coaching</t>
  </si>
  <si>
    <t>Agriculture &amp; Food Processing || Agriculture &amp; Food Processing || Agriculture &amp; Food Processing || AI, Big Data &amp; Analytics || AI, Big Data &amp; Analytics || AI, Big Data &amp; Analytics || Automobiles &amp; Auto Components || Automobiles &amp; Auto Components || Automobiles &amp; Auto Components || CleanTech || CleanTech || CleanTech || Education &amp; Training || Education &amp; Training || Education &amp; Training || FinTech || FinTech || FinTech || Pharmaceuticals, Healthcare and Wellness || Pharmaceuticals, Healthcare and Wellness || Pharmaceuticals, Healthcare and Wellness || Retail &amp; e-Commerce || Retail &amp; e-Commerce || Retail &amp; e-Commerce || Agriculture &amp; Food Processing || Agriculture &amp; Food Processing || Agriculture &amp; Food Processing || AI, Big Data &amp; Analytics || AI, Big Data &amp; Analytics || AI, Big Data &amp; Analytics || Automobiles &amp; Auto Components || Automobiles &amp; Auto Components || Automobiles &amp; Auto Components || CleanTech || CleanTech || CleanTech || Education &amp; Training || Education &amp; Training || Education &amp; Training || FinTech || FinTech || FinTech || Pharmaceuticals, Healthcare and Wellness || Pharmaceuticals, Healthcare and Wellness || Pharmaceuticals, Healthcare and Wellness || Retail &amp; e-Commerce || Retail &amp; e-Commerce || Retail &amp; e-Commerce || Agriculture &amp; Food Processing || Agriculture &amp; Food Processing || Agriculture &amp; Food Processing || AI, Big Data &amp; Analytics || AI, Big Data &amp; Analytics || AI, Big Data &amp; Analytics || Automobiles &amp; Auto Components || Automobiles &amp; Auto Components || Automobiles &amp; Auto Components || CleanTech || CleanTech || CleanTech || Education &amp; Training || Education &amp; Training || Education &amp; Training || FinTech || FinTech || FinTech || Pharmaceuticals, Healthcare and Wellness || Pharmaceuticals, Healthcare and Wellness || Pharmaceuticals, Healthcare and Wellness || Retail &amp; e-Commerce || Retail &amp; e-Commerce || Retail &amp; e-Commerce || Agritech &amp; Food Processing</t>
  </si>
  <si>
    <t>Rakeshkumar Bhatia</t>
  </si>
  <si>
    <t>Founder &amp; Chief Consultant</t>
  </si>
  <si>
    <t>BIZE India</t>
  </si>
  <si>
    <t>Summary&lt;/strong&gt;&lt;/p&gt;&lt;p&gt;Mr. Rakeshkumar S Bhatia is a seasoned professional with over 16 years of experience in Commercial Real Estate (CRE), helping businesses and investors thrive in sectors like co-working spaces, SaaS, retail, and PropTech. As a consultant, mentor, and trainer, he specializes in providing strategic guidance on business growth, market expansion, and leadership development. A passionate educator, public speaker, and corporate trainer, Mr. Rakeshkumar also offers training in CRE leasing and business strategies. His goal is to empower businesses to scale and individuals to achieve financial success through practical knowledge and expert advice.&lt;/p&gt;&lt;p&gt;&lt;br&gt;&lt;/p&gt;Key Areas of Expertise&lt;/strong&gt;&lt;/p&gt;&lt;ul&gt;&lt;li&gt;Business Strategy&lt;/li&gt;&lt;li&gt;Enterprise Sales&lt;/li&gt;&lt;li&gt;Marketing Strategy&lt;/li&gt;&lt;li&gt;Commercial Leasing&lt;/li&gt;&lt;li&gt;Leadership Development&lt;/li&gt;&lt;li&gt;Public Speaking&lt;/li&gt;&lt;li&gt;Corporate Training&lt;/li&gt;&lt;li&gt;Startup Development and Scaling&lt;/li&gt;&lt;/ul&gt;&lt;p&gt;&lt;br&gt;&lt;/p&gt;Strategic Contributions&lt;/strong&gt;&lt;/p&gt;&lt;ul&gt;&lt;li&gt;Provided tailored go-to-market strategies for companies across multiple industries&lt;/li&gt;&lt;li&gt;Mentored and advised HNI investors and businesses in Commercial Real Estate, PropTech, and Retail&lt;/li&gt;&lt;li&gt;Developed business growth and sales strategies to attract major clients&lt;/li&gt;&lt;li&gt;Trained individuals to start and grow CRE leasing businesses&lt;/li&gt;&lt;/ul&gt;&lt;p&gt;&lt;br&gt;&lt;/p&gt;Mentorship Philosophy&lt;/strong&gt;&lt;/p&gt;&lt;ul&gt;&lt;li&gt;Focuses on training and upskilling young minds with practical industry knowledge&lt;/li&gt;&lt;li&gt;Passionate about fostering a high-performance culture and guiding startups toward growth and success&lt;/li&gt;&lt;/ul&gt;&lt;p&gt;&lt;br&gt;&lt;/p&gt;Success Stories&lt;/strong&gt;&lt;/p&gt;&lt;p&gt;I have had a privilege of working with startups' leadership teams and developing not only their teams and processes from scratch but also training the Founders to be good leaders and scaling their business. I have been part of leadership team for Dextrus Coworking and Wybrid Tech and have grown their business multifold. As a mentor, I have trained not only the startup Founders from IBS Powai, SACC Panchkula, and other incubators but also the sales and marketing team of large corporates like IDFC bank.&lt;/p&gt;</t>
  </si>
  <si>
    <t>https://www.linkedin.com/in/rakeshkumar-bhatia-business-leader</t>
  </si>
  <si>
    <t>founder@bize.in
 rakeshkumar@bize.in
 rakeshkumar.bhatia@gmail.com (mentor)</t>
  </si>
  <si>
    <t>Experience is in Retail and Real Estate</t>
  </si>
  <si>
    <t>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Branding || Business Model Development || Customer Experience Optimization || Customer Service &amp; Retention || Digital Marketing || E-commerce Management || Entity Formation || Export || Go to Market Strategy || Growth Strategy Formulation || Market access || Market research || Marketing || Organizational Development || Pitch coaching || Pricing Strategy || Process Optimization || Product Development || Prototyping &amp; Testing || Public speaking || Sales Strategy || Social Media Marketing || Strategic Planning || Training &amp; Development || Sales &amp; Business Development || Growth Strategy Formulation</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</si>
  <si>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Others || Others || Others || Others || Others || Others || Others || Others || Others || Others || Others || Others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Real Estate &amp; Construction</t>
  </si>
  <si>
    <t>Ratnesh Kumar</t>
  </si>
  <si>
    <t>CEO &amp; Co-Founder</t>
  </si>
  <si>
    <t>Thingularity Consulting</t>
  </si>
  <si>
    <t>Summary:&lt;/strong&gt;&lt;/p&gt;&lt;p&gt;Mr. Ratnesh is a seasoned business leader with over 21 years of experience in P&amp;amp;L management, sales, business development, and technology services. As the Founder of a prominent Internet of Things (IoT) venture, he has excelled in managing multimillion-dollar businesses and leading teams across the US, Europe, and India. His expertise spans IoT, Product Management engineering, embedded systems, and cloud mobility. Mr. Ratnesh is skilled in strategic Product Management consulting, investment strategies, and go-to-market planning, making him a valuable mentor for startups and a strategic partner for technology-driven organizations.&lt;/p&gt;&lt;p&gt;&lt;br&gt;&lt;/p&gt;Key Areas of Expertise:&lt;/strong&gt;&lt;/p&gt;&lt;ul&gt;&lt;li&gt;&lt;strong&gt;Internet of Things (IoT)&lt;/strong&gt;: Extensive experience in IoT, embedded systems, and Product Management engineering.&lt;/li&gt;&lt;li&gt;&lt;strong&gt;Business Leadership&lt;/strong&gt;: Proven track record in P&amp;amp;L management and building multimillion-dollar businesses.&lt;/li&gt;&lt;li&gt;&lt;strong&gt;Sales &amp;amp; Business Development&lt;/strong&gt;: Expertise in consultative selling, large account management, and team leadership.&lt;/li&gt;&lt;li&gt;&lt;strong&gt;Strategic Consulting&lt;/strong&gt;: Skilled in defining acquisition strategies, technology partnerships, and go-to-market strategies.&lt;/li&gt;&lt;/ul&gt;&lt;p&gt;&lt;br&gt;&lt;/p&gt;Strategic Contributions:&lt;/strong&gt;&lt;/p&gt;&lt;ul&gt;&lt;li&gt;&lt;strong&gt;Business Growth&lt;/strong&gt;: Successfully managed and grew multimillion-dollar technology services businesses across multiple geographies.&lt;/li&gt;&lt;li&gt;&lt;strong&gt;IoT Ventures&lt;/strong&gt;: Identified and invested in IoT startups, contributing to strategic acquisitions and due diligence.&lt;/li&gt;&lt;li&gt;&lt;strong&gt;Go-to-Market Strategies&lt;/strong&gt;: Developed and executed effective go-to-market plans for technology and Product Management solutions.&lt;/li&gt;&lt;/ul&gt;&lt;p&gt;&lt;br&gt;&lt;/p&gt;Mentorship Philosophy:&lt;/strong&gt;&lt;/p&gt;&lt;p&gt;Mr. Ratnesh emphasizes a strategic approach to business development, focusing on identifying growth opportunities, building strong technology partnerships, and driving market success. He believes in mentoring startups by leveraging his extensive industry experience to guide them through complex business and technology challenges.&lt;/p&gt;&lt;p&gt;&lt;br&gt;&lt;/p&gt;Success Stories:&lt;/strong&gt;&lt;/p&gt;&lt;ul&gt;&lt;li&gt;&lt;strong&gt;IoT Ventures&lt;/strong&gt;: Successfully identified and supported high-potential IoT startups, contributing to strategic investments and acquisitions.&lt;/li&gt;&lt;li&gt;&lt;strong&gt;Multinational Business Management&lt;/strong&gt;: Built and managed successful technology businesses in the US, Europe, and India.&lt;/li&gt;&lt;li&gt;&lt;strong&gt;Strategic Consulting&lt;/strong&gt;: Provided impactful Product Management consulting and go-to-market strategies, leading to successful business outcomes.&lt;/li&gt;&lt;/ul&gt;</t>
  </si>
  <si>
    <t>https://www.linkedin.com/in/ratnesh-kumar-iima/</t>
  </si>
  <si>
    <t>ratnesh@thingularitynow.com</t>
  </si>
  <si>
    <t>97313 01564</t>
  </si>
  <si>
    <t>Experience is in IoT</t>
  </si>
  <si>
    <t>Business Model Development || Customer Relationship Management || Go to Market Strategy || Growth Strategy Formulation || Market research || Research Partnerships || Business Model Development || Customer Relationship Management || Go to Market Strategy || Growth Strategy Formulation || Market research || Research Partnerships || Business Model Development || Customer Relationship Management || Go to Market Strategy || Growth Strategy Formulation || Market research || Research Partnerships || Business Model Development || Customer Relationship Management || Go to Market Strategy || Growth Strategy Formulation || Market research || Research Partnerships || Business Model Development || Customer Relationship Management || Go to Market Strategy || Growth Strategy Formulation || Market research || Research Partnerships || Business Model Development || Customer Relationship Management || Go to Market Strategy || Growth Strategy Formulation || Market research || Research Partnerships || Business Model Development || Customer Relationship Management || Go to Market Strategy || Growth Strategy Formulation || Market research || Research Partnerships || Business Model Development || Customer Relationship Management || Go to Market Strategy || Growth Strategy Formulation || Market research || Research Partnerships || Sales &amp; Business Development</t>
  </si>
  <si>
    <t>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Energy &amp; Renewable Resources || Energy &amp; Renewable Resources || Energy &amp; Renewable Resources || Energy &amp; Renewable Resources || Energy &amp; Renewable Resources || Energy &amp; Renewable Resources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Services || Services || Services || Services || Services || Services || Technology &amp; Innovation || Technology &amp; Innovation || Technology &amp; Innovation || Technology &amp; Innovation || Technology &amp; Innovation || Technology &amp; Innovation || Deeptech</t>
  </si>
  <si>
    <t>Richa Kapila</t>
  </si>
  <si>
    <t>D'chica</t>
  </si>
  <si>
    <t>Richa Kapila is an entrepreneur and the co-founder of D’chica, a youth-focused fashion and empowerment brand featured on Shark Tank India. A Pearl Academy graduate, she began her entrepreneurial journey driven by ambition and self-belief, co-founding D’chica in 2019 to empower teen girls and young women.
Starting from humble beginnings, Richa helped grow the brand from a home-based idea into a nationally recognized venture, securing investment from Namita Thapar and Vineeta Singh. A 30 Under 30 achiever and passionate public speaker, she actively shares her journey to inspire aspiring entrepreneurs and motivate the next generation of leaders.
Skillset
Entrepreneurship
Startup Building
Public Speaking
Brand Storytelling
Youth &amp; Women Empowerment</t>
  </si>
  <si>
    <t>https://www.linkedin.com/in/richa-kapila-dchica/</t>
  </si>
  <si>
    <t>Richa.kapila2621@gmail.com</t>
  </si>
  <si>
    <t>Product / Offering</t>
  </si>
  <si>
    <t>Branding || Budgeting &amp; Financial Modeling || Customer Relationship Management || Fundraising || Go to Market Strategy || Product Development || Research Partnerships || Social Media Marketing || Strategic Planning || UI/UX Design || Product Management || Sales &amp; Business Development</t>
  </si>
  <si>
    <t>Fashion &amp; Beauty || Fashion &amp; Beauty || Fashion &amp; Beauty || Fashion &amp; Beauty || Fashion &amp; Beauty || Fashion &amp; Beauty || Fashion &amp; Beauty || Fashion &amp; Beauty || Fashion &amp; Beauty || Fashion &amp; Beauty || Fashion &amp; Beauty || Education &amp; Training</t>
  </si>
  <si>
    <t>Riyaz Hassan</t>
  </si>
  <si>
    <t xml:space="preserve">Biz Virtue Business Services LLC </t>
  </si>
  <si>
    <t>Summary:&lt;/strong&gt;&lt;/p&gt;&lt;p&gt;Mr. Riyaz is a seasoned marketing and sales professional with a robust background in business development, customer handling, and sales planning. His expertise encompasses creating and executing marketing strategies, client relationship management, and business administration aimed at achieving growth objectives. As a startup advisor, Mr. Riyaz excels in developing creative solutions, improving system efficiencies, and driving revenue generation. His proactive approach to client acquisition, process optimization, and strategic planning positions him as a valuable asset in helping businesses navigate challenges and capitalize on opportunities.&lt;/p&gt;&lt;p&gt;&lt;br&gt;&lt;/p&gt;Key Areas of Expertise:&lt;/strong&gt;&lt;/p&gt;&lt;ul&gt;&lt;li&gt;&lt;strong&gt;Marketing &amp;amp; Sales&lt;/strong&gt;: Expertise in communication, strategy creation, sales planning, and client relationship building.&lt;/li&gt;&lt;li&gt;&lt;strong&gt;Business Development&lt;/strong&gt;: Skilled in generating revenue, proposal preparation, and lead conversion.&lt;/li&gt;&lt;li&gt;&lt;strong&gt;Client Management&lt;/strong&gt;: Proficient in acquiring and managing client relationships, including providing guidance on business opportunities.&lt;/li&gt;&lt;li&gt;&lt;strong&gt;Process Improvement&lt;/strong&gt;: Experienced in streamlining processes, cost savings, and innovation.&lt;/li&gt;&lt;/ul&gt;&lt;p&gt;&lt;br&gt;&lt;/p&gt;Strategic Contributions:&lt;/strong&gt;&lt;/p&gt;&lt;ul&gt;&lt;li&gt;&lt;strong&gt;Revenue Generation&lt;/strong&gt;: Successfully increased revenue through strategic sales planning and effective client management.&lt;/li&gt;&lt;li&gt;&lt;strong&gt;Client Acquisition&lt;/strong&gt;: Developed and maintained strong client relationships, enhancing business opportunities and service delivery.&lt;/li&gt;&lt;li&gt;&lt;strong&gt;Process Optimization&lt;/strong&gt;: Implemented improvements and innovations to enhance system efficiencies and achieve cost savings.&lt;/li&gt;&lt;/ul&gt;&lt;p&gt;&lt;br&gt;&lt;/p&gt;Mentorship Philosophy:&lt;/strong&gt;&lt;/p&gt;&lt;p&gt;Mr. Riyaz focuses on empowering startups by providing strategic guidance, fostering strong client relationships, and implementing effective marketing and sales strategies. He emphasizes the importance of adaptability, creative problem-solving, and continuous improvement to drive business growth.&lt;/p&gt;&lt;p&gt;&lt;br&gt;&lt;/p&gt;Success Stories:&lt;/strong&gt;&lt;/p&gt;&lt;ul&gt;&lt;li&gt;&lt;strong&gt;Revenue and Growth&lt;/strong&gt;: Achieved significant revenue growth through effective sales planning and client acquisition strategies.&lt;/li&gt;&lt;li&gt;&lt;strong&gt;Client Relationship Management&lt;/strong&gt;: Successfully built and maintained strong relationships with clients, contributing to sustained business success.&lt;/li&gt;&lt;li&gt;&lt;strong&gt;Process Improvements&lt;/strong&gt;: Led initiatives to streamline processes and enhance system efficiencies, resulting in cost savings and operational improvements.&lt;/li&gt;&lt;/ul&gt;&lt;p&gt;&lt;br&gt;&lt;/p&gt;</t>
  </si>
  <si>
    <t>https://www.linkedin.com/in/riyaz-hassan-7755a01a7/</t>
  </si>
  <si>
    <t>riyaz.hassan.19.21@gmail.com</t>
  </si>
  <si>
    <t>9836565214 (Whatsapp)
+971547321402</t>
  </si>
  <si>
    <t>Consumer Products​</t>
  </si>
  <si>
    <t>Business Model Development || Market research || Business Model Development || Market research || Sales &amp; Business Development || Marketing &amp; Branding</t>
  </si>
  <si>
    <t>Retail &amp; e-Commerce || Retail &amp; e-Commerce || Retail &amp; e-Commerce || Retail &amp; e-Commerce || Consumer Products​ || Fintech, Banking, Financial Services</t>
  </si>
  <si>
    <t>Rohit Sirohia</t>
  </si>
  <si>
    <t>Sr. Product Management Manager</t>
  </si>
  <si>
    <t>SafexPay</t>
  </si>
  <si>
    <t>Summary:&lt;/strong&gt; Rohit is a dynamic Product Management Manager with over 10 years of cross-domain experience, specializing in Product Management ownership, team leadership, and launching city-wide initiatives. He has a proven track record of driving innovation in payment solutions, integrating alternate payment platforms, and fostering third-party collaborations. Rohit’s expertise is grounded in market-driven strategies, particularly in the financial technology sector, with a focus on the Middle East markets.&lt;/p&gt;&lt;p&gt;&lt;br&gt;&lt;/p&gt;Core Expertise:&lt;/strong&gt; Rohit excels in Product Management management, with deep expertise in payment solutions, remittance platforms, and strategic partnerships. His experience spans across sectors such as FinTech, e-commerce, and digital payments. He has a strong command over Product Management road mapping, structured thinking, and stakeholder management.&lt;/p&gt;&lt;p&gt;&lt;br&gt;&lt;/p&gt;Problem-Solving Approach:&lt;/strong&gt; Rohit’s approach is highly structured and data-driven. He focuses on understanding market demands and user pain points, leveraging his expertise to create solutions that streamline financial transactions and enhance user satisfaction. His method involves collaborating closely with cross-functional teams and third-party vendors to deliver robust, scalable solutions.&lt;/p&gt;&lt;p&gt;&lt;br&gt;&lt;/p&gt;Impactful Projects:&lt;/strong&gt; At &lt;strong&gt;SafexPay&lt;/strong&gt;, Rohit led the enhancement of the company’s payment aggregator platform, tailored to meet the diverse needs of the Middle East market. He spearheaded the integration of alternate payment platforms and third-party partnerships, which improved operational efficiency and client satisfaction. In his previous role at &lt;strong&gt;CRED&lt;/strong&gt;, Rohit played a pivotal role in building the CRED Store, applying his skills in structured thinking and market insights to develop an innovative Product Management experience for users.&lt;/p&gt;&lt;p&gt;&lt;br&gt;&lt;/p&gt;Consultation Style:&lt;/strong&gt; Rohit prefers a hands-on and collaborative approach, working closely with teams to ensure alignment with business goals while addressing user needs. He is adept at providing strategic guidance through structured road mapping and stakeholder engagement, ensuring tailored solutions that drive business success.&lt;/p&gt;</t>
  </si>
  <si>
    <t>https://www.linkedin.com/in/rohit-sirohia/</t>
  </si>
  <si>
    <t>rohits87@gmail.com</t>
  </si>
  <si>
    <t>Product Development || Sales Strategy || Sustainable Operations || Product Development || Sales Strategy || Sustainable Operations || Product Development || Sales Strategy || Sustainable Operations || Product Development || Sales Strategy || Sustainable Operations || Product Development || Sales Strategy || Sustainable Operations || Product Development || Sales Strategy || Sustainable Operations || Product Management || Sales &amp; Business Development</t>
  </si>
  <si>
    <t>Banking &amp; Financial Services || Banking &amp; Financial Services || Banking &amp; Financial Services || FinTech || FinTech || FinTech || Retail &amp; e-Commerce || Retail &amp; e-Commerce || Retail &amp; e-Commerce || Banking &amp; Financial Services || Banking &amp; Financial Services || Banking &amp; Financial Services || FinTech || FinTech || FinTech || Retail &amp; e-Commerce || Retail &amp; e-Commerce || Retail &amp; e-Commerce || Fintech, Banking, Financial Services</t>
  </si>
  <si>
    <t>Sagar Mahat</t>
  </si>
  <si>
    <t xml:space="preserve">Founder </t>
  </si>
  <si>
    <t>IndusTreeBiz</t>
  </si>
  <si>
    <t>Summary:&lt;/strong&gt;&lt;/p&gt;&lt;p&gt;Mr. Sagar is a seasoned entrepreneur and business coach with over 30 years of experience, including roles as a Mentor at IIT Bombay and NITI AAYOG, and a Business Coach with the Delhi Government. He is the Founder of IndusTreeBiz and Delhi Angels Den, platforms dedicated to empowering startups and investors. His extensive expertise spans strategic advisory, brand development, and market strategies. Mr. Sagar has worked with Fortune 500 companies and MSMEs, offering comprehensive solutions that drive sales, revenue, and brand value. His mission is to support entrepreneurs and businesses through innovation and strategic growth.&lt;/p&gt;&lt;p&gt;&lt;br&gt;&lt;/p&gt;Key Areas of Expertise:&lt;/strong&gt;&lt;/p&gt;&lt;ul&gt;&lt;li&gt;&lt;strong&gt;Business Development&lt;/strong&gt;: Extensive experience in creating and implementing strategies to drive business growth.&lt;/li&gt;&lt;li&gt;&lt;strong&gt;Brand Development&lt;/strong&gt;: Expertise in building and enhancing brand value and market presence.&lt;/li&gt;&lt;li&gt;&lt;strong&gt;Startup Mentoring&lt;/strong&gt;: Provides guidance and support to startups through platforms like Delhi Angels Den and IndusTreeBiz.&lt;/li&gt;&lt;li&gt;&lt;strong&gt;Strategic Advisory&lt;/strong&gt;: Offers strategic and innovation consulting to businesses, including Fortune 500 companies and MSMEs.&lt;/li&gt;&lt;/ul&gt;&lt;p&gt;&lt;br&gt;&lt;/p&gt;Strategic Contributions:&lt;/strong&gt;&lt;/p&gt;&lt;ul&gt;&lt;li&gt;&lt;strong&gt;IndusTreeBiz&lt;/strong&gt;: Provides comprehensive business consulting, lead generation, sales training, and brand development services.&lt;/li&gt;&lt;li&gt;&lt;strong&gt;Delhi Angels Den&lt;/strong&gt;: Empowers startups and investors by facilitating connections and providing mentorship and resources.&lt;/li&gt;&lt;li&gt;&lt;strong&gt;Government &amp;amp; Global Involvement&lt;/strong&gt;: Contributes as a Mentor of Change at NITI AAYOG and Investment Task Force Member at G20 Brasil.&lt;/li&gt;&lt;/ul&gt;&lt;p&gt;&lt;br&gt;&lt;/p&gt;Mentorship Philosophy:&lt;/strong&gt;&lt;/p&gt;&lt;p&gt;Mr. Sagar believes in being a robust support system for entrepreneurs and businesses. He focuses on empowering startups and industries through strategic advisory, innovative solutions, and comprehensive support. His approach is centered on driving growth, enhancing brand value, and fostering positive industry developments.&lt;/p&gt;&lt;p&gt;&lt;br&gt;&lt;/p&gt;Success Stories:&lt;/strong&gt;&lt;/p&gt;&lt;ul&gt;&lt;li&gt;&lt;strong&gt;IndusTreeBiz&lt;/strong&gt;: Successfully supported numerous businesses in achieving significant growth and strategic success.&lt;/li&gt;&lt;li&gt;&lt;strong&gt;Delhi Angels Den&lt;/strong&gt;: Played a pivotal role in connecting 100,000 startups with investors, facilitating their growth and success.&lt;/li&gt;&lt;li&gt;&lt;strong&gt;Fortune 500 &amp;amp; MSMEs&lt;/strong&gt;: Contributed to the strategic development and brand enhancement of leading companies and MSMEs.&lt;/li&gt;&lt;/ul&gt;</t>
  </si>
  <si>
    <t>https://www.linkedin.com/in/sagarmahat/</t>
  </si>
  <si>
    <t xml:space="preserve">sagar.industreebiz@gmail.com </t>
  </si>
  <si>
    <t>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Branding || Business Model Development || Market research || Strategic Planning || Sales &amp; Business Development || Marketing &amp; Branding</t>
  </si>
  <si>
    <t>Agriculture &amp; Food Processing || Agriculture &amp; Food Processing || Agriculture &amp; Food Processing || Agriculture &amp; Food Processing || AI, Big Data &amp; Analytics || AI, Big Data &amp; Analytics || AI, Big Data &amp; Analytics || AI, Big Data &amp; Analytics || Automobiles &amp; Auto Components || Automobiles &amp; Auto Components || Automobiles &amp; Auto Components || Automobiles &amp; Auto Components || CleanTech || CleanTech || CleanTech || CleanTech || Education &amp; Training || Education &amp; Training || Education &amp; Training || Education &amp; Training || Energy &amp; Renewable Resources || Energy &amp; Renewable Resources || Energy &amp; Renewable Resources || Energy &amp; Renewable Resources || Fashion &amp; Beauty || Fashion &amp; Beauty || Fashion &amp; Beauty || Fashion &amp; Beauty || FinTech || FinTech || FinTech || FinTech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Retail &amp; e-Commerce || Retail &amp; e-Commerce || Retail &amp; e-Commerce || Retail &amp; e-Commerce || Services || Services || Services || Services || Social &amp; Community Services || Social &amp; Community Services || Social &amp; Community Services || Social &amp; Community Services || Technology &amp; Innovation || Technology &amp; Innovation || Technology &amp; Innovation || Technology &amp; Innovation || Tourism &amp; Hospitality || Tourism &amp; Hospitality || Tourism &amp; Hospitality || Tourism &amp; Hospitality || Agriculture &amp; Food Processing || Agriculture &amp; Food Processing || Agriculture &amp; Food Processing || Agriculture &amp; Food Processing || AI, Big Data &amp; Analytics || AI, Big Data &amp; Analytics || AI, Big Data &amp; Analytics || AI, Big Data &amp; Analytics || Automobiles &amp; Auto Components || Automobiles &amp; Auto Components || Automobiles &amp; Auto Components || Automobiles &amp; Auto Components || CleanTech || CleanTech || CleanTech || CleanTech || Education &amp; Training || Education &amp; Training || Education &amp; Training || Education &amp; Training || Energy &amp; Renewable Resources || Energy &amp; Renewable Resources || Energy &amp; Renewable Resources || Energy &amp; Renewable Resources || Fashion &amp; Beauty || Fashion &amp; Beauty || Fashion &amp; Beauty || Fashion &amp; Beauty || FinTech || FinTech || FinTech || FinTech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Retail &amp; e-Commerce || Retail &amp; e-Commerce || Retail &amp; e-Commerce || Retail &amp; e-Commerce || Services || Services || Services || Services || Social &amp; Community Services || Social &amp; Community Services || Social &amp; Community Services || Social &amp; Community Services || Technology &amp; Innovation || Technology &amp; Innovation || Technology &amp; Innovation || Technology &amp; Innovation || Tourism &amp; Hospitality || Tourism &amp; Hospitality || Tourism &amp; Hospitality || Tourism &amp; Hospitality || Agriculture &amp; Food Processing || Agriculture &amp; Food Processing || Agriculture &amp; Food Processing || Agriculture &amp; Food Processing || AI, Big Data &amp; Analytics || AI, Big Data &amp; Analytics || AI, Big Data &amp; Analytics || AI, Big Data &amp; Analytics || Automobiles &amp; Auto Components || Automobiles &amp; Auto Components || Automobiles &amp; Auto Components || Automobiles &amp; Auto Components || CleanTech || CleanTech || CleanTech || CleanTech || Education &amp; Training || Education &amp; Training || Education &amp; Training || Education &amp; Training || Energy &amp; Renewable Resources || Energy &amp; Renewable Resources || Energy &amp; Renewable Resources || Energy &amp; Renewable Resources || Fashion &amp; Beauty || Fashion &amp; Beauty || Fashion &amp; Beauty || Fashion &amp; Beauty || FinTech || FinTech || FinTech || FinTech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Retail &amp; e-Commerce || Retail &amp; e-Commerce || Retail &amp; e-Commerce || Retail &amp; e-Commerce || Services || Services || Services || Services || Social &amp; Community Services || Social &amp; Community Services || Social &amp; Community Services || Social &amp; Community Services || Technology &amp; Innovation || Technology &amp; Innovation || Technology &amp; Innovation || Technology &amp; Innovation || Tourism &amp; Hospitality || Tourism &amp; Hospitality || Tourism &amp; Hospitality || Tourism &amp; Hospitality || Retail &amp; e-Commerce || Consumer Products</t>
  </si>
  <si>
    <t>Dr. Steffi S. Sam</t>
  </si>
  <si>
    <t>Digital Marketing Expert - HealthCare</t>
  </si>
  <si>
    <t>Kairos Collective</t>
  </si>
  <si>
    <t>Dr. Steffi S. Sam is a Public Health Specialist and Digital Health professional with over 12 years of experience spanning healthcare research, digital health, and healthcare marketing. She is passionate about integrating technology with healthcare to create scalable, patient-centric solutions.
Her work includes leading healthcare campaigns that focus on patient education, awareness, trust-building, and engagement, as well as contributing to app development, product management, and healthcare promotion initiatives. As part of the HI-RaPID Lab, from inception to startup evolution, she gained deep exposure to multi-domain healthcare systems and interdisciplinary collaboration. As a Research Fellow, she has contributed to funded quantitative and qualitative research, effectively bridging the gap between healthcare and IT.
Skillset
Public Health &amp; Digital Health Strategy
Healthcare Marketing &amp; Promotion
Research (Quantitative &amp; Qualitative)
Project &amp; Product Management
Healthcare Consulting
Digital Marketing &amp; Social Media Strategy
Strategic Planning &amp; Analytics</t>
  </si>
  <si>
    <t>http://linkedin.com/in/dr-steffi-s-sam</t>
  </si>
  <si>
    <t>Saudi Arabia</t>
  </si>
  <si>
    <t>Riyadh</t>
  </si>
  <si>
    <t>stefs.sam@hotmail.com</t>
  </si>
  <si>
    <t>Product Development || Software Development || Product Management || Sales &amp; Business Development</t>
  </si>
  <si>
    <t>Pharmaceuticals, Healthcare and Wellness || Pharmaceuticals, Healthcare and Wellness || Pharmaceuticals, Healthcare and Wellness</t>
  </si>
  <si>
    <t>Sandeep Ohri</t>
  </si>
  <si>
    <t>Summary &lt;/strong&gt;&lt;/p&gt;&lt;p&gt;Mr. Sandeep - That Strategy Guy - helping businesses make better decisions on growth and sales using behavioural science. Certified in Behavioural Economics &amp;amp; Applied Behavioural Sciences by Ogilvy Consulting, UK, and in Behavioral Economics by Irrational Labs, USA. He is a visiting faculty member for BBA at MS Ramaiah University of Applied Sciences and MSc Economics at Dr BR Ambedkar School of Economics University. Over the past 34 years, He has been a self-funded Entrepreneur, twice over, and worked for various companies in Enterprise IT, Media Technology, Defense, Homeland Security, Plant Engineering, Geospatial Engineering, and Retail Packaging.&lt;/p&gt;&lt;p&gt;&lt;br&gt;&lt;/p&gt;Key Areas of Expertise&lt;/strong&gt;&lt;/p&gt;&lt;ul&gt;&lt;li&gt;Business Strategy&lt;/li&gt;&lt;li&gt;Sales Growth&lt;/li&gt;&lt;li&gt;Entrepreneurship&lt;/li&gt;&lt;li&gt;Leadership University&lt;/li&gt;&lt;li&gt;Teaching&lt;/li&gt;&lt;li&gt;Behavioural Science&lt;/li&gt;&lt;li&gt;Digital Marketing&lt;/li&gt;&lt;li&gt;Financial Management&lt;/li&gt;&lt;li&gt;P&amp;amp;L Management&lt;/li&gt;&lt;li&gt;Product Management Design&lt;/li&gt;&lt;/ul&gt;&lt;p&gt;&lt;br&gt;&lt;/p&gt;Strategic Contributions &lt;/strong&gt;&lt;/p&gt;&lt;ul&gt;&lt;li&gt;Co-founded and led April Broadcast, a Media Tech start-up offering Digital Strategy, Interactive Streaming, and Online Graphics.&lt;/li&gt;&lt;li&gt;Built the first Indian software approved by Facebook for FB Live streaming.&lt;/li&gt;&lt;li&gt;Conducted professional training workshops on Behavioural Science, Business, Leadership, Entrepreneurship, and Digital Marketing for corporate groups, industry associations, and universities.&lt;/li&gt;&lt;li&gt;Engaged by B2B clients in media technology, warehousing &amp;amp; cold chain logistics, industrial Product Managements, education, and healthcare to design business strategies, increase sales, and improve operational efficiencies.&lt;/li&gt;&lt;li&gt;Independent, non-executive Director of LaTim Metal &amp;amp; Industries, a listed company in Steel, Real Estate &amp;amp; Hospitality. Ran The Curated News on WhatsApp and Telegram, reaching thousands of people, and&lt;/li&gt;&lt;li&gt;The Behavioural Science WhatsApp Group with over 2,000 members. Hosted numerous online live talk shows, reaching a large audience globally.&lt;/li&gt;&lt;/ul&gt;&lt;p&gt;&lt;br&gt;&lt;/p&gt;Mentorship Philosophy&lt;/strong&gt;&lt;/p&gt;&lt;p&gt;Helping businesses make better decisions on growth and sales using behavioural science. Committed to empowering students and professionals through workshops and training sessions to make better decisions and develop strategic thinking. Success Stories Helped over 2,000 college students in 9 different universities learn how to make better decisions through in-person workshops on Behavioural Science. Trained over 5,000 professionals in 800+ hours on FEMA and valuations. Coached 300+ entrepreneurs from idea to implementation or helped them scale their business.&lt;/p&gt;</t>
  </si>
  <si>
    <t>https://www.linkedin.com/in/sandeepohri/</t>
  </si>
  <si>
    <t>sandeep@thatstrategyguy.in</t>
  </si>
  <si>
    <t>Branding || Business Model Development || Customer Service &amp; Retention || Go to Market Strategy || Growth Strategy Formulation || Market research || Public speaking || Sales Strategy || Social Media Marketing || Strategic Planning || Branding || Business Model Development || Customer Service &amp; Retention || Go to Market Strategy || Growth Strategy Formulation || Market research || Public speaking || Sales Strategy || Social Media Marketing || Strategic Planning || Branding || Business Model Development || Customer Service &amp; Retention || Go to Market Strategy || Growth Strategy Formulation || Market research || Public speaking || Sales Strategy || Social Media Marketing || Strategic Planning || Business Model Development || Sales &amp; Business Development</t>
  </si>
  <si>
    <t>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Telecommunications || Telecommunications || Telecommunications || Telecommunications || Telecommunications || Telecommunications || Telecommunications || Telecommunications || Telecommunications || Telecommunications || Real Estate &amp; Construction || Media, Arts &amp; Entertainment</t>
  </si>
  <si>
    <t>Amit Singhi</t>
  </si>
  <si>
    <t>Qurex</t>
  </si>
  <si>
    <t>Summary:&lt;/strong&gt;&lt;/p&gt;&lt;p&gt;Amit is a seasoned entrepreneur, Chartered Accountant (CA), MBA, and ex-Investment Banker with over 8 years of experience in the startup ecosystem. Having held key leadership roles at prominent companies like HealthifyMe and MFine, he has a proven track record of scaling businesses and driving profitability. Amit’s entrepreneurial journey includes founding three ventures, one of which was successfully sold to a Netherlands-based company. He is currently leading his third venture, which is experiencing impressive growth and profitability.&lt;/p&gt;&lt;p&gt;&lt;br&gt;&lt;/p&gt;Core Expertise:&lt;/strong&gt;&lt;/p&gt;&lt;p&gt;Amit specializes in B2B Sales, Founder Branding, Sustainable Growth, and crafting a clear Path to Profitability. His unique combination of financial acumen and entrepreneurial spirit enables him to scale businesses rapidly while maintaining strategic focus. Additionally, his expertise in personal branding has helped him build a strong presence on social media, growing his personal Instagram following significantly in a short time.&lt;/p&gt;&lt;p&gt;&lt;br&gt;&lt;/p&gt;Problem-Solving Approach:&lt;/strong&gt;&lt;/p&gt;&lt;p&gt;Amit’s approach to problem-solving is deeply rooted in data-driven decision-making and a clear understanding of market dynamics. He excels in identifying Product Management-market fit, building strong client relationships, and leading teams toward achieving long-term business goals. His entrepreneurial background allows him to navigate the challenges of scaling businesses and creating sustainable growth strategies.&lt;/p&gt;&lt;p&gt;&lt;br&gt;&lt;/p&gt;Impactful Projects:&lt;/strong&gt;&lt;/p&gt;&lt;ul&gt;&lt;li&gt;&lt;strong&gt;MFine:&lt;/strong&gt; As Director of the B2B vertical, Amit built and scaled the portfolio from 0 to over INR 60 Cr while driving the team toward profitability.&lt;/li&gt;&lt;li&gt;&lt;strong&gt;HealthifyMe:&lt;/strong&gt; Successfully scaled the business from INR 3 Cr to INR 7 Cr, playing a pivotal role in account management and client relationship building.&lt;/li&gt;&lt;li&gt;&lt;strong&gt;Entrepreneurial Ventures:&lt;/strong&gt; Founded two startups, with one successfully acquired by a Dutch company. His current venture has grown ~40% month-on-month and is CM2 positive.&lt;/li&gt;&lt;/ul&gt;&lt;p&gt;&lt;br&gt;&lt;/p&gt;Consultation Style:&lt;/strong&gt;&lt;/p&gt;&lt;p&gt;Amit’s consultation style is highly collaborative and focused on actionable strategies. He enjoys working closely with Founders, helping them fast-track their business growth through innovative Product Management ideation, strategic partnerships, and scaling solutions. His expertise in sales and branding makes him an invaluable resource for startups seeking sustainable growth and profitability.&lt;/p&gt;</t>
  </si>
  <si>
    <t>https://www.linkedin.com/in/amit15singhi/</t>
  </si>
  <si>
    <t>singhi.amit15@gmail.com</t>
  </si>
  <si>
    <t>Angel Investing || Sales Strategy || Angel Investing || Sales Strategy || Business Model Development || Sales &amp; Business Development</t>
  </si>
  <si>
    <t>Satish Chandra Nair</t>
  </si>
  <si>
    <t>Consultant- Industrial Automation</t>
  </si>
  <si>
    <t>Hayagreevaya Metal Industries Ltd</t>
  </si>
  <si>
    <t>Summary&lt;/strong&gt;&lt;/p&gt;&lt;p&gt;Mr. Satish Chandra is an experienced consultant with over 20 years of expertise across diverse fields, including industrial automation, manufacturing, operations, project management, and new Product Management development. He has worked in various sectors like metals &amp;amp; mining, bio-pharma, heavy equipments, industrial utilities, renewable energy, real estate and FinTech. With a strong entrepreneurial background and MBA from IIM-A, Mr. Chandra dedicates his time to mentoring startups, helping them optimize processes and align with strategic goals. Additionally, he mentors students, preparing them for corporate careers. His passion for statistics and analytics allows him to apply data-driven methods to solve complex business problems.&lt;/p&gt;&lt;p&gt;&lt;br&gt;&lt;/p&gt;Key Areas of Expertise&lt;/strong&gt;&lt;/p&gt;&lt;ul&gt;&lt;li&gt;Industrial Automation&lt;/li&gt;&lt;li&gt;Manufacturing&lt;/li&gt;&lt;li&gt;Operations&lt;/li&gt;&lt;li&gt;New Product Management Development&lt;/li&gt;&lt;li&gt;Engineering&lt;/li&gt;&lt;li&gt;Project Management&lt;/li&gt;&lt;li&gt;Technical Support&lt;/li&gt;&lt;li&gt;Strategic Planning&lt;/li&gt;&lt;/ul&gt;&lt;p&gt;&lt;br&gt;&lt;/p&gt;Strategic Contributions&lt;/strong&gt;&lt;/p&gt;&lt;ul&gt;&lt;li&gt;Optimized processes in alignment with company strategy for various industries&lt;/li&gt;&lt;li&gt;Extensive experience across sectors like metals &amp;amp; mining, bio-pharma, and FinTech&lt;/li&gt;&lt;li&gt;Entrepreneurial experience within the startup ecosystem, guiding operational improvements&lt;/li&gt;&lt;/ul&gt;&lt;p&gt;&lt;br&gt;&lt;/p&gt;Mentorship Philosophy&lt;/strong&gt;&lt;/p&gt;&lt;ul&gt;&lt;li&gt;Focused on mentoring startups to streamline operations and students for corporate success&lt;/li&gt;&lt;li&gt;Emphasizes applying analytical methods to business challenges&lt;/li&gt;&lt;/ul&gt;</t>
  </si>
  <si>
    <t>https://www.linkedin.com/in/satishchandranair/</t>
  </si>
  <si>
    <t>x14satish@iima.ac.in</t>
  </si>
  <si>
    <t>Business Model Development || Customer Relationship Management || Go to Market Strategy || Growth Strategy Formulation || Market research || Marketing || Process Optimization || Strategic Planning || Technical Support || Business Model Development || Customer Relationship Management || Go to Market Strategy || Growth Strategy Formulation || Market research || Marketing || Process Optimization || Strategic Planning || Technical Support || Business Model Development || Customer Relationship Management || Go to Market Strategy || Growth Strategy Formulation || Market research || Marketing || Process Optimization || Strategic Planning || Technical Support || Sales &amp; Business Development || Marketing &amp; Branding</t>
  </si>
  <si>
    <t>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Real Estate &amp; Construction || Real Estate &amp; Construction || Real Estate &amp; Construction || Real Estate &amp; Construction || Real Estate &amp; Construction || Real Estate &amp; Construction || Real Estate &amp; Construction || Real Estate &amp; Construction || Real Estate &amp; Construction || Manufacturing || Real Estate &amp; Construction</t>
  </si>
  <si>
    <t>Satish Mishra</t>
  </si>
  <si>
    <t>Consultant- Strategy &amp; Business Development</t>
  </si>
  <si>
    <t>Marketing Cafe</t>
  </si>
  <si>
    <t>MSME-focused growth leader with 25+ years of experience spanning business development, consulting, outsourcing, and business facilitation. Specializes in supporting small and medium enterprises (MSMEs) achieve sustainable growth through strategic guidance and operational excellence. Brings deep understanding of SME ecosystems, supply chain optimization, and business scaling strategies. Skills: MSME Development, Business Growth Strategy, Business Development, Consulting, Outsourcing Solutions, Business Facilitation, Supply Chain Management, Entrepreneurship Support, Market Expansion, Operational Excellence, SME Advisory.</t>
  </si>
  <si>
    <t>https://www.linkedin.com/in/satishkmishra/</t>
  </si>
  <si>
    <t>Ghaziabad</t>
  </si>
  <si>
    <t>satish@marketingcafe.in</t>
  </si>
  <si>
    <t>Customer Relationship Management || Go to Market Strategy || Growth Strategy Formulation || Marketing || Sales Strategy || Customer Relationship Management || Go to Market Strategy || Growth Strategy Formulation || Marketing || Sales Strategy || Customer Relationship Management || Go to Market Strategy || Growth Strategy Formulation || Marketing || Sales Strategy || Sales &amp; Business Development || Marketing &amp; Branding</t>
  </si>
  <si>
    <t>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Professional &amp; Business Services || Professional &amp; Business Services || Professional &amp; Business Services || Professional &amp; Business Services || Professional &amp; Business Services || Manufacturing</t>
  </si>
  <si>
    <t>Vetriselvan R</t>
  </si>
  <si>
    <t>Chief Operations Officer</t>
  </si>
  <si>
    <t>ProducerBazaar</t>
  </si>
  <si>
    <t>&lt;h3&gt;&lt;strong&gt;Summary:&lt;/strong&gt;&lt;/h3&gt;&lt;p&gt;Vetriselvan is a seasoned entrepreneur passionate about creating and scaling businesses across diverse sectors. With a postgraduate degree in management, he transitioned into entrepreneurship in 2009. His ventures span marketing advisory, digital media, fitness equipment manufacturing, and the food and beverage industry.&lt;/p&gt;&lt;p&gt;&lt;br&gt;&lt;/p&gt;&lt;h3&gt;&lt;strong&gt;Core Expertise:&lt;/strong&gt;&lt;/h3&gt;&lt;ul&gt;&lt;li&gt;&lt;strong&gt;Strategic Planning&lt;/strong&gt;&lt;/li&gt;&lt;li&gt;&lt;strong&gt;Marketing and Branding&lt;/strong&gt;&lt;/li&gt;&lt;li&gt;&lt;strong&gt;Operations Management&lt;/strong&gt;&lt;/li&gt;&lt;li&gt;&lt;strong&gt;Product Management Development&lt;/strong&gt;&lt;/li&gt;&lt;li&gt;&lt;strong&gt;Financial Management&lt;/strong&gt;&lt;/li&gt;&lt;/ul&gt;&lt;p&gt;&lt;br&gt;&lt;/p&gt;&lt;h3&gt;&lt;strong&gt;Problem-Solving Approach:&lt;/strong&gt;&lt;/h3&gt;&lt;p&gt;Vetriselvan adopts a comprehensive and innovative approach to problem-solving. He focuses on understanding market trends, consumer behavior, and operational efficiencies to drive growth. He leverages technology and strategic planning to develop scalable solutions, ensuring that each venture meets its market potential and operational objectives.&lt;/p&gt;&lt;p&gt;&lt;br&gt;&lt;/p&gt;&lt;h3&gt;&lt;strong&gt;Impactful Projects:&lt;/strong&gt;&lt;/h3&gt;&lt;p&gt;Vetriselvan has led several impactful projects, including the founding of THINK DIVERSO, a marketing advisory firm specializing in below-the-line activities in the Fitness, Entertainment, and Retail sectors. He co-founded BLOGM, a pioneering Blogazine promoting writers globally, and established CUTS N CURVES, a notable venture in fitness equipment manufacturing. His F&amp;amp;B brands, Kaapikudil and Eggsclusive, have been successful in the B2B segment, showcasing his versatility in different industries.&lt;/p&gt;&lt;p&gt;&lt;br&gt;&lt;/p&gt;&lt;h3&gt;&lt;strong&gt;Consultation Style:&lt;/strong&gt;&lt;/h3&gt;&lt;p&gt;Vetriselvan's consultation style is hands-on and collaborative. He believes in closely working with his clients to understand their unique challenges and opportunities. He tailors his guidance to the specific needs of each business, focusing on practical, actionable strategies. His mentorship emphasizes calculated risk-taking and innovation, encouraging entrepreneurs to turn their ideas into reality while ensuring sustainable growth and success.&lt;/p&gt;</t>
  </si>
  <si>
    <t>https://www.linkedin.com/in/vetriselvanr/</t>
  </si>
  <si>
    <t>writetovetri@gmail.com</t>
  </si>
  <si>
    <t>Branding || Budgeting &amp; Financial Modeling || Go to Market Strategy || Market access || Market research || Marketing || Product Development || Strategic Planning || Branding || Budgeting &amp; Financial Modeling || Go to Market Strategy || Market access || Market research || Marketing || Product Development || Strategic Planning || Branding || Budgeting &amp; Financial Modeling || Go to Market Strategy || Market access || Market research || Marketing || Product Development || Strategic Planning || Branding || Budgeting &amp; Financial Modeling || Go to Market Strategy || Market access || Market research || Marketing || Product Development || Strategic Planning || Sales &amp; Business Development || Strategic Planning</t>
  </si>
  <si>
    <t>Agriculture &amp; Food Processing || Agriculture &amp; Food Processing || Agriculture &amp; Food Processing || Agriculture &amp; Food Processing || Agriculture &amp; Food Processing || Agriculture &amp; Food Processing || Agriculture &amp; Food Processing || Agriculture &amp; Food Processing || Tourism &amp; Hospitality || Tourism &amp; Hospitality || Tourism &amp; Hospitality || Tourism &amp; Hospitality || Tourism &amp; Hospitality || Tourism &amp; Hospitality || Tourism &amp; Hospitality || Tourism &amp; Hospitality || Agriculture &amp; Food Processing || Agriculture &amp; Food Processing || Agriculture &amp; Food Processing || Agriculture &amp; Food Processing || Agriculture &amp; Food Processing || Agriculture &amp; Food Processing || Agriculture &amp; Food Processing || Agriculture &amp; Food Processing || Tourism &amp; Hospitality || Tourism &amp; Hospitality || Tourism &amp; Hospitality || Tourism &amp; Hospitality || Tourism &amp; Hospitality || Tourism &amp; Hospitality || Tourism &amp; Hospitality || Tourism &amp; Hospitality || Agritech &amp; Food Processing || Media, Arts &amp; Entertainment</t>
  </si>
  <si>
    <t>Shalin Wadhwa</t>
  </si>
  <si>
    <t>Unparalleled Eats</t>
  </si>
  <si>
    <t>Summary:&lt;/strong&gt;&lt;/p&gt;&lt;p&gt;Shalin is a results-oriented professional with over 9 years of experience in sales and business expansion within the food industry. He specializes in managing online sales through aggregators and online channel partners, driving growth, and maximizing visibility for food brands.&lt;/p&gt;&lt;p&gt;&lt;br&gt;&lt;/p&gt;Core Expertise:&lt;/strong&gt;&lt;/p&gt;&lt;p&gt;Shalin's expertise includes managing a cumulative GMV of over 5 crore per month across multiple brands on aggregator platforms. He has a proven track record in HORECA sales and has effectively implemented marketing and sales communication strategies, brand positioning, and Product Management innovation to enhance brand visibility and market share. He is adept at leveraging market research, industry analysis, and customer insights to anticipate competitive actions, build customer loyalty, and boost brand performance.&lt;/p&gt;&lt;p&gt;&lt;br&gt;&lt;/p&gt;Problem-Solving Approach:&lt;/strong&gt;&lt;/p&gt;&lt;p&gt;Shalin uses a data-driven approach to optimize online sales management for food brands. By strategically implementing innovative advertising and go-to-market strategies on online portals and aggregators for cloud kitchens, he increases Product Management awareness, customer acquisition, market share, penetration, and revenue. His approach focuses on understanding the unique challenges of the food industry and tailoring solutions to meet specific business needs, ensuring sustainable growth and profitability.&lt;/p&gt;&lt;p&gt;&lt;br&gt;&lt;/p&gt;Impactful Projects:&lt;/strong&gt;&lt;/p&gt;&lt;p&gt;As the Founder of Unparalleled Eats (Srv Enterprises), Shalin has successfully managed a GMV of over 5 crore per month for top brands in Delhi NCR within less than two years. His experience includes working with well-known names like Singlas, BurgerSingh, and Zomato, where he has driven significant growth and profitability through his comprehensive end-to-end management services.&lt;/p&gt;&lt;p&gt;&lt;br&gt;&lt;/p&gt;Consultation Style:&lt;/strong&gt;&lt;/p&gt;&lt;p&gt;Shalin's consultation style is collaborative and results-driven. He works closely with his clients to understand their goals and challenges, providing tailored solutions that optimize operations, reduce costs, and enhance brand performance. He is committed to driving maximum visibility and growth for food brands, helping them achieve success on various aggregator platforms.&lt;/p&gt;</t>
  </si>
  <si>
    <t>https://www.linkedin.com/in/shalin-wadhwa-a0215853/</t>
  </si>
  <si>
    <t>Faridabad</t>
  </si>
  <si>
    <t>shalin.ue@gmail.com</t>
  </si>
  <si>
    <t>Branding || Marketing || Sales Strategy || Branding || Marketing || Sales Strategy || Branding || Marketing || Sales Strategy || Branding || Marketing || Sales Strategy || Sales &amp; Business Development || Growth Strategy Formulation</t>
  </si>
  <si>
    <t>Retail &amp; e-Commerce || Retail &amp; e-Commerce || Retail &amp; e-Commerce || Tourism &amp; Hospitality || Tourism &amp; Hospitality || Tourism &amp; Hospitality || Retail &amp; e-Commerce || Retail &amp; e-Commerce || Retail &amp; e-Commerce || Tourism &amp; Hospitality || Tourism &amp; Hospitality || Tourism &amp; Hospitality || Agritech &amp; Food Processing || Tourism &amp; Hospitality</t>
  </si>
  <si>
    <t>Snehal Chincholkar</t>
  </si>
  <si>
    <t>Consultant</t>
  </si>
  <si>
    <t>Catalytics</t>
  </si>
  <si>
    <t>Summary:
Dr. Snehal is a marketing professional with more than 15 years of experience. Her area of expertise lies in area of Marketing. She has been awarded Ph.D. from Symbiosis International University Pune in Consumer Buying Behavior. Prior to that she has completed her engineering in Bio-technology (Gold Medallist) and M.B.A. in marketing. She is NET qualified and also completed various certification courses. She has presented research papers in various national and international conferences and her papers also published in various reputed journals. She has been awarded as Best faculty in Marketing by 27th B-school Dewang Mehta and National Education Award in 2017 and also won Young Social Scientist Award by the S. C. Ray Educational Trust (SCRET) in 2018. Currently she is actively involved in various teaching and training programs. Prior to her academic engagements she was working in Philips, India. She loves to read, write and travel and also has her own travel blog.
Key Areas of Expertise:
Marketing Managemnent,
Consumer Behaviour,
Consumer Research,
Rural Marketing,
Emerging Trends in Marketing,
Travel and Tourism Management,
Selling and Negotiation and Entrepreneurship.
Strategic Contributions:
Started various CSR activities in the college and further conceptualized separate Cell for CSR activities in the college and headed the same for 10 years. Under which our team started 2-month internship program with various NGOs across India and more than 500 students worked in various social projects with these NGOs. Also worked as HOD of International Business Specialization for one year and Dean Academic for short span of 3 months and was involved in various strategic decisions. Currently associated with some small ventures and guiding them in setting up their business from last two years.
Mentorship Philosophy:
According to me mentoring is a two way learning process where experience and different point of views can lead the success of any startups.
Success Stories:
Currently associated with some small ventures and guiding them in setting up their business from last two years. Also, in process of developing case studies of various successful as well as unsuccessful startups to dig down the challenges and opportunity of doing business.</t>
  </si>
  <si>
    <t>https://www.linkedin.com/in/dr-snehal-chincholkar-124b5b251/</t>
  </si>
  <si>
    <t>snehal.chincholkar@ves.ac.in
snehal14nov@gmail.com (Student)
tamonwheels@gmail.com (Mentor)</t>
  </si>
  <si>
    <t>Idea Validation || Branding || Business Model Development || Growth Strategy Formulation || Market research || Marketing || Sales Strategy || Social Media Marketing || Branding || Business Model Development || Growth Strategy Formulation || Market research || Marketing || Sales Strategy || Social Media Marketing || Branding || Business Model Development || Growth Strategy Formulation || Market research || Marketing || Sales Strategy || Social Media Marketing || Branding || Business Model Development || Growth Strategy Formulation || Market research || Marketing || Sales Strategy || Social Media Marketing || Branding || Business Model Development || Growth Strategy Formulation || Market research || Marketing || Sales Strategy || Social Media Marketing || Branding || Business Model Development || Growth Strategy Formulation || Market research || Marketing || Sales Strategy || Social Media Marketing || Branding || Business Model Development || Growth Strategy Formulation || Market research || Marketing || Sales Strategy || Social Media Marketing || Marketing &amp; Branding || Sales &amp; Business Development</t>
  </si>
  <si>
    <t>Others || Agriculture &amp; Food Processing || Agriculture &amp; Food Processing || Agriculture &amp; Food Processing || Agriculture &amp; Food Processing || Agriculture &amp; Food Processing || Agriculture &amp; Food Processing || Agriculture &amp; Food Processing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Retail &amp; e-Commerce || Retail &amp; e-Commerce || Retail &amp; e-Commerce || Retail &amp; e-Commerce || Retail &amp; e-Commerce || Retail &amp; e-Commerce || Retail &amp; e-Commerce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Education &amp; Training || Consumer Products</t>
  </si>
  <si>
    <t>Srinivas Duddu</t>
  </si>
  <si>
    <t>Sr. Director, Professional Services(APAC)</t>
  </si>
  <si>
    <t>Kaltura</t>
  </si>
  <si>
    <t>Summary:&lt;/strong&gt;&lt;/p&gt;&lt;p&gt;Srinivas is a seasoned business leader and mentor with over 25 years of experience in global leadership roles across various domains such as Video SaaS, IoT, Cybersecurity, and Telecommunications. With a proven track record in strategy, business leadership, and Product Management development, Srinivas brings multi-dimensional C-suite skills to the table. Currently serving as the Senior Director of Virtual Events at Kaltura, he has previously co-founded a technology startup in the secure communications space and led the services team at Nagra Kudelksi in the APAC region. Srinivas combines his technical expertise with a deep understanding of market dynamics, driving business growth and client satisfaction through innovation and strategic leadership.&lt;/p&gt;&lt;p&gt;&lt;br&gt;&lt;/p&gt;Key Areas of Expertise:&lt;/strong&gt;&lt;/p&gt;&lt;ul&gt;&lt;li&gt;Global Team Leadership&lt;/li&gt;&lt;li&gt;Strategy and Business Development&lt;/li&gt;&lt;li&gt;Product Management Development and Delivery&lt;/li&gt;&lt;li&gt;Video SaaS, IoT, Cybersecurity, Digital PayTV, and Telco&lt;/li&gt;&lt;li&gt;Customer-Centric Solution Crafting&lt;/li&gt;&lt;li&gt;Ideation, Innovation, and P&amp;amp;L Management&lt;/li&gt;&lt;/ul&gt;&lt;p&gt;&lt;br&gt;&lt;/p&gt;Strategic Contributions:&lt;/strong&gt;&lt;/p&gt;&lt;p&gt;Srinivas has led numerous strategic initiatives that have resulted in significant business growth and transformation. He has launched new Product Managements, revitalized business lines, and led transformation projects that have enhanced delivery operations and professional services. His ability to engage the C-suite and manage diverse global teams across multiple markets has been instrumental in driving collaboration and achieving strategic business goals.&lt;/p&gt;&lt;p&gt;&lt;br&gt;&lt;/p&gt;Mentorship Philosophy:&lt;/strong&gt;&lt;/p&gt;&lt;p&gt;Srinivas believes in a hands-on, collaborative approach to mentoring startups. He focuses on nurturing innovation and strategic thinking while fostering a culture of growth and development. His experience in managing diverse teams and understanding market dynamics allows him to provide valuable insights and guidance to startups, helping them scale and achieve sustainable success.&lt;/p&gt;</t>
  </si>
  <si>
    <t>https://www.linkedin.com/in/duddu/</t>
  </si>
  <si>
    <t>sd@srinivasduddu.com</t>
  </si>
  <si>
    <t>Cost Management || Deep Tech (Blockchain, AI, Robotics, AR/VR) || Growth Strategy Formulation || Product Development || Tech Strategy &amp; Infrastructure || Cost Management || Deep Tech (Blockchain, AI, Robotics, AR/VR) || Growth Strategy Formulation || Product Development || Tech Strategy &amp; Infrastructure || Cost Management || Deep Tech (Blockchain, AI, Robotics, AR/VR) || Growth Strategy Formulation || Product Development || Tech Strategy &amp; Infrastructure || Cost Management || Deep Tech (Blockchain, AI, Robotics, AR/VR) || Growth Strategy Formulation || Product Development || Tech Strategy &amp; Infrastructure || Cost Management || Deep Tech (Blockchain, AI, Robotics, AR/VR) || Growth Strategy Formulation || Product Development || Tech Strategy &amp; Infrastructure || Cost Management || Deep Tech (Blockchain, AI, Robotics, AR/VR) || Growth Strategy Formulation || Product Development || Tech Strategy &amp; Infrastructure || Sales &amp; Business Development || Product Management Management</t>
  </si>
  <si>
    <t>AI, Big Data &amp; Analytics || AI, Big Data &amp; Analytics || AI, Big Data &amp; Analytics || AI, Big Data &amp; Analytics || AI, Big Data &amp; Analytics || Technology &amp; Innovation || Technology &amp; Innovation || Technology &amp; Innovation || Technology &amp; Innovation || Technology &amp; Innovation || AI, Big Data &amp; Analytics || AI, Big Data &amp; Analytics || AI, Big Data &amp; Analytics || AI, Big Data &amp; Analytics || AI, Big Data &amp; Analytics || Technology &amp; Innovation || Technology &amp; Innovation || Technology &amp; Innovation || Technology &amp; Innovation || Technology &amp; Innovation || AI, Big Data &amp; Analytics || AI, Big Data &amp; Analytics || AI, Big Data &amp; Analytics || AI, Big Data &amp; Analytics || AI, Big Data &amp; Analytics || Technology &amp; Innovation || Technology &amp; Innovation || Technology &amp; Innovation || Technology &amp; Innovation || Technology &amp; Innovation || Retail &amp; e-Commerce || Telecommunications</t>
  </si>
  <si>
    <t>Subhajit Bhattacharya</t>
  </si>
  <si>
    <t>AVP - Innovation Principal</t>
  </si>
  <si>
    <t>Accenture</t>
  </si>
  <si>
    <t>Summary:&lt;/strong&gt;&lt;/p&gt;&lt;span class="ql-cursor"&gt;﻿&lt;/span&gt;&lt;/strong&gt;Subhajit is an accomplished IT professional, entrepreneur, and startup mentor with expertise in digital transformation, AI enablement, cloud migration, and automation. With vast experience in IT strategy, solution consulting, and management, he has successfully driven enterprise-wide innovation programs. He is also a life coach, public speaker, and visiting lecturer, helping universities set up incubation labs. &lt;strong&gt;﻿&lt;/strong&gt;Subhajit is an honorary Advisory Council member of Harvard Business Review and has received several accolades, including the ICT Academy Award in 2023 for contributions to academia and innovation.&lt;/p&gt;&lt;p&gt;&lt;br&gt;&lt;/p&gt;Key Areas of Expertise:&lt;/strong&gt;&lt;/p&gt;&lt;ul&gt;&lt;li&gt;IT Strategy &amp;amp; Digital Transformation&lt;/li&gt;&lt;li&gt;Artificial Intelligence &amp;amp; Machine Learning&lt;/li&gt;&lt;li&gt;Cloud Computing &amp;amp; DevOps&lt;/li&gt;&lt;li&gt;Business &amp;amp; Management Consulting&lt;/li&gt;&lt;li&gt;Leadership Development &amp;amp; Executive Coaching&lt;/li&gt;&lt;/ul&gt;&lt;p&gt;&lt;br&gt;&lt;/p&gt;Strategic Contributions:&lt;/strong&gt;&lt;/p&gt;&lt;ul&gt;&lt;li&gt;Led innovation and automation programs in AI, ML, Data Analytics, and RPA.&lt;/li&gt;&lt;li&gt;Developed IT strategies for global organizations, enabling business transformation.&lt;/li&gt;&lt;li&gt;Assisted universities in setting up incubation labs for startups.&lt;/li&gt;&lt;/ul&gt;&lt;p&gt;&lt;br&gt;&lt;/p&gt;Mentorship Philosophy:&lt;/strong&gt;&lt;/p&gt;&lt;p&gt;Subhajit believes in empowering startups through practical mentorship in business innovation, IT strategy, and entrepreneurial development.&lt;/p&gt;</t>
  </si>
  <si>
    <t>https://www.linkedin.com/in/subhajitbhattacharya/</t>
  </si>
  <si>
    <t>subhajit.bhattacharya07@gmail.com</t>
  </si>
  <si>
    <t>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Deep Tech (Blockchain, AI, Robotics, AR/VR) || Marketing || Product Development || Tech Strategy &amp; Infrastructure || Growth Strategy Formulation || Sales &amp; Business Development</t>
  </si>
  <si>
    <t>Agriculture &amp; Food Processing || Agriculture &amp; Food Processing || Agriculture &amp; Food Processing || Agriculture &amp; Food Processing || AI, Big Data &amp; Analytics || AI, Big Data &amp; Analytics || AI, Big Data &amp; Analytics || AI, Big Data &amp; Analytics || CleanTech || CleanTech || CleanTech || CleanTech || Consumer Products || Consumer Products || Consumer Products || Consumer Products || Education &amp; Training || Education &amp; Training || Education &amp; Training || Education &amp; Training || FinTech || FinTech || FinTech || FinTech || Retail &amp; e-Commerce || Retail &amp; e-Commerce || Retail &amp; e-Commerce || Retail &amp; e-Commerce || Transportation &amp; Logistics || Transportation &amp; Logistics || Transportation &amp; Logistics || Transportation &amp; Logistics || Agriculture &amp; Food Processing || Agriculture &amp; Food Processing || Agriculture &amp; Food Processing || Agriculture &amp; Food Processing || AI, Big Data &amp; Analytics || AI, Big Data &amp; Analytics || AI, Big Data &amp; Analytics || AI, Big Data &amp; Analytics || CleanTech || CleanTech || CleanTech || CleanTech || Consumer Products || Consumer Products || Consumer Products || Consumer Products || Education &amp; Training || Education &amp; Training || Education &amp; Training || Education &amp; Training || FinTech || FinTech || FinTech || FinTech || Retail &amp; e-Commerce || Retail &amp; e-Commerce || Retail &amp; e-Commerce || Retail &amp; e-Commerce || Transportation &amp; Logistics || Transportation &amp; Logistics || Transportation &amp; Logistics || Transportation &amp; Logistics || Agriculture &amp; Food Processing || Agriculture &amp; Food Processing || Agriculture &amp; Food Processing || Agriculture &amp; Food Processing || AI, Big Data &amp; Analytics || AI, Big Data &amp; Analytics || AI, Big Data &amp; Analytics || AI, Big Data &amp; Analytics || CleanTech || CleanTech || CleanTech || CleanTech || Consumer Products || Consumer Products || Consumer Products || Consumer Products || Education &amp; Training || Education &amp; Training || Education &amp; Training || Education &amp; Training || FinTech || FinTech || FinTech || FinTech || Retail &amp; e-Commerce || Retail &amp; e-Commerce || Retail &amp; e-Commerce || Retail &amp; e-Commerce || Transportation &amp; Logistics || Transportation &amp; Logistics || Transportation &amp; Logistics || Transportation &amp; Logistics || Agriculture &amp; Food Processing || Agriculture &amp; Food Processing || Agriculture &amp; Food Processing || Agriculture &amp; Food Processing || AI, Big Data &amp; Analytics || AI, Big Data &amp; Analytics || AI, Big Data &amp; Analytics || AI, Big Data &amp; Analytics || CleanTech || CleanTech || CleanTech || CleanTech || Consumer Products || Consumer Products || Consumer Products || Consumer Products || Education &amp; Training || Education &amp; Training || Education &amp; Training || Education &amp; Training || FinTech || FinTech || FinTech || FinTech || Retail &amp; e-Commerce || Retail &amp; e-Commerce || Retail &amp; e-Commerce || Retail &amp; e-Commerce || Transportation &amp; Logistics || Transportation &amp; Logistics || Transportation &amp; Logistics || Transportation &amp; Logistics || Software &amp; IT Services</t>
  </si>
  <si>
    <t>Suman Saha</t>
  </si>
  <si>
    <t>Myntra</t>
  </si>
  <si>
    <t>Summary:&lt;/strong&gt;&lt;/p&gt;&lt;p&gt;Suman is a proven leader in the apparel and textile industry with a wealth of experience navigating the complexities of multi-channel and multi-brand businesses. His diverse journey across various brands and companies has equipped him with the ability to engineer business turnarounds, launch new brands and categories, and drive sustainable, profitable growth. Currently, as a CXO, Suman leads brand building, buying, design, and sourcing for HoB, showcasing his expertise in business strategy, retail, operations, supply chain, Product Management management, and sales.&lt;/p&gt;&lt;p&gt;&lt;br&gt;&lt;/p&gt;Core Expertise:&lt;/strong&gt;&lt;/p&gt;&lt;p&gt;Suman specializes in the apparel and textile industry, with a strong focus on brand building, retail, operations, supply chain management, and Product Management management. His extensive experience also includes launching new brands and managing large-scale, multi-brand portfolios.&lt;/p&gt;&lt;p&gt;&lt;br&gt;&lt;/p&gt;Problem-Solving Approach:&lt;/strong&gt;&lt;/p&gt;&lt;p&gt;Suman approaches challenges with a strong analytical mindset, leveraging data-driven insights to make informed decisions. He excels at identifying core issues and implementing strategic solutions that drive operational efficiency and profitability. His ability to set up robust operating rhythms and processes has been key to turning around underperforming businesses.&lt;/p&gt;&lt;p&gt;&lt;br&gt;&lt;/p&gt;Impactful Projects:&lt;/strong&gt;&lt;/p&gt;&lt;p&gt;Throughout his career, Suman has led several impactful projects, including the successful turnaround of brands, the launch of new brands and Product Management categories, and the establishment of scalable operational frameworks. His leadership at Arrow as Chief Executive Officer and as Chief Operating Officer for Group Apparel and MTM at Raymond Apparel Limited has been particularly noteworthy, resulting in significant growth and market presence.&lt;/p&gt;&lt;p&gt;&lt;br&gt;&lt;/p&gt;Consultation Style:&lt;/strong&gt;&lt;/p&gt;&lt;p&gt;Suman is known for his collaborative and inclusive consultation style. He tailors his guidance to the unique needs of each business, working closely with teams to ensure alignment with strategic goals. Suman is also a strong advocate for diversity and is skilled in managing and mentoring large teams, fostering an environment of innovation and growth.&lt;/p&gt;</t>
  </si>
  <si>
    <t>https://www.linkedin.com/in/suman-prabiir-saha-b3559125/</t>
  </si>
  <si>
    <t>saahasuman@gmail.com</t>
  </si>
  <si>
    <t>Logistics Management || Sales Strategy || Supply Chain Management || Logistics Management || Sales Strategy || Supply Chain Management || Logistics Management || Sales Strategy || Supply Chain Management || Logistics Management || Sales Strategy || Supply Chain Management || Sales &amp; Business Development</t>
  </si>
  <si>
    <t>Fashion &amp; Beauty || Fashion &amp; Beauty || Fashion &amp; Beauty || Retail &amp; e-Commerce || Retail &amp; e-Commerce || Retail &amp; e-Commerce || Fashion &amp; Beauty || Fashion &amp; Beauty || Fashion &amp; Beauty || Retail &amp; e-Commerce || Retail &amp; e-Commerce || Retail &amp; e-Commerce || Textiles &amp; Apparel || Retail &amp; e-Commerce</t>
  </si>
  <si>
    <t>Sunil Srivastava</t>
  </si>
  <si>
    <t>Institute of Metro and Rail Technology</t>
  </si>
  <si>
    <t>Professional Background: &lt;/strong&gt;&lt;/p&gt;&lt;p&gt;Sunil Srivastava brings extensive experience and a strong leadership record to his role as the Managing Director of Balaji Railroad Systems P Ltd. With a career spanning several decades in the railway industry, he has been instrumental in steering the company towards innovation, efficiency, and growth.&lt;/p&gt;&lt;p&gt;&lt;br&gt;&lt;/p&gt;Key Responsibilities&lt;/strong&gt;:&lt;/p&gt;&lt;ul&gt;&lt;li&gt;Overseeing the overall strategic direction of BARSYL.&lt;/li&gt;&lt;li&gt;Leading the executive team to implement key business initiatives.&lt;/li&gt;&lt;li&gt;Ensuring operational excellence and optimizing the company's service offerings.&lt;/li&gt;&lt;li&gt;Fostering relationships with key stakeholders, including clients, partners, and regulatory bodies.&lt;/li&gt;&lt;li&gt;Driving innovation in the railway sector, focusing on sustainability and technological advancements. Achievements:&lt;/li&gt;&lt;li&gt;Successfully led multiple high-profile projects in India, UK, France, Germany, France, Saudi Arabia, UAE, Syria, Sudan, Bangladesh, Myanmar, Malaysia, Australia, Indonesia, Iran, Singapore, Sri Lanka, Nepal and Tanzania contributing significantly to the modernization of railway infrastructure.&lt;/li&gt;&lt;li&gt;Expanded the company’s market reach both domestically and internationally.&lt;/li&gt;&lt;li&gt;Developed a robust corporate culture that prioritizes employee development and customer satisfaction. Educational Background:&lt;/li&gt;&lt;li&gt;Holds degrees in Science and Electrical Engineering from Osmania University, Hyderabad.&lt;/li&gt;&lt;li&gt;Diploma in SME Management from IIM – A. Skills and Expertise:&lt;/li&gt;&lt;li&gt;Strategic planning and execution&lt;/li&gt;&lt;li&gt;Operational management&lt;/li&gt;&lt;li&gt;Leadership, mentoring and team development&lt;/li&gt;&lt;li&gt;Innovation and technology integration&lt;/li&gt;&lt;li&gt;Stakeholder management&lt;/li&gt;&lt;li&gt;Project management&lt;/li&gt;&lt;li&gt;Financial acumen Personal Attributes:&lt;/li&gt;&lt;li&gt;Visionary leader with a strategic mindset&lt;/li&gt;&lt;li&gt;Strong communicator and negotiator&lt;/li&gt;&lt;li&gt;Innovative thinker with a focus on sustainable development&lt;/li&gt;&lt;li&gt;Committed to fostering a positive and inclusive workplace culture Contributions to Industry:&lt;/li&gt;&lt;li&gt;Member American Railway Engineering Association&lt;/li&gt;&lt;li&gt;Life Member Chartered Institute of Logistics &amp;amp; Transport&lt;/li&gt;&lt;li&gt;Member of the National Task Force of Railway – Confederation on Indian Industries was instrumental in suggesting policy initiatives to the Govt of India&lt;/li&gt;&lt;li&gt;Governing Council Member of Consulting Engineering Association of India have taken a proactive interest in promoting the cause of Consultants and their issues to the Policy makers.&lt;/li&gt;&lt;li&gt;As Senior Mentor – Bhartiya Yuva Shakti Trust an NGO has been guiding and developing entrepreneurs in various fields.&lt;/li&gt;&lt;li&gt;Regularly participates in industry conferences and forums, sharing insights and best practices.&lt;/li&gt;&lt;li&gt;Actively involved in initiatives aimed at promoting sustainability and innovation within the railway sector.&lt;/li&gt;&lt;li&gt;Contributed to policy-making discussions and advocacy for improvements in transportation infrastructure.&lt;/li&gt;&lt;/ul&gt;&lt;p&gt;&lt;br&gt;&lt;/p&gt;&lt;p&gt;Sunil Srivastava envisions BARSYL as a leader in the global railway industry, known for its commitment to excellence, innovation, and sustainable practices. He aims to continue building the legacy of the Founders, ensuring that the company remains at the forefront of technological advancements in railway systems. His leadership continues to drive BARSYL towards new heights, making significant contributions to the railway industry while upholding the values of integrity, excellence, and innovation. Sunil Srivastava has been a national level badminton player having represented and captained Andhra Pradesh and Osmania University teams for a decade. He is a cancer survivor and regularly gives motivational talks on the subject.&lt;/p&gt;</t>
  </si>
  <si>
    <t>https://www.linkedin.com/in/sunil-srivastava-55a4a62</t>
  </si>
  <si>
    <t>Srivastava.s@barsyl.in</t>
  </si>
  <si>
    <t>Branding || Business Model Development || Customer Relationship Management || Go to Market Strategy || Growth Strategy Formulation || Market research || Talent Acquisition || Branding || Business Model Development || Customer Relationship Management || Go to Market Strategy || Growth Strategy Formulation || Market research || Talent Acquisition || Branding || Business Model Development || Customer Relationship Management || Go to Market Strategy || Growth Strategy Formulation || Market research || Talent Acquisition || Branding || Business Model Development || Customer Relationship Management || Go to Market Strategy || Growth Strategy Formulation || Market research || Talent Acquisition || Buisness Operations || Sales &amp; Business Development</t>
  </si>
  <si>
    <t>Automobiles &amp; Auto Components || Automobiles &amp; Auto Components || Automobiles &amp; Auto Components || Automobiles &amp; Auto Components || Automobiles &amp; Auto Components || Automobiles &amp; Auto Components || Automobiles &amp; Auto Components || Education &amp; Training || Education &amp; Training || Education &amp; Training || Education &amp; Training || Education &amp; Training || Education &amp; Training || Education &amp; Training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Transportation &amp; Logistics</t>
  </si>
  <si>
    <t>Vijender Mogili</t>
  </si>
  <si>
    <t>Indigenous Development Organisation - I DO</t>
  </si>
  <si>
    <t>Summary&lt;/strong&gt;&lt;/p&gt;&lt;p&gt;Mr. Vijender is a seasoned social entrepreneur with over a decade of experience driving community change and inclusive development. Holding a master's degree in Social Entrepreneurship from TISS Mumbai and multiple certifications, he has worked across various sectors, including government initiatives, coaching for micro-enterprises, and leading the Indigenous Development Organisation (IDO), impacting over 19,000+ tribal individuals. As Program Manager for Social Entrepreneurship at BV - CSRB, he mentors aspiring social entrepreneurs, emphasizing community empowerment and sustainable development. A mentor for Social enterprises at Miller Center for Social Entreprernuship (Sant Cluara University), his passion extends beyond professional endeavors, advocating for inclusivity, dignity, and tribal advancement.&lt;/p&gt;&lt;p&gt;&lt;br&gt;&lt;/p&gt;Key Areas of Expertise&lt;/strong&gt;&lt;/p&gt;&lt;ul&gt;&lt;li&gt;Social Entrepreneurship&lt;/li&gt;&lt;li&gt;Inclusive Development&lt;/li&gt;&lt;li&gt;Livelihood Initiatives&lt;/li&gt;&lt;li&gt;Women &amp;amp; Tribal Entrepreneurship&lt;/li&gt;&lt;li&gt;Project Management&lt;/li&gt;&lt;li&gt;Human Resource Development&lt;/li&gt;&lt;/ul&gt;&lt;p&gt;&lt;br&gt;&lt;/p&gt;Strategic Contributions&lt;/strong&gt;&lt;/p&gt;&lt;ul&gt;&lt;li&gt;Program Manager at BV - CSRB, supporting and coaching social entrepreneurs&lt;/li&gt;&lt;li&gt;Mentor at Miller Center for Social Entreprernuship, Sant Claura Univesity, California&lt;/li&gt;&lt;li&gt;Led Indigenous Development Organisation (IDO) to serve 19,000 tribal individuals&lt;/li&gt;&lt;li&gt;Managed key government and foundation programs focused on livelihood and inclusive development&lt;/li&gt;&lt;/ul&gt;&lt;p&gt;&lt;br&gt;&lt;/p&gt;Mentorship Philosophy&lt;/strong&gt;&lt;/p&gt;&lt;ul&gt;&lt;li&gt;Committed to empowering and guiding aspiring social entrepreneurs through mentorship and coaching&lt;/li&gt;&lt;li&gt;Passionate about fostering inclusivity, community development, and social entrepreneurship&lt;/li&gt;&lt;/ul&gt;</t>
  </si>
  <si>
    <t>https://www.linkedin.com/in/mogilivijender/</t>
  </si>
  <si>
    <t>mogiliv@gmail.com</t>
  </si>
  <si>
    <t>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Corporate Social Responsibility || Entity Formation || ESG Strategy || Fundraising || Growth Strategy Formulation || KPI Governance || Organizational Development || Performance Management || Pitch coaching || Process Optimization || Strategic Planning || Sustainable Operations || Training &amp; Development || Sales &amp; Business Development || Market Research</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</si>
  <si>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Environment, Sustainability &amp; Governance (ESG)</t>
  </si>
  <si>
    <t>Paras Arora</t>
  </si>
  <si>
    <t>Ex-Manager at Practo with proven work experience in business development and growth management. Served as Growth Manager for PickMyWork, managing business development initiatives. Based on search results, Paras has expertise in building and scaling businesses with a focus on growth strategies. The profile indicates experience in healthcare technology sector through Practo (a healthcare platform) and early-stage startup growth management. Known for developing business development strategies and driving growth initiatives in tech-enabled service platforms.
Skills: Business Development, Growth Management, Healthcare Technology, Startup Growth, Strategic Planning, Market Expansion, Team Leadership, Product Growth Strategy</t>
  </si>
  <si>
    <t>https://www.linkedin.com/in/paras-arora-9456b1152</t>
  </si>
  <si>
    <t>paras.arora@my.com</t>
  </si>
  <si>
    <t>Sales Strategy || Sales Strategy || Sales &amp; Business Development</t>
  </si>
  <si>
    <t>Education &amp; Training || Pharmaceuticals, Healthcare and Wellness || Pharmaceuticals, Healthcare and Wellness</t>
  </si>
  <si>
    <t>Lekhashree B R</t>
  </si>
  <si>
    <t>Former CEO, UASB Agri Innovation Center</t>
  </si>
  <si>
    <t>UASB Agri Innovation Center</t>
  </si>
  <si>
    <t>Agribusiness and innovation ecosystem professional with over 9 years of experience, deeply engaged in MSME development, startup incubation, and rural entrepreneurship. Former CEO of Agri Innovation Center with expertise in agribusiness, project management, mentorship, and training for startups and MSMEs. Agricultural professional with strong background in agricultural development and innovation. Skilled in consulting, program management, and mentoring early-stage entrepreneurs in the agribusiness sector. Passionate about revamping agricultural education with AgriTech and AI solutions. Experienced in working with government initiatives like RKVY-RAFTAAR and MANAGE programs for agricultural startup development.
Skills: Agribusiness Development, Startup Incubation, MSME Support, Project Management, Mentorship, Training, Rural Entrepreneurship, Agricultural Innovation, AgriTech, Program Management, Government Relations, Policy Advocacy, Consulting, Ecosystem Development</t>
  </si>
  <si>
    <t>https://www.linkedin.com/in/lekhashree-b-r-3385a7201</t>
  </si>
  <si>
    <t>lekhashree.br09@gmail.com</t>
  </si>
  <si>
    <t>Business Model Development || Customer Service &amp; Retention || Market research || Marketing || Organizational Development || Performance Management || Product Development || Public speaking || Research Partnerships || Sales Strategy || Strategic Planning || Training &amp; Development || Business Model Development || Customer Service &amp; Retention || Market research || Marketing || Organizational Development || Performance Management || Product Development || Public speaking || Research Partnerships || Sales Strategy || Strategic Planning || Training &amp; Development || Business Model Development || Customer Service &amp; Retention || Market research || Marketing || Organizational Development || Performance Management || Product Development || Public speaking || Research Partnerships || Sales Strategy || Strategic Planning || Training &amp; Development || Business Model Development || Customer Service &amp; Retention || Market research || Marketing || Organizational Development || Performance Management || Product Development || Public speaking || Research Partnerships || Sales Strategy || Strategic Planning || Training &amp; Development || Business Model Development || Customer Service &amp; Retention || Market research || Marketing || Organizational Development || Performance Management || Product Development || Public speaking || Research Partnerships || Sales Strategy || Strategic Planning || Training &amp; Development || Sales &amp; Business Development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</si>
  <si>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Agritech &amp; Food Processing</t>
  </si>
  <si>
    <t>Veerchand Bothra</t>
  </si>
  <si>
    <t>Co-Founder and Organiser</t>
  </si>
  <si>
    <t>Martech Meetup</t>
  </si>
  <si>
    <t>Summary&lt;/strong&gt;&lt;/p&gt;&lt;p&gt;Mr. Veerchand has over 20 years of experience in internet and mobile technologies, focusing on Product Management management, new Product Management development, and go-to-market strategies. He co-founded Scoop.ai, founded Netcore Innovation Labs, and led the Product Management team for Smartech. He created BlogStreet.com and Responage, showcasing his entrepreneurial spirit and intrapreneurial impact at Netcore.&lt;/p&gt;&lt;p&gt;&lt;br&gt;&lt;/p&gt;Key Areas of Expertise&lt;/strong&gt;&lt;/p&gt;&lt;ul&gt;&lt;li&gt;Product Management Management&lt;/li&gt;&lt;li&gt;New Product Management Development&lt;/li&gt;&lt;li&gt;Go-to-Market Strategy&lt;/li&gt;&lt;li&gt;Emerging Digital Technologies&lt;/li&gt;&lt;li&gt;Marketing Automation&lt;/li&gt;&lt;/ul&gt;&lt;p&gt;&lt;br&gt;&lt;/p&gt;Strategic Contributions&lt;/strong&gt;&lt;/p&gt;&lt;ul&gt;&lt;li&gt;Co-founded Scoop.ai&lt;/li&gt;&lt;li&gt;Founded Netcore Innovation Labs&lt;/li&gt;&lt;li&gt;Led Smartech Product Management team&lt;/li&gt;&lt;li&gt;Developed Netcore's Mobility business&lt;/li&gt;&lt;li&gt;Created BlogStreet.com&lt;/li&gt;&lt;/ul&gt;&lt;p&gt;&lt;br&gt;&lt;/p&gt;Success Stories&lt;/strong&gt;&lt;/p&gt;&lt;ul&gt;&lt;li&gt;Built one of the earliest blogs portals, BlogStreet.com&lt;/li&gt;&lt;li&gt;Created Responage, a multi-channel customer response management tool&lt;/li&gt;&lt;/ul&gt;</t>
  </si>
  <si>
    <t>https://www.linkedin.com/in/veerchand/</t>
  </si>
  <si>
    <t>bothra@gmail.com</t>
  </si>
  <si>
    <t>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BI Proficiency || Business Model Development || Customer Relationship Management || Customer Service &amp; Retention || Data Analytics || Data Reporting || Digital Marketing || Go to Market Strategy || Growth Strategy Formulation || Market access || Market research || Marketing || Media and PR || Performance Metrics || Pricing Strategy || Process Optimization || Product Development || Prototyping &amp; Testing || Sales Strategy || Strategic Planning || Sales &amp; Business Development || Marketing &amp; Branding</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</si>
  <si>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Software &amp; IT Services</t>
  </si>
  <si>
    <t>Venkatesh SV</t>
  </si>
  <si>
    <t>Proofile.in</t>
  </si>
  <si>
    <t>Summary:&lt;/strong&gt;&lt;/p&gt;&lt;p&gt;Venkatesh is an innovative entrepreneur and Founder of multiple ventures aimed at bridging the gap between education, skills, and employability. He is the driving force behind Proofile.in, a platform by UniProofilers Pvt Ltd designed to connect corporates, campuses, and candidates. Venkatesh also founded RiiiT, a division of Raman Computers Pvt. Ltd. (RCPL), with two key verticals: Finishing School and K12.&lt;/p&gt;&lt;p&gt;&lt;br&gt;&lt;/p&gt;Core Expertise:&lt;/strong&gt;&lt;/p&gt;&lt;p&gt;Venkatesh specializes in educational solutions and employability enhancement. His expertise spans IT finishing schools, teacher training programs, K12 education publishing, ICT assessment, and school management information systems.&lt;/p&gt;&lt;p&gt;&lt;br&gt;&lt;/p&gt;Problem-Solving Approach:&lt;/strong&gt;&lt;/p&gt;&lt;p&gt;Venkatesh's approach involves identifying skill gaps in education and creating innovative solutions to address them. His work in both the Finishing School and K12 segments reflects his commitment to improving the quality of education and enhancing employability through targeted training and advanced methodologies.&lt;/p&gt;&lt;p&gt;&lt;br&gt;&lt;/p&gt;Impactful Projects:&lt;/strong&gt;&lt;/p&gt;&lt;ul&gt;&lt;li&gt;&lt;strong&gt;Finishing School:&lt;/strong&gt; Launched India's first IT Finishing School in 2007 to address the skill gaps of graduates and improve their employability. The school, located in Mysore, India, features an ultra-modern campus and has become a benchmark in the industry.&lt;/li&gt;&lt;li&gt;&lt;strong&gt;Teacher Training:&lt;/strong&gt; Initiated the Finishing School for Teachers in 2008, focusing on modern teaching and learning methodologies to equip educators with the latest skills.&lt;/li&gt;&lt;li&gt;&lt;strong&gt;K12 Education:&lt;/strong&gt; Published a series of educational books (Math’s Kids, Science Kids, and IT Kids) that have reached over 500,000 subscribers across South Asia, available in various editions such as ICSE, CBSE, National, International, and Standard.&lt;/li&gt;&lt;li&gt;&lt;strong&gt;ICT Assessment:&lt;/strong&gt; Developed a comprehensive ICT assessment program to evaluate and enhance individual proficiency in analytical and technical skills.&lt;/li&gt;&lt;li&gt;&lt;strong&gt;MIS-EDUSYS:&lt;/strong&gt; Created MIS-EDUSYS, a Total Quality Management Information System software for schools that addresses administrative, academic, and financial functions.&lt;/li&gt;&lt;/ul&gt;&lt;p&gt;&lt;br&gt;&lt;/p&gt;Consultation Style:&lt;/strong&gt;&lt;/p&gt;&lt;p&gt;Venkatesh’s consultation style is deeply rooted in his passion for education and his commitment to innovation. He collaborates closely with stakeholders to create solutions that are not only effective but also sustainable in the long term. His work has significantly impacted the education sector, making him a sought-after expert in improving educational outcomes and employability.&lt;/p&gt;</t>
  </si>
  <si>
    <t>https://www.linkedin.com/in/venkateshsv70</t>
  </si>
  <si>
    <t>svvproofile@gmail.com</t>
  </si>
  <si>
    <t>Go to Market Strategy || Sales &amp; Business Development</t>
  </si>
  <si>
    <t>Education &amp; Training || Education &amp; Training</t>
  </si>
  <si>
    <t>Vibhu Dixit</t>
  </si>
  <si>
    <t>Export Guru</t>
  </si>
  <si>
    <t>Summary:&lt;/strong&gt;&lt;/p&gt;&lt;p&gt;Mr. Vibhu is an international trade expert, export consultant, and business coach with over 18 years of experience. As the Founder of Export Guru and AVGROUPS, he has mentored startups through prestigious programs at IIT Bombay, IIT Kanpur, Startup India, and more. His expertise spans international trade, particularly with Japan and Europe, and he provides consultancy to entrepreneurs across India. Mr. Vibhu has received several accolades, including the prestigious ‘Laghu Udyami Samman’ from the Government of India. He is also the director of SWARANG, an NGO focused on women's empowerment.&lt;/p&gt;&lt;p&gt;&lt;br&gt;&lt;/p&gt;Key Areas of Expertise:&lt;/strong&gt;&lt;/p&gt;&lt;ul&gt;&lt;li&gt;International Trade (Japan &amp;amp; Europe)&lt;/li&gt;&lt;li&gt;Export Consultancy &amp;amp; Business Development&lt;/li&gt;&lt;li&gt;Business Coaching &amp;amp; Mentorship&lt;/li&gt;&lt;li&gt;Women's Empowerment (SWARANG)&lt;/li&gt;&lt;li&gt;Public Speaking &amp;amp; Industry Expertise&lt;/li&gt;&lt;/ul&gt;&lt;p&gt;&lt;br&gt;&lt;/p&gt;Strategic Contributions:&lt;/strong&gt;&lt;/p&gt;&lt;ul&gt;&lt;li&gt;Founder of Export Guru and AVGROUPS, offering export consultancy across India.&lt;/li&gt;&lt;li&gt;Participated in 45 International Trade Fairs.&lt;/li&gt;&lt;li&gt;Mentored through institutions like IIT Bombay, Startup India, and global initiatives.&lt;/li&gt;&lt;li&gt;Recognized with awards, including the ‘Laghu Udyami Samman’ by the Government of India.&lt;/li&gt;&lt;/ul&gt;&lt;p&gt;&lt;br&gt;&lt;/p&gt;Mentorship Philosophy:&lt;/strong&gt;&lt;/p&gt;&lt;p&gt;Mr. Vibhu believes in empowering entrepreneurs through hands-on mentorship, practical export guidance, and fostering international trade growth, with a focus on social causes like women's empowerment.&lt;/p&gt;</t>
  </si>
  <si>
    <t>https://www.linkedin.com/in/vibhu-dixit/</t>
  </si>
  <si>
    <t>Lucknow</t>
  </si>
  <si>
    <t>vibhudixit4645@gmail.com</t>
  </si>
  <si>
    <t>Exports</t>
  </si>
  <si>
    <t>Branding || Business Model Development || Compliance Assistance || Currency and Risk Management || E-commerce Management || Logistics Management || Marketing || Tax Incentives || Trade Compliance || Training &amp; Development || Branding || Business Model Development || Compliance Assistance || Currency and Risk Management || E-commerce Management || Logistics Management || Marketing || Tax Incentives || Trade Compliance || Training &amp; Development || Branding || Business Model Development || Compliance Assistance || Currency and Risk Management || E-commerce Management || Logistics Management || Marketing || Tax Incentives || Trade Compliance || Training &amp; Development || Exports || Sales &amp; Business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</si>
  <si>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Others || Others || Others || Others || Others || Others || Others || Others || Others || Others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Real Estate &amp; Construction</t>
  </si>
  <si>
    <t>Vijay Khanna</t>
  </si>
  <si>
    <t>Business Advisor</t>
  </si>
  <si>
    <t>Upper Crust Cuisines &amp; Events</t>
  </si>
  <si>
    <t>Summary: &lt;/strong&gt;&lt;/p&gt;&lt;p&gt;Vijay is a seasoned professional with extensive expertise in managing business and sales operations, P&amp;amp;L, strategic planning, and capability building across various sectors, including FMCG, beverages, telecom, tobacco, ice cream, and NGOs. With experience spanning both Indian and global majors, Vijay has made significant contributions to the industry through roles with prominent companies such as PepsiCo, Sahara Q Shop, Reliance Telecom, and Coca-Cola. His background showcases a robust ability to drive business growth and operational excellence in complex and competitive environments in India and Nepal.&lt;/p&gt;&lt;p&gt;&lt;br&gt;&lt;/p&gt;Core Expertise:&lt;/strong&gt;&lt;/p&gt;&lt;p&gt;Vijay specializes in business and sales operations, P&amp;amp;L management, and strategic planning. His expertise extends to capability building in sectors such as FMCG, beverages, telecom, tobacco, ice cream, and NGOs. He has a proven track record in optimizing operational efficiencies, enhancing sales performance, and developing strategic initiatives that align with organizational goals. His experience includes working with major companies and leading projects significantly impacting their growth and market presence.&lt;/p&gt;&lt;p&gt;&lt;br&gt;&lt;/p&gt;Problem-Solving Approach: &lt;/strong&gt;&lt;/p&gt;&lt;p&gt;Vijay’s problem-solving approach is grounded in strategic planning and operational efficiency. He employs a data-driven methodology to identify business challenges and opportunities, leveraging his deep industry knowledge to develop and implement effective solutions. His approach involves analyzing market trends, optimizing processes, and building capabilities that drive sustainable growth. Vijay focuses on aligning business operations with strategic objectives to enhance performance and achieve long-&lt;/p&gt;&lt;p&gt;term success.&lt;/p&gt;&lt;p&gt;&lt;br&gt;&lt;/p&gt;Impactful Projects:&lt;/strong&gt;&lt;/p&gt;&lt;p&gt;Throughout his career, Vijay has led several impactful projects that demonstrate his ability to drive business success. At PepsiCo, he played a key role in optimizing sales operations and expanding market reach. His work with Sahara Q Shop involved enhancing operational efficiency and capability building, resulting in improved performance and growth. At Reliance Telecom and Coca-Cola, Vijay contributed to strategic planning and P&amp;amp;L management, significantly impacting the companies' operational and financial outcomes. His contributions have been instrumental in driving business growth and achieving operational excellence.&lt;/p&gt;&lt;p&gt;&lt;br&gt;&lt;/p&gt;Consultation Style:&lt;/strong&gt;&lt;/p&gt;&lt;p&gt;Vijay’s consultation style is characterized by a strategic and results-oriented approach. He engages closely with clients to understand their unique needs and challenges, providing tailored advice and solutions that align with their business goals. His methodology involves a thorough analysis of market dynamics, operational processes, and strategic objectives to deliver actionable insights and recommendations. Vijay’s experience with both global and Indian majors enables him to offer valuable perspectives and strategies that drive business success in diverse and competitive environments.&lt;/p&gt;</t>
  </si>
  <si>
    <t>https://linkedin.com/in/vijay-khanna-a9276bb</t>
  </si>
  <si>
    <t>Canada</t>
  </si>
  <si>
    <t>Toronto</t>
  </si>
  <si>
    <t>vijayladha@gmail.com</t>
  </si>
  <si>
    <t>Retail &amp; e-Commerce || Retail &amp; e-Commerce || Fintech, Banking, Financial Services || Consumer Products</t>
  </si>
  <si>
    <t>Dr. Girish Sapra</t>
  </si>
  <si>
    <t>Greenbrigade Private Limited</t>
  </si>
  <si>
    <t>Summary:&amp;nbsp;&lt;/strong&gt;&lt;/p&gt;&lt;p&gt;Dr. Girish Sapra is an experienced research professional and education leader with expertise in Edtech and Climate Tech solutions. He holds a Ph.D. in Mechanical Engineering from the National Institute of Technology and has collaborated on research projects with IIT Madras and IIT Delhi. Currently, he runs three startups focusing on Sustainability and Edtech.&lt;/p&gt;&lt;p&gt;&lt;br&gt;&lt;/p&gt;Key Areas of Expertise:&amp;nbsp;&lt;/strong&gt;&lt;/p&gt;&lt;ul&gt;&lt;li&gt;Edtech&lt;/li&gt;&lt;li&gt;Climate Tech&lt;/li&gt;&lt;li&gt;Product Management Design and Development&lt;/li&gt;&lt;li&gt;Startup Mentoring and Coaching&lt;/li&gt;&lt;li&gt;System Innovation&lt;/li&gt;&lt;li&gt;Design Thinking&lt;/li&gt;&lt;/ul&gt;&lt;p&gt;&lt;br&gt;&lt;/p&gt;Strategic Contributions:&amp;nbsp;&lt;/strong&gt;&lt;/p&gt;&lt;p&gt;Dr. Sapra has coached and mentored over 50 startups and 300+ entrepreneurs, contributing significantly to the startup ecosystem. He specializes in developing tools and frameworks for streamlining the entrepreneurship journey, conducting workshops on lean processes, and delivering innovative solutions through system innovation and design thinking.&lt;/p&gt;&lt;p&gt;&lt;br&gt;&lt;/p&gt;Mentorship Philosophy:&amp;nbsp;&lt;/strong&gt;&lt;/p&gt;&lt;p&gt;Focused on mentoring, capacity building, market connections, and funding for startups. Emphasizes on developing innovative technological solutions and fostering entrepreneurial spirit among startup Founders.&lt;/p&gt;</t>
  </si>
  <si>
    <t>https://www.linkedin.com/in/girishsapra/</t>
  </si>
  <si>
    <t>Chandigarh</t>
  </si>
  <si>
    <t>drgirishsapra@gmail.com</t>
  </si>
  <si>
    <t>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Sales &amp; Business Development || Business Model Development</t>
  </si>
  <si>
    <t>CleanTech || CleanTech || CleanTech || Education &amp; Training || Education &amp; Training || Education &amp; Training || Environment, Sustainability &amp; Governance (ESG) || Environment, Sustainability &amp; Governance (ESG) || Environment, Sustainability &amp; Governance (ESG) || CleanTech || CleanTech || CleanTech || Education &amp; Training || Education &amp; Training || Education &amp; Training || Environment, Sustainability &amp; Governance (ESG) || Environment, Sustainability &amp; Governance (ESG) || Environment, Sustainability &amp; Governance (ESG) || CleanTech || CleanTech || CleanTech || Education &amp; Training || Education &amp; Training || Education &amp; Training || Environment, Sustainability &amp; Governance (ESG) || Environment, Sustainability &amp; Governance (ESG) || Environment, Sustainability &amp; Governance (ESG) || Environment, Sustainability &amp; Governance (ESG)</t>
  </si>
  <si>
    <t>Vinitha Joseph</t>
  </si>
  <si>
    <t>Bluepurple Management Consulting Private Ltd.</t>
  </si>
  <si>
    <t>Summary&lt;/strong&gt;&lt;/p&gt;&lt;p&gt;Ms. Vinitha is a dedicated leader and coach with over 24 years of experience in various leadership roles, including Talent Development, Business Strategy, Learning &amp;amp; Development, and Diversity &amp;amp; Inclusion. She is the CEO and Managing Director of her coaching practice, focusing on leadership development, holistic wellness, and DE&amp;amp;I initiatives. Her approach integrates positive psychology and emotional intelligence to create customized leadership programs. She mentors startups and works with educational institutions, MSMEs, and corporates to enhance their potential.&lt;/p&gt;&lt;p&gt;&lt;br&gt;&lt;/p&gt;Key Areas of Expertise&lt;/strong&gt;&lt;/p&gt;&lt;ul&gt;&lt;li&gt;Leadership &amp;amp; Life Coaching&lt;/li&gt;&lt;li&gt;Leadership Development&lt;/li&gt;&lt;li&gt;Holistic Wellness&lt;/li&gt;&lt;li&gt;Learning Initiatives&lt;/li&gt;&lt;li&gt;Diversity &amp;amp; Inclusion&lt;/li&gt;&lt;li&gt;Public Speaking&lt;/li&gt;&lt;/ul&gt;&lt;p&gt;&lt;br&gt;&lt;/p&gt;Strategic Contributions&lt;/strong&gt;&lt;/p&gt;&lt;ul&gt;&lt;li&gt;Developing tailored leadership programs&lt;/li&gt;&lt;li&gt;Implementing DE&amp;amp;I as a central focus in organizations&lt;/li&gt;&lt;li&gt;Coaching individuals and teams to maximize potential&lt;/li&gt;&lt;li&gt;Mentoring startups and educational institutions&lt;/li&gt;&lt;li&gt;Creating experiential and reflective learning workshops&lt;/li&gt;&lt;/ul&gt;&lt;p&gt;&lt;br&gt;&lt;/p&gt;Mentorship Philosophy&lt;/strong&gt;&lt;/p&gt;&lt;p&gt;Ms. Vinitha believes in empowering individuals by minimizing interferences and unlocking their potential through a coaching mindset based on positive psychology and emotional intelligence. She is committed to inclusivity, working with people from diverse backgrounds to foster self-leadership and holistic well-being.&lt;/p&gt;&lt;p&gt;&lt;br&gt;&lt;/p&gt;Success Stories&lt;/strong&gt;&lt;/p&gt;&lt;ul&gt;&lt;li&gt;Spearheaded significant initiatives in talent and leadership development&lt;/li&gt;&lt;li&gt;Mentored various startups leading to their successful growth and development&lt;/li&gt;&lt;li&gt;Recognized as a DE&amp;amp;I champion, frequently invited as a speaker at prominent forums&lt;/li&gt;&lt;li&gt;Developed impactful leadership and coaching programs tailored to organizational cultures&lt;/li&gt;&lt;/ul&gt;</t>
  </si>
  <si>
    <t>https://www.linkedin.com/in/vinithajoseph/</t>
  </si>
  <si>
    <t>Singapore</t>
  </si>
  <si>
    <t>vinitha.joseph@outlook.com</t>
  </si>
  <si>
    <t>Business Model Development || Go to Market Strategy || Growth Strategy Formulation || Marketing || Organizational Development || Performance Management || Public speaking || Strategic Planning || Talent Acquisition || Training &amp; Development || Business Model Development || Go to Market Strategy || Growth Strategy Formulation || Marketing || Organizational Development || Performance Management || Public speaking || Strategic Planning || Talent Acquisition || Training &amp; Development || Business Model Development || Go to Market Strategy || Growth Strategy Formulation || Marketing || Organizational Development || Performance Management || Public speaking || Strategic Planning || Talent Acquisition || Training &amp; Development || Business Model Development || Go to Market Strategy || Growth Strategy Formulation || Marketing || Organizational Development || Performance Management || Public speaking || Strategic Planning || Talent Acquisition || Training &amp; Development || Business Model Development || Go to Market Strategy || Growth Strategy Formulation || Marketing || Organizational Development || Performance Management || Public speaking || Strategic Planning || Talent Acquisition || Training &amp; Development || Business Model Development || Go to Market Strategy || Growth Strategy Formulation || Marketing || Organizational Development || Performance Management || Public speaking || Strategic Planning || Talent Acquisition || Training &amp; Development || HR Consulting || Sales &amp; Business Development</t>
  </si>
  <si>
    <t>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Education &amp; Training || Education &amp; Training || Education &amp; Training || Education &amp; Training || Education &amp; Training || Education &amp; Training || Education &amp; Training || Education &amp; Training || Education &amp; Training || Education &amp; Training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HR Services</t>
  </si>
  <si>
    <t>Vishal Bisht</t>
  </si>
  <si>
    <t>TURNSKILL, Blocksoft</t>
  </si>
  <si>
    <t>Summary&lt;/strong&gt;:&lt;/p&gt;&lt;p&gt;Versatile technologist and entrepreneur with a passion for AI, blockchain, and e-learning solutions, extensive experience in application and Product Management development, and a strong background in IT consultation. Driven by innovation and growth, dedicated to mentoring startups.&lt;/p&gt;&lt;p&gt;&lt;br&gt;&lt;/p&gt;Key Areas of Expertise&lt;/strong&gt;:&lt;/p&gt;&lt;ul&gt;&lt;li&gt;AI Blockchain&lt;/li&gt;&lt;li&gt;E-learning solutions&lt;/li&gt;&lt;li&gt;Application and Product Management Development&lt;/li&gt;&lt;li&gt;IT Consultation&lt;/li&gt;&lt;/ul&gt;&lt;p&gt;&lt;br&gt;&lt;/p&gt;Mentorship Philosophy&lt;/strong&gt;:&lt;/p&gt;&lt;p&gt;Dedicated to mentoring startups to help them thrive through innovation and growth. Success Stories Mentoring more than 25 + startups in EdTech, FinTech and eCommerce vertical. Interested in: AI, Generative AI and Blockchain Startups in any vertical or domain.&lt;/p&gt;</t>
  </si>
  <si>
    <t>https://www.linkedin.com/in/marksmantech/</t>
  </si>
  <si>
    <t>vishal@marksmantech.com</t>
  </si>
  <si>
    <t>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Deep Tech (Blockchain, AI, Robotics, AR/VR) || Product Development || Software Development || Tech Strategy &amp; Infrastructure || Sales &amp; Business Development</t>
  </si>
  <si>
    <t>AgriTech &amp; New Food || AgriTech &amp; New Food || AgriTech &amp; New Food || AgriTech &amp; New Food || AI, Big Data &amp; Analytics || AI, Big Data &amp; Analytics || AI, Big Data &amp; Analytics || AI, Big Data &amp; Analytics || CleanTech || CleanTech || CleanTech || CleanTech || E-Commerce || E-Commerce || E-Commerce || E-Commerce || EdTech || EdTech || EdTech || EdTech || FinTech || FinTech || FinTech || FinTech || IT &amp; Communication || IT &amp; Communication || IT &amp; Communication || IT &amp; Communication || Real Estate &amp; Housing || Real Estate &amp; Housing || Real Estate &amp; Housing || Real Estate &amp; Housing || Services || Services || Services || Services || Tourism || Tourism || Tourism || Tourism || AgriTech &amp; New Food || AgriTech &amp; New Food || AgriTech &amp; New Food || AgriTech &amp; New Food || AI, Big Data &amp; Analytics || AI, Big Data &amp; Analytics || AI, Big Data &amp; Analytics || AI, Big Data &amp; Analytics || CleanTech || CleanTech || CleanTech || CleanTech || E-Commerce || E-Commerce || E-Commerce || E-Commerce || EdTech || EdTech || EdTech || EdTech || FinTech || FinTech || FinTech || FinTech || IT &amp; Communication || IT &amp; Communication || IT &amp; Communication || IT &amp; Communication || Real Estate &amp; Housing || Real Estate &amp; Housing || Real Estate &amp; Housing || Real Estate &amp; Housing || Services || Services || Services || Services || Tourism || Tourism || Tourism || Tourism || AgriTech &amp; New Food || AgriTech &amp; New Food || AgriTech &amp; New Food || AgriTech &amp; New Food || AI, Big Data &amp; Analytics || AI, Big Data &amp; Analytics || AI, Big Data &amp; Analytics || AI, Big Data &amp; Analytics || CleanTech || CleanTech || CleanTech || CleanTech || E-Commerce || E-Commerce || E-Commerce || E-Commerce || EdTech || EdTech || EdTech || EdTech || FinTech || FinTech || FinTech || FinTech || IT &amp; Communication || IT &amp; Communication || IT &amp; Communication || IT &amp; Communication || Real Estate &amp; Housing || Real Estate &amp; Housing || Real Estate &amp; Housing || Real Estate &amp; Housing || Services || Services || Services || Services || Tourism || Tourism || Tourism || Tourism || Software &amp; IT Services</t>
  </si>
  <si>
    <t>Vivek Bhojwani</t>
  </si>
  <si>
    <t>StartUp Consulting India</t>
  </si>
  <si>
    <t>Consulting Type: &lt;/strong&gt;Paid&lt;/p&gt;&lt;p&gt;&lt;br&gt;&lt;/p&gt;Summary:&lt;/strong&gt;&lt;/p&gt;&lt;p&gt;With over 35 years of expertise, Vivek is a seasoned startup consultant and the Founder of StartUp Consulting India. His work has impacted over 80 startups, focusing on funding, business growth, and strategic consulting. Vivek specializes in assisting startups with strategy development, business plans, valuation, and pitch deck preparation, guiding clients to achieve sustainable growth and secure funding.&lt;/p&gt;&lt;p&gt;&lt;br&gt;&lt;/p&gt;Core Expertise:&lt;/strong&gt;&lt;/p&gt;&lt;p&gt;Vivek’s core skills include startup consulting, funding strategies, business growth, business planning, and documentation of processes and systems. His consulting services emphasize clear communication, effective client interfacing, and coordination with technical teams, particularly in areas involving ML and AI.&lt;/p&gt;&lt;p&gt;&lt;br&gt;&lt;/p&gt;Problem-Solving Approach:&lt;/strong&gt;&lt;/p&gt;&lt;p&gt;Vivek’s approach to problem-solving is collaborative and structured, grounded in years of experience as a CIO and consultant. He uses a methodical approach to strategy, documentation, and quality control (QC) benchmarks to create value-added solutions for startup clients.&lt;/p&gt;&lt;p&gt;&lt;br&gt;&lt;/p&gt;Impactful Projects:&lt;/strong&gt;&lt;/p&gt;&lt;ul&gt;&lt;li&gt;As CIO at Tatras Data, Vivek coordinated documentation and software development, including ML and AI-based applications, for multinational clients, ensuring high standards in execution.&lt;/li&gt;&lt;li&gt;At Alea Consulting, he led a research team responsible for due diligence (DD) and reporting, implementing quality control benchmarks that enhanced client outcomes for global and domestic clients.&lt;/li&gt;&lt;li&gt;At American Express, Corebrix, and Sodexo, he contributed to high-stakes projects, honing skills in operations, training, and client reporting across sectors.&lt;/li&gt;&lt;/ul&gt;&lt;p&gt;&lt;br&gt;&lt;/p&gt;Consulting Style:&lt;/strong&gt;&lt;/p&gt;&lt;p&gt;Vivek is known for his strategic, client-centric consulting style. He brings extensive operational experience and is dedicated to helping startups refine their business models and strengthen their investor readiness through a clear, actionable approach.&lt;/p&gt;</t>
  </si>
  <si>
    <t>https://www.linkedin.com/in/vivekbhojwani/</t>
  </si>
  <si>
    <t>vivekbhojwani14@gmail.com</t>
  </si>
  <si>
    <t>Fundraising || Go to Market Strategy || Pitch coaching || Fundraising || Go to Market Strategy || Pitch coaching || Market Research || Sales &amp; Business Development</t>
  </si>
  <si>
    <t>Services || Services || Services || Services || Services || Services || Venture Funding</t>
  </si>
  <si>
    <t>Vivek Kumar</t>
  </si>
  <si>
    <t>Co-Founder &amp; COO</t>
  </si>
  <si>
    <t>PayCardo Private Limited</t>
  </si>
  <si>
    <t>1-X Founder with diverse entrepreneurial experience across multiple sectors. Has worked in Ed-Tech startups (KiCo) with multiple assigned roles across product, operations, and strategy. Passionate about building businesses from the ground up and scaling ventures to impact. Brings comprehensive understanding of the startup journey from ideation to scaling. Experienced in navigating challenges of early-stage businesses and mentoring aspiring entrepreneurs through their growth stages. Known for hands-on approach to mentorship and sharing real-world startup insights with mentees.
Skills: Startup Mentorship, Entrepreneurship, Business Building, Scaling Strategies, Product Development, Operations Management, Ed-Tech Industry, Business Development, Team Building, Strategic Planning, Wadhwani Foundation Network, Startup Ecosystem, Problem-Solving, Leadership Mentoring</t>
  </si>
  <si>
    <t>https://www.linkedin.com/in/kumarvivek08/</t>
  </si>
  <si>
    <t xml:space="preserve">mailmeatvivek47@gmail.com </t>
  </si>
  <si>
    <t>Business Model Development || Fundraising || Market research || Strategic Planning || Business Model Development || Fundraising || Market research || Strategic Planning || Business Model Development || Fundraising || Market research || Strategic Planning || Business Model Development || Fundraising || Market research || Strategic Planning || Business Model Development || Fundraising || Market research || Strategic Planning || Business Model Development || Fundraising || Market research || Strategic Planning || Sales &amp; Business Development || Buisness Operations</t>
  </si>
  <si>
    <t>Automobiles &amp; Auto Components || Automobiles &amp; Auto Components || Automobiles &amp; Auto Components || Automobiles &amp; Auto Components || Education &amp; Training || Education &amp; Training || Education &amp; Training || Education &amp; Training || FinTech || FinTech || FinTech || FinTech || Industrial Automation &amp; Manufacturing || Industrial Automation &amp; Manufacturing || Industrial Automation &amp; Manufacturing || Industrial Automation &amp; Manufacturing || Real Estate &amp; Construction || Real Estate &amp; Construction || Real Estate &amp; Construction || Real Estate &amp; Construction || Retail &amp; e-Commerce || Retail &amp; e-Commerce || Retail &amp; e-Commerce || Retail &amp; e-Commerce || Fintech, Banking, Financial Services</t>
  </si>
  <si>
    <t>Gaurav Mankotia</t>
  </si>
  <si>
    <t>Innovation manager APAC</t>
  </si>
  <si>
    <t>Baker Hughes</t>
  </si>
  <si>
    <t>Startup mentor and advisor offering guidance and support to startups working in FMCG, E-commerce, F&amp;B, Retail operations, impact, and climate sectors. Expertise spans strategy, operations, and business model development for early-stage and growth-stage ventures. Young professional with an entrepreneurial mindset and global perspective, demonstrating strong skills in sales, operations, business development, and strategy. Passionate about empowering innovators and organizations to scale their impact. Available for consultation and mentorship through platforms like MentorCruise. Known for providing practical guidance to founders on business strategy, operational efficiency, and market expansion across diverse industries.
Skills: Startup Mentorship, Business Strategy, Operations Management, FMCG Industry Knowledge, E-commerce Expertise, F&amp;B Operations, Retail Strategy, Impact &amp; Climate Solutions, Sales Strategy, Business Development, Organizational Leadership, Scaling Strategies, Market Expansion, Founder Guidance, Business Model Development</t>
  </si>
  <si>
    <t>https://www.linkedin.com/in/gaurav-mankotia-846a5b131/</t>
  </si>
  <si>
    <t>gmankotiag@gmail.com</t>
  </si>
  <si>
    <t>8219509943 (SMS only)</t>
  </si>
  <si>
    <t>Branding || Business Model Development || Corporate Social Responsibility || Customer Service &amp; Retention || Digital Marketing || Go to Market Strategy || Growth Strategy Formulation || Market research || Media and PR || Prototyping &amp; Testing || Public speaking || Strategic Planning || UI/UX Design || Branding || Business Model Development || Corporate Social Responsibility || Customer Service &amp; Retention || Digital Marketing || Go to Market Strategy || Growth Strategy Formulation || Market research || Media and PR || Prototyping &amp; Testing || Public speaking || Strategic Planning || UI/UX Design || Branding || Business Model Development || Corporate Social Responsibility || Customer Service &amp; Retention || Digital Marketing || Go to Market Strategy || Growth Strategy Formulation || Market research || Media and PR || Prototyping &amp; Testing || Public speaking || Strategic Planning || UI/UX Design || Branding || Business Model Development || Corporate Social Responsibility || Customer Service &amp; Retention || Digital Marketing || Go to Market Strategy || Growth Strategy Formulation || Market research || Media and PR || Prototyping &amp; Testing || Public speaking || Strategic Planning || UI/UX Design || Branding || Business Model Development || Corporate Social Responsibility || Customer Service &amp; Retention || Digital Marketing || Go to Market Strategy || Growth Strategy Formulation || Market research || Media and PR || Prototyping &amp; Testing || Public speaking || Strategic Planning || UI/UX Design || Branding || Business Model Development || Corporate Social Responsibility || Customer Service &amp; Retention || Digital Marketing || Go to Market Strategy || Growth Strategy Formulation || Market research || Media and PR || Prototyping &amp; Testing || Public speaking || Strategic Planning || UI/UX Design || Branding || Business Model Development || Corporate Social Responsibility || Customer Service &amp; Retention || Digital Marketing || Go to Market Strategy || Growth Strategy Formulation || Market research || Media and PR || Prototyping &amp; Testing || Public speaking || Strategic Planning || UI/UX Design || Sales &amp; Business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</si>
  <si>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CleanTech || CleanTech || CleanTech || CleanTech || CleanTech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CleanTech</t>
  </si>
  <si>
    <t>Sumod Kurup</t>
  </si>
  <si>
    <t>Graviton Space</t>
  </si>
  <si>
    <t>Summary
Mr. Sumod Kurup is the Founder and CEO of Graviton Space, a company dedicated to developing next-generation embedded systems for satellites and launch vehicles. With a strong passion for space technology, he is focused on advancing avionics systems to support precision-driven space missions.
Core Expertise
Space technology
Embedded systems development for aerospace
Avionics engineering
Attitude Determination &amp; Control Systems (ADCS)
On-Board Computers (OBC)
Business development
Financial analysis
Mentoring
Team management and team building
Problem-Solving Approach
Mr. Kurup emphasizes precision and reliability in aerospace systems through the development of high-performance ADCS and OBC solutions. His approach involves technical innovation, system integration, and collaboration with forward-thinking organizations to address complex challenges in space exploration.</t>
  </si>
  <si>
    <t>https://www.linkedin.com/in/sumodkurup/</t>
  </si>
  <si>
    <t>sumod@gravitonspace.com</t>
  </si>
  <si>
    <t>Business Model Development || Sales &amp; Business Development</t>
  </si>
  <si>
    <t>Spacetech || Defence</t>
  </si>
  <si>
    <t>Anil Kumar</t>
  </si>
  <si>
    <t>SolutionBuggy</t>
  </si>
  <si>
    <t>Sales &amp; Business Development ||  Marketing &amp; Branding</t>
  </si>
  <si>
    <t>Agritech &amp; Food Processing</t>
  </si>
  <si>
    <t>Chiranjeevi H</t>
  </si>
  <si>
    <t>Sambaiah B</t>
  </si>
  <si>
    <t>A Mazumdar</t>
  </si>
  <si>
    <t>Abhishek Nirakhe</t>
  </si>
  <si>
    <t>Jalgaon</t>
  </si>
  <si>
    <t>Ajit N</t>
  </si>
  <si>
    <t>Nasik</t>
  </si>
  <si>
    <t>Anup Kumar</t>
  </si>
  <si>
    <t>Shailendra N</t>
  </si>
  <si>
    <t>Haneesh K</t>
  </si>
  <si>
    <t>Indore</t>
  </si>
  <si>
    <t>Ashis Kumar</t>
  </si>
  <si>
    <t>Kolkata</t>
  </si>
  <si>
    <t>Vijay D</t>
  </si>
  <si>
    <t>Devashish C</t>
  </si>
  <si>
    <t>Praveen G</t>
  </si>
  <si>
    <t>Rohith B</t>
  </si>
  <si>
    <t>Jamal C</t>
  </si>
  <si>
    <t>Coimbatore</t>
  </si>
  <si>
    <t>Abhishek Kumar</t>
  </si>
  <si>
    <t>Sameer P</t>
  </si>
  <si>
    <t>Dr Jagadish B</t>
  </si>
  <si>
    <t>Ishraq G</t>
  </si>
  <si>
    <t>Murali B</t>
  </si>
  <si>
    <t>Somasegar C</t>
  </si>
  <si>
    <t>Arjun B</t>
  </si>
  <si>
    <t>Samit M</t>
  </si>
  <si>
    <t>Devidas P</t>
  </si>
  <si>
    <t>Vivek M</t>
  </si>
  <si>
    <t>Amit N</t>
  </si>
  <si>
    <t>Sanjay N</t>
  </si>
  <si>
    <t>Automotive &amp; Auto Components</t>
  </si>
  <si>
    <t>Krishnaswami C</t>
  </si>
  <si>
    <t>Chokkiah A</t>
  </si>
  <si>
    <t>Ramesh B</t>
  </si>
  <si>
    <t>Shirish Joshi</t>
  </si>
  <si>
    <t>Deepak Verma</t>
  </si>
  <si>
    <t>Pankaj Sharma</t>
  </si>
  <si>
    <t>Business Consultant and Mentor</t>
  </si>
  <si>
    <t xml:space="preserve"> NASSCOM Foundation</t>
  </si>
  <si>
    <t>Summary
Pankaj Sharma is a seasoned Business Consultant and Startup Mentor with extensive experience in building entrepreneurial ecosystems, designing capacity-building programs, and guiding youth-led ventures. With a strong background across education, sales, marketing, emotional intelligence, and innovation management, he has contributed significantly to nurturing early-stage startups and supporting founders in transforming ideas into scalable enterprises. He has worked with leading institutions, including NASSCOM Foundation, National Design Business Incubator, STPINEXT, and various academic and social organizations to strengthen India’s innovation landscape.
Core Expertise
Startup ecosystem development &amp; incubation
Sales, marketing, and consultative selling
Entrepreneurship development &amp; training
Emotional intelligence, design thinking, and mindfulness-based learning
Program design: Idea-to-Enterprise workshops
Operations, business development, and project management
Youth leadership and innovation programs
Blockchain ecosystem consulting (Apiary – MeitY CoE)
Problem-Solving Approach
Pankaj adopts a people-centric and design-thinking-driven approach, combining structured business frameworks with behavioral insights. He focuses on:
Diagnosing root problems in sales, operations, or strategy
Applying practical, industry-backed methodologies
Building founder capability through hands-on mentoring
Using emotional intelligence and mindset coaching to empower entrepreneurs
Encouraging sustainable, long-term growth rather than short-term fixes
Impactful Projects
Designed and executed Idea-to-Enterprise workshops that enabled early-stage entrepreneurs to convert concepts into viable business models.
Mentored startups across education, social innovation, and emerging tech, helping them strengthen operations, fundraising readiness, and market validation.
Led sales and business development initiatives for Zee Learn, ICSIL, ICICI Securities, and Reliance Money, significantly improving partner engagement and revenue outcomes.
Contributed to blockchain ecosystem development as Consultant for STPINEXT’s Apiary CoE (MeitY).
Founded and scaled Mahaamana Foundation, delivering programs in entrepreneurship, emotional intelligence, and leadership for youth and professionals.
Consultation Style
Pankaj’s mentoring approach is:
Practical and experience-led—focused on real-world execution
Empathetic and founder-centric, with emphasis on emotional and entrepreneurial resilience
Structured, using frameworks from design thinking, sales strategy, and business modeling
Flexible and adaptive, tailoring guidance to each startup’s maturity, challenges, and industry context
Holistic, combining business insights, mindset coaching, and operational guidance to help founders grow sustainably</t>
  </si>
  <si>
    <t>https://www.linkedin.com/in/pankaj-sharma-1402/</t>
  </si>
  <si>
    <t>pankaj142@rediffmail.com</t>
  </si>
  <si>
    <t xml:space="preserve"> 76786 10036</t>
  </si>
  <si>
    <t>Education &amp; Training</t>
  </si>
  <si>
    <t>Suman Dash</t>
  </si>
  <si>
    <t>Chief Operating Officer</t>
  </si>
  <si>
    <t>ACSEL Technology Forum</t>
  </si>
  <si>
    <t>Summary
Suman Dash is a dynamic ecosystem builder with over 19 years of experience across entrepreneurship development, strategic partnerships, marketing, technology programs, and startup enablement. She has led multiple high-impact roles including Chief Operating Officer at ACSEL Technology Forum, Director at Sauroville Tech, and Director at TiE Bangalore. With a strong background in artificial intelligence, project planning, marketing strategy, and organizational growth, she excels at transforming ideas into scalable outcomes. As an NLP and Mindfulness coach, she also empowers founders and professionals to shift mindsets and unlock their full potential. 
Core Expertise
Startup Ecosystem Building &amp; Strategic Partnerships
Program Design, Scaling &amp; Leadership
Marketing Strategy, Brand Leadership, and Communications
Artificial Intelligence (AI) for Product &amp; Business Growth
Business Development &amp; Key Account Management
Entrepreneur Coaching, NLP &amp; Mindfulness Mentoring
Robotics Education Partnerships (K–12)
Travel, Retail, Solar, and Consumer Business Verticals
Client Relations, Enterprise Partnerships, and Sales Strategy
IT &amp; Non-IT Recruitment and Talent Solutions
Problem-Solving Approach
Suman brings a strategic yet people-centric approach, beginning with understanding stakeholder goals, identifying operational gaps, and designing structured solutions that are measurable and scalable. She blends analytical thinking with empathic leadership, using her coaching background to guide entrepreneurs through mindset shifts, clarity-building, and growth-focused decision-making. She is known for turning fragmented processes into executable frameworks and building sustainable systems within organizations. 
Impactful Projects &amp; Achievements
Scaled technology, entrepreneurship, and AI-driven programs at TiE Bangalore and Sauroville Tech.
Built strategic alliances with national and international partners including corporates, schools, and global networks.
Managed large portfolios of enterprise merchants at Freecharge, including Reliance Retail, Apollo Hospitals, MedPlus, Croma, and others.
Successfully closed partnerships with 15+ schools for robotics education solutions within 7 months.
Led nationwide marketing and communication initiatives in solar energy, resulting in measurable brand expansion.
Designed and executed corporate travel programs, business development strategies, and pan-India partnerships.
Co-founded and scaled consumer-facing ventures in fashion jewelry and events, empowering women entrepreneurs (Mompreneurs).
Consultation Style
Suman’s engagement style is collaborative, structured, and transformation-driven. She combines strategic insight with hands-on guidance, adapting her mentoring approach to the startup’s stage, founder’s maturity, and business complexity. She emphasizes clarity, execution, and mindset alignment — ensuring founders not only understand solutions but can apply them confidently. Her sessions are known for being practical, empathetic, and growth-oriented</t>
  </si>
  <si>
    <t>https://www.linkedin.com/sumandash84</t>
  </si>
  <si>
    <t>Bangalore</t>
  </si>
  <si>
    <t>suman@acsel.in</t>
  </si>
  <si>
    <t>Buisness Operations || Sales &amp; Business Development</t>
  </si>
  <si>
    <t>Praveen Rajbhar</t>
  </si>
  <si>
    <t xml:space="preserve">Founder &amp; CEO </t>
  </si>
  <si>
    <t>SkillingYou</t>
  </si>
  <si>
    <t>Summary
Praveen Kumar Rajbhar is the Founder &amp; CEO of SkillingYou, a Google &amp; MeitY-recognized Top 100 Promising Startup. With 12+ years of experience in entrepreneurship development, skill training, and youth leadership, he has empowered thousands of entrepreneurs and professionals across India. His work focuses on building startup readiness, enhancing employability, and creating large-scale impact through skilling initiatives, especially for rural and underserved communities.
Core Expertise
Entrepreneurship Coaching &amp; Startup Mindset
Sales &amp; Business Development Training
Team Building &amp; Leadership Development
Youth Skill Development &amp; Employability Programs
Business Networking &amp; Practical Execution Strategies
Rural Youth Empowerment &amp; Skill Outreach Initiatives
Problem-Solving Approach
Praveen follows a practical, execution-driven approach that blends real-world business scenarios with structured frameworks. He breaks down complex entrepreneurial and professional challenges into actionable steps, enabling founders, students, and young professionals to build clarity, confidence, and momentum. His methods emphasize hands-on learning, mindset shift, and measurable progress.
Impactful Projects
Trained 4,000+ founders and aspiring entrepreneurs in startup readiness, sales, and team building.
Enabled 1.5 lakh students with free skill-based learning through SkillingYou initiatives.
Impacted over 5 lakh rural youth through Education 2.0, Yuva Udhyami Lab, and Young Bharat Olympiad.
Recognized by Google, MeitY, Aavishkaar Foundation, and Startup India for high-impact work.
Featured on TEDx, Josh Talks, ABP News, Zee News, DD News, and other reputed platforms.
Consultation Style
Praveen adopts a friendly, motivational, and highly interactive engagement style. He focuses on personalized guidance, real-time problem solving, and practical strategies tailored to each founder or learner. His sessions are structured to build confidence, encourage execution, and help individuals transform from job seekers into job creators.</t>
  </si>
  <si>
    <t>https://www.linkedin.com/in/praveenkumarrajbhar/</t>
  </si>
  <si>
    <t>praveen@skillingyou.com</t>
  </si>
  <si>
    <t>HR: Others</t>
  </si>
  <si>
    <t>Sales &amp; Business Development || Strategic Planning</t>
  </si>
  <si>
    <t>Dr. Devesh Baid</t>
  </si>
  <si>
    <t>IMI Incubation Foundation</t>
  </si>
  <si>
    <t>Summary
Dr. Devesh Baid is an accomplished academic, consultant, and ecosystem builder with more than two decades of experience across financial management, startup incubation, entrepreneurship development, and research-driven consulting. He serves as the CEO of IMI Incubation Foundation and Associate Professor at IMI Bhubaneswar, where he leads entrepreneurship programs, designs innovation initiatives, and manages national and state-level partnerships with Startup Odisha, EDII, Wadhwani Foundation, CII, STPI, IITs, and other ecosystem stakeholders. His professional journey blends academic rigor with hands-on consulting experience, enabling him to mentor founders with strategic clarity and data-backed decision-making.
Core Expertise
Finance &amp; Accounting: Financial analysis, valuation, management control systems, cost accounting, profitability analysis, project financing, forensic accounting.
Startup &amp; Entrepreneurship Development: Incubation leadership, innovation bootcamps, ideation frameworks, ecosystem building, startup capacity building, government-funded entrepreneurship programs.
Research &amp; Data Analysis: Narrative analysis, financial reporting, multivariate techniques, time-series analysis, PLS-SEM, design of performance measurement frameworks.
Consulting &amp; Policy Projects: Assignments for SEBI, NABARD, NCDEX, AIMA, MSME, BFSI Sector Skill Council, and World Bank–related agricultural marketing studies.
Corporate Training: Financial modeling, Power BI, design thinking, analytics, finance for non-finance executives, and ChatGPT for administrative efficiency.
Problem-Solving Approach
Dr. Baid solves functional and strategic challenges using a structured, evidence-based approach.
 His methodology includes:
Data-driven analysis to evaluate financial health, performance, and business viability
Design thinking frameworks to guide startup ideation and business model refinement
Systems thinking for diagnosing organizational issues and improving decision-making
Practical financial modeling for founders to understand cost structures, profitability, and risk
Structured pedagogy + real-world case insights to simplify complex concepts for entrepreneurs
He balances academic depth with practical realism, making his mentorship highly actionable for early-stage and growth-stage founders.
Impactful Projects
Dr. Baid has led numerous high-impact initiatives, including:
23 Innovation &amp; Entrepreneurship Bootcamps across Odisha schools &amp; colleges under Startup Odisha.
Commodity Derivatives Training Programs for farmers and industry participants sponsored by SEBI and NCDEX.
NABARD-funded reviews of MEDP/LEDP programs and Off-Farm Producer Organizations across eight districts.
SFURTI cluster development projects (₹256–₹280 lakh) for handloom and honey clusters.
World Bank project evaluating structures and functions of FPOs/FPCs in Rajasthan.
Development of an educational board game to teach Pradhan Mantri Fasal Bima Yojana to farmers.
His work has influenced thousands of farmers, students, entrepreneurs, and ecosystem partners at both state and national levels.
Consultation Style
Dr. Baid’s mentoring style is:
Analytical and structured, with an emphasis on clarity in financial and strategic decisions
Founder-centric, customizing guidance based on the startup’s stage, capability, and constraints
Outcome-oriented, helping founders refine business models, financials, and execution strategies
Collaborative, enabling mentees to build confidence through active learning and problem-solving
Practical &amp; research-backed, integrating case studies, real examples, and financial insights
His approach ensures that startups develop solid foundations and become investor-ready, scalable, and sustainable.</t>
  </si>
  <si>
    <t>https://www.linkedin.com/in/devesh-baid-91770716/?originalSubdomain=in</t>
  </si>
  <si>
    <t>Odisha</t>
  </si>
  <si>
    <t>touchdevesh@gmail.com</t>
  </si>
  <si>
    <t>Sales &amp; Business Development || Business Finance</t>
  </si>
  <si>
    <t>Agritech and Food Processing || Education &amp; Training</t>
  </si>
  <si>
    <t>Swarup Sagi</t>
  </si>
  <si>
    <t>Associate Director - Business Development</t>
  </si>
  <si>
    <t>Proxelera</t>
  </si>
  <si>
    <t>An experienced engineering R&amp;D professional with close to 14 years of expertise in chip design, FPGA development, and embedded systems innovation. With a background spanning silicon productization, post-silicon validation, system design, and systems software development, Swarup specializes in identifying and capturing new business opportunities while expanding market presence in deep-tech sectors. Currently focused on building India's first indigenous semiconductor ecosystem for autonomous commerce and logistics automation, he combines technical excellence in hardware-software integration with strategic business acumen, positioning him as an advisor for AI and digital transformation initiatives.
Skills: Full Chip Design, FPGA &amp; IP Work, Silicon Productization, Post-Silicon Validation, System Design, Embedded Software Development, Hardware-Software Integration, Autonomous Systems, AI &amp; Digital Transformation, Business Development, Semiconductor Ecosystem Building, Validation &amp; Testing</t>
  </si>
  <si>
    <t>https://www.linkedin.com/in/swarup-sagi/</t>
  </si>
  <si>
    <t>swarup.sagi@proxelera.com</t>
  </si>
  <si>
    <t>Tech/Engineering</t>
  </si>
  <si>
    <t>Sales &amp; Business Development || Go to Market Strategy</t>
  </si>
  <si>
    <t>Atul Sood</t>
  </si>
  <si>
    <t xml:space="preserve">Senior Vice President - Sales &amp; Marketing </t>
  </si>
  <si>
    <t>Kia India</t>
  </si>
  <si>
    <t>A seasoned automotive executive with over 28 years of industry experience across sales, marketing, dealer network expansion, and operations at regional, national, and Asia-Pacific levels. Currently Senior Vice President of Sales &amp; Marketing at Kia India, Atul brings deep expertise in channel management, customer experience enhancement, digital transformation, and strategic business development. With proven track records in building high-performing teams, expanding viable dealer networks, and driving accelerated growth through innovative mobility solutions and integrated dealer management systems, he combines entrepreneurial mindset with large-scale organizational leadership.
Skills: Channel Management, Dealer Network Development, Sales &amp; Marketing Strategy, Customer Experience Enhancement, Digital Transformation, Product Planning &amp; Pricing, After-Sales Operations, Regional Operations, Team Building &amp; Leadership, Business Growth Strategy, Demand &amp; Supply Management, Market Expansion</t>
  </si>
  <si>
    <t>https://www.linkedin.com/in/atul-sood-379aa56/</t>
  </si>
  <si>
    <t xml:space="preserve">India </t>
  </si>
  <si>
    <t>atul@toyota-kirloskar.co.in</t>
  </si>
  <si>
    <t>9205234553, 9740900856</t>
  </si>
  <si>
    <t>Dilip Pandya</t>
  </si>
  <si>
    <t>Certified Coach</t>
  </si>
  <si>
    <t xml:space="preserve">Global Coach Group/Marshall Goldsmith SCC
</t>
  </si>
  <si>
    <t>Summary
Dilip Pandya is a senior business and leadership mentor with over 33 years of cross-functional and cross-industry experience. He has led operations, sales, customer service, and large-scale transformations across telecom, consumer goods, services, and manufacturing sectors. As the Founder and Managing Director of Transcend Biz Mentors Pvt. Ltd., he has been mentoring entrepreneurs, leadership teams, and institutions since 2013, helping them professionalize operations and scale sustainably.
Core Expertise
Business &amp; leadership mentoring
Operations, sales, and customer service leadership
Organizational transformation and scaling
Strategic HR and workforce planning
Executive and stakeholder-centered coaching
Go-to-market launches and turnaround management
Telecom, FMCG, services, manufacturing, and digital businesses
Problem-Solving Approach
Dilip follows a participative mentorship model, working closely with founders and leadership teams rather than offering detached advice. He focuses on diagnosing root issues, aligning leadership mindset to growth, building strong execution systems, and embedding scalable processes. His approach blends hands-on involvement with proven management tools to drive measurable and sustainable outcomes.
Impactful Projects
Founded and scaled Transcend Biz Mentors Pvt. Ltd., mentoring businesses across 33+ industries
Led multiple regional and national turnarounds at companies like Vodafone, Tata Docomo, Bharti Airtel, and Reliance Communications
Successfully launched new products, territories, and businesses across India
Improved market share significantly in competitive telecom markets and converted loss-making regions into profitable operations
Enabled long-term operational and leadership transformation for SMEs and large enterprises
Consultation Style
Dilip works closely with founders, CEOs, and leadership teams through deep engagement and continuous follow-through. He customizes his guidance based on business maturity, leadership capability, and growth stage. His style is practical, structured, and execution-focused, with an emphasis on ownership, accountability, and building strong internal teams rather than short-term fixes.</t>
  </si>
  <si>
    <t>https://www.linkedin.com/in/dilippandya-mentor-exec-coach?utm_source=share&amp;utm_campaign=share_via&amp;utm_content=profile&amp;utm_medium=ios_app</t>
  </si>
  <si>
    <t>Sales &amp; Business Development || Business Model Development</t>
  </si>
  <si>
    <t>Manufacturing</t>
  </si>
  <si>
    <t>Achal Ranga Swamy</t>
  </si>
  <si>
    <t>Coach and Keynote Speaker</t>
  </si>
  <si>
    <t>Achal Rangaswamy the Coach</t>
  </si>
  <si>
    <t>Summary
Achal Rangaswamy is a senior sales leader, coach, and TEDx speaker with over four decades of experience across sales, marketing, leadership, and people development. He has held top leadership roles in large consumer and building materials companies and now works closely with organizations and individuals to turn real-world sales experience into practical wisdom. His work focuses on building confident professionals and high-performing sales teams that deliver sustained results.
Core Expertise
Sales leadership and sales coaching
Marketing and brand strategy
Building and scaling sales teams
Communication and influence
Leadership development and mentoring young managers
Time management and self-development
Consumer durables and building materials industries
Problem-Solving Approach
Achal believes sales success starts with mindset before metrics. He works on strengthening clarity, confidence, and communication while aligning teams to purpose and performance. His approach combines storytelling, real-life business situations, and practical frameworks to help teams overcome resistance, stay motivated, and perform consistently in competitive markets.
Impactful Projects
Led Bell Ceramics’ transformation from a mid-market brand to a contemporary, customer-focused national player through a complete overhaul of sales, distribution, and branding
Built and scaled a pan-India sales and distribution network covering metros, mini-metros, and smaller towns
Drove Bell Ceramics to cross ₹100 crore turnover for the first time in its history
Took Amtrex Shizuka air conditioners to national recognition through differentiated marketing and benefit-led selling
Built and rejuvenated multiple sales teams that went on to win national performance awards
Consultation Style
Achal engages through talks, workshops, one-on-one coaching, and long-term mentoring. He adapts his style based on the experience level of the audience, from young managers to senior leaders. His sessions are conversational, inspiring, and grounded in real business stories, with a strong focus on practical application and long-term behavioral change.</t>
  </si>
  <si>
    <t>https://www.linkedin.com/in/achalrangaswamy/</t>
  </si>
  <si>
    <t>achal.rangaswamy@gmail.com</t>
  </si>
  <si>
    <t>Sales &amp; Business Development || Leadership Coaching</t>
  </si>
  <si>
    <t>Abhisshek Sinha</t>
  </si>
  <si>
    <t>A management professional and business consultant with proven ability to build, mentor, and lead high-performing teams while driving adoption of digital, AI, and cloud solutions. With expertise spanning enterprise sales, CRM implementation, and advanced analytics, Abhishek specializes in consultative selling, account expansion strategies, and value engineering for enterprises. He combines technical acumen with strategic business development capabilities, implementing data-driven sales processes and leading complex transformation initiatives across multiple industries while fostering cultures of innovation and accountability.
Skills: Enterprise Sales &amp; Business Development, Team Leadership &amp; Mentorship, Digital Transformation, AI &amp; Cloud Solutions, CRM Systems &amp; Analytics, Consultative Selling, Account Management &amp; Expansion, Sales Process Improvement, Strategic Account Mining, Pipeline Management, Cross-functional Leadership, Value Engineering</t>
  </si>
  <si>
    <t>https://www.linkedin.com/in/abhissheksinha3008/</t>
  </si>
  <si>
    <t>Sales &amp; Business Development</t>
  </si>
  <si>
    <t>Anubhuti Singh</t>
  </si>
  <si>
    <t>A seasoned professional and founder with extensive experience building partner ecosystems for Cloud and SaaS platforms, currently serving as Senior Director - Head of Alliances &amp; Partnerships for India at MongoDB. With deep expertise in partner ecosystem development, cloud technology partnerships, and business model optimization, Anubhuti has successfully helped partners build profitable business models through strategic alliances. She combines leadership in building high-performing teams with strategic acumen in partnership management, diversity initiatives, and organizational culture development while driving growth within the technology sector.
Skills: Partner Ecosystem Development, Cloud &amp; SaaS Partnerships, Alliance &amp; Partnership Strategy, Business Model Optimization, Partner Growth &amp; Development, Cloud Platforms, Sales Leadership, Organizational Culture, Diversity &amp; Inclusion, Team Building, Strategic Partnerships, Technology Ecosystem Building</t>
  </si>
  <si>
    <t>https://www.linkedin.com/in/anubhuti-singh-07a9725</t>
  </si>
  <si>
    <t>Dr Anuj Tripathi</t>
  </si>
  <si>
    <t>A strategic business leader with dual expertise in enterprise sales and AI-driven manufacturing transformation, currently building and leading Ripik.AI's international expansion across North America, LATAM, Europe, and APAC. With 15+ years of technology business development experience across startups, mid-market, and enterprise segments at companies like Affle, R Systems, and Extreme Labs, he specializes in navigating complex multi-stakeholder buying processes and executing high-impact enterprise sales strategies. Dr. Tripathi combines consultative sales acumen with deep industry knowledge to drive revenue growth and strategic market penetration in emerging technology sectors including AI automation, network infrastructure, and digital transformation.
Skills: Enterprise Sales Strategy &amp; Execution, AI-Driven Manufacturing &amp; Industry 5.0, International Business Expansion, Complex Deal Negotiation, Strategic Market Penetration, Sales Leadership, High-Velocity Outbound Sales, Revenue Growth Acceleration, Customer Acquisition &amp; Retention, SaaS &amp; Platform Sales, Digital Transformation Advisory, Multi-stakeholder Management</t>
  </si>
  <si>
    <t>https://www.linkedin.com/in/dranujtripathi/</t>
  </si>
  <si>
    <t>Ravi Sridhar</t>
  </si>
  <si>
    <t>Senior Sales Manager - Alliances &amp; Partnerships</t>
  </si>
  <si>
    <t>BXI Technology</t>
  </si>
  <si>
    <t>Ravi Sridhar is a Strategic Alliances &amp; Partnerships Leader with over 15 years of global experience in sales leadership, business development, and strategic growth. Currently serving as Senior Sales Manager at BXI Tech, he specializes in driving go-to-market (GTM) growth and ecosystem expansion. His background demonstrates extensive expertise in navigating complex organizational environments, building strategic partnerships, and leading high-impact sales initiatives across diverse markets. With a focus on aligning sales strategy with business objectives, he leverages his deep experience in business development to help organizations achieve scalable growth. His competencies span enterprise sales, partnership management, and market expansion across various geographies and industry verticals.
Skills: Strategic Alliances &amp; Partnerships, Sales Leadership, Business Development, GTM Strategy, Ecosystem Expansion, Enterprise Sales, Market Growth, Sales Management, Partnership Development, Business Strategy</t>
  </si>
  <si>
    <t>https://www.linkedin.com/in/ravi-sridhar-b800991a5/</t>
  </si>
  <si>
    <t>Sales/GTM: Leadership</t>
  </si>
  <si>
    <t>Sales Leadership</t>
  </si>
  <si>
    <t>Technology</t>
  </si>
  <si>
    <t>Ashish Mishra</t>
  </si>
  <si>
    <t>A strategic business leader with nearly a decade of experience in business development, go-to-market strategy, and growth initiatives. Currently serving as Assistant Vice President of Strategy and Growth at University Living, he brings proven expertise in driving revenue growth through strategic partnerships and innovative market expansion. An active startup mentor with the Wadhwani Foundation and xto10x ventures, Ashish leverages his experience across leading organizations to empower early-stage entrepreneurs. An IIFT Delhi MBA graduate, he specializes in analyzing startup success factors and helping founders navigate critical business milestones through validation, customer insights, and sustainable growth strategies.
Skills: Business Development, Go-to-Market Strategy, Growth Strategy, Startup Mentoring, Strategic Partnerships, Revenue Growth, Sales Leadership, Entrepreneurship Insights, Customer Validation, Business Model Development, Team Building, Market Expansion, Strategic Planning, Fundraising Strategy</t>
  </si>
  <si>
    <t>https://www.linkedin.com/in/ashishiift?utm_source=share&amp;utm_campaign=share_via&amp;utm_content=profile&amp;utm_medium=android_app</t>
  </si>
  <si>
    <t>Business Model Development || Digital Marketing || Go to Market Strategy || Marketing || Sales Strategy || Business Model Development || Digital Marketing || Go to Market Strategy || Marketing || Sales Strategy || Sales &amp; Business Development || Go to Market Strategy</t>
  </si>
  <si>
    <t>Education &amp; Training || Education &amp; Training || Education &amp; Training || Education &amp; Training || Education &amp; Training || Tourism &amp; Hospitality || Tourism &amp; Hospitality || Tourism &amp; Hospitality || Tourism &amp; Hospitality || Tourism &amp; Hospitality || Education &amp; Training</t>
  </si>
  <si>
    <t>Mohammad Haseeb</t>
  </si>
  <si>
    <t xml:space="preserve">Strategic Country Manager </t>
  </si>
  <si>
    <t>Ras Al Khaimah Economic Zone</t>
  </si>
  <si>
    <t>Summary:
A seasoned business development and investment facilitation leader with 19 years of experience across sales, project management, and strategic partnerships. Currently serving as Strategic Country Manager – India at Ras Al Khaimah Economic Zone (RAKEZ), specializing in attracting and anchoring FDI from India by working closely with senior leadership and government stakeholders to convert intent into long-term investments.
Core Expertise:
Foreign Direct Investment (FDI) facilitation, market entry strategy, business development, investor relations, account management, strategic partnerships, government-to-government engagement, policy navigation (CEPA-aware), and aftercare services. Strong exposure to manufacturing, e-commerce, logistics, oil and gas, and construction sectors.
Problem-Solving Approach:
Takes an end-to-end, practical approach to investor challenges by combining market intelligence with commercial and regulatory clarity. Focuses on feasibility-led decision-making, stakeholder alignment, and structured execution to reduce friction and ensure sustainable outcomes for both investors and host ecosystems.
Impactful Projects:
Led multiple India-to-UAE investment journeys covering site selection, licensing, incentives, compliance, and onboarding. Successfully delivered revenue growth, improved market share, and high client satisfaction through complex projects, tenders, and long-term investor anchoring initiatives across diverse industries.
Consultation Style:
Engages in a relationship-driven, consultative manner, prioritizing trust and long-term value creation. Known for clear communication, cultural sensitivity, and tailoring solutions to investor objectives while balancing regulatory and operational realities.</t>
  </si>
  <si>
    <t>https://www.linkedin.com/in/mohammad-haseeb-4482039/</t>
  </si>
  <si>
    <t>UAE</t>
  </si>
  <si>
    <t>Ras Al Khaimah</t>
  </si>
  <si>
    <t>m.haseeb@rakez.com</t>
  </si>
  <si>
    <t>Manufacturing &amp; Manufacturing Tech: Additive Manufacturing (3D Printing)</t>
  </si>
  <si>
    <t>New Market Entry – Domestic</t>
  </si>
  <si>
    <t>Ignite, LiftOff, Accelerate</t>
  </si>
  <si>
    <t>Dr. Selva</t>
  </si>
  <si>
    <t xml:space="preserve">Director-Quality and Regulatory </t>
  </si>
  <si>
    <t>SigTuple</t>
  </si>
  <si>
    <t>Dr. Selva is a senior Quality and Regulatory Affairs professional with 22 years of experience across medical devices, life sciences, biopharma, and AI-enabled healthcare products. He specializes in setting up greenfield manufacturing facilities, implementing compliant quality systems, and securing regulatory approvals across highly regulated global markets. 
Core Expertise:
Medical device quality and regulatory affairs, QMS implementation (ISO 13485, cGMP, 21 CFR Part 11), USFDA 510(k), EU MDR/IVDR, CE marking, SaMD and AI/ML-based medical devices, IVDs, clinical validations, technology transfer, and large-scale manufacturing operations. 
Problem-Solving Approach:
Adopts a structured, compliance-first approach that balances regulatory rigor with business practicality. Known for translating complex regulatory requirements into executable quality systems, he works closely with cross-functional teams to ensure timely approvals, operational efficiency, and cost optimization without compromising patient safety or compliance. 
Impactful Projects:
Led end-to-end quality and regulatory strategy for multiple medical devices, IVDs, and SaMD products, securing USFDA and CE approvals. Headed QARA functions at organizations such as SigTuple, Tech Mahindra, and Axio Biosolutions, enabling global market access and scalable manufacturing. Successfully commissioned greenfield facilities and managed large-scale stem cell and vaccine manufacturing operations across India and Malaysia. 
Consultation Style:
Hands-on, methodical, and collaborative. Works closely with leadership, R&amp;D, and manufacturing teams to build robust, audit-ready systems. Known for mentoring teams, driving capability building in regulatory compliance, and providing clear, actionable guidance tailored to product type, market, and organizational maturity.</t>
  </si>
  <si>
    <t>https://www.linkedin.com/in/dr-selva-0849271b/</t>
  </si>
  <si>
    <t>selvatn737@gmail.com</t>
  </si>
  <si>
    <t>90368 39020</t>
  </si>
  <si>
    <t/>
  </si>
  <si>
    <t>Aakarshan Sethi</t>
  </si>
  <si>
    <t>Senior Customer Success Manager</t>
  </si>
  <si>
    <t>Goldcast</t>
  </si>
  <si>
    <t>Summary:
Mr. Aakarshan is an experienced consultant with a strong background in the government domain, startup ecosystem, consultancy, events, and technical services industry. He is skilled in entrepreneurship, startup consulting, market research, and recruitment. Having worked with prominent firms like EY, Collabera, HCL, and SingEx, he is currently associated with the Series B funded startup Airmeet. Mr. Aakarshan is also a mentor and speaker, actively involved in the startup community.
Key Areas of Expertise:
Entrepreneurship
Start-up Consulting
Market Research
Recruitment
Account Management
Event Organization
Strategic Contributions:
Worked with big firms such as EY, Collabera, HCL, and SingEx.
Currently working with Airmeet, organizing events, conferences, and startup summits.
Actively involved as a Startup Community Evangelist and Speaker.
Mentorship Philosophy:
Mentoring through programs like Mentor of Change at AIM and Startup India.
Providing guidance and support to startups and entrepreneurs.
Success Stories:
Executed Startup India Yatra.
Contributed to the growth and success of various startups through consulting and mentorship.</t>
  </si>
  <si>
    <t>https://www.linkedin.com/in/aakarshansethi/</t>
  </si>
  <si>
    <t xml:space="preserve">aakarshan@airmeet.com
aakarshansethi1994@gmail.com (Mentor) </t>
  </si>
  <si>
    <t>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Branding || Business Model Development || Customer Service &amp; Retention || Digital Marketing || Go to Market Strategy || Growth Strategy Formulation || Media and PR || Performance Management || Product Development || Prototyping &amp; Testing || Public speaking || Sales Strategy || Social Media Marketing || Strategic Planning || Sustainable Operations || Talent Acquisition || Tech Strategy &amp; Infrastructure || Entrepreneurship Coaching || Market Research</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</si>
  <si>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CleanTech || CleanTech || CleanTech || CleanTech || CleanTech || CleanTech || CleanTech || CleanTech || CleanTech || CleanTech || CleanTech || CleanTech || CleanTech || CleanTech || CleanTech || CleanTech || CleanTech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FinTech || FinTech || FinTech || FinTech || FinTech || FinTech || FinTech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CleanTech || CleanTech || CleanTech || CleanTech || CleanTech || CleanTech || CleanTech || CleanTech || CleanTech || CleanTech || CleanTech || CleanTech || CleanTech || CleanTech || CleanTech || CleanTech || CleanTech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FinTech || FinTech || FinTech || FinTech || FinTech || FinTech || FinTech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CleanTech || CleanTech || CleanTech || CleanTech || CleanTech || CleanTech || CleanTech || CleanTech || CleanTech || CleanTech || CleanTech || CleanTech || CleanTech || CleanTech || CleanTech || CleanTech || CleanTech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FinTech || FinTech || FinTech || FinTech || FinTech || FinTech || FinTech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Retail &amp; e-Commerce || Education &amp; Training</t>
  </si>
  <si>
    <t>Ashesh D Shah</t>
  </si>
  <si>
    <t>Fusion Informatics</t>
  </si>
  <si>
    <t>Summary:&lt;/strong&gt;&lt;/p&gt;&lt;p&gt;Mr. Aashesh is a visionary technology professional with over 23 years of experience across sectors like Healthcare, Retail, Manufacturing, Hospitality, Education, and Logistics. As the CEO of Fusion Informatics Limited, he specializes in Product Management strategy, digital transformation, and innovation, aiding companies from startups to large enterprises in achieving long-term goals. With a management degree in marketing and a background in Computer Applications, he continues to drive his organization towards delivering cutting-edge solutions in emerging technologies.&lt;/p&gt;&lt;p&gt;&lt;br&gt;&lt;/p&gt;Key Areas of Expertise:&lt;/strong&gt;&lt;/p&gt;&lt;ul&gt;&lt;li&gt;Strategic Technology Planning&lt;/li&gt;&lt;li&gt;Digital Transformation&lt;/li&gt;&lt;li&gt;Technology Investment&lt;/li&gt;&lt;li&gt;Integration of Emerging Technologies (AI, ML, IoT, Cloud)&lt;/li&gt;&lt;li&gt;Product Management Strategy and Delivery&lt;/li&gt;&lt;li&gt;Agile Innovation Models&lt;/li&gt;&lt;/ul&gt;&lt;p&gt;&lt;br&gt;&lt;/p&gt;Strategic Contributions:&lt;/strong&gt;&lt;/p&gt;&lt;ul&gt;&lt;li&gt;Led the development of Product Management strategy and delivery for international high-growth organizations.&lt;/li&gt;&lt;li&gt;Implemented digital transformation strategies and continuous Product Management evolution.&lt;/li&gt;&lt;li&gt;Managed global cross-functional teams to drive sustainable revenue growth and Product Management launches.&lt;/li&gt;&lt;/ul&gt;&lt;p&gt;&lt;br&gt;&lt;/p&gt;Mentorship Philosophy:&lt;/strong&gt;&lt;/p&gt;&lt;ul&gt;&lt;li&gt;Advocates for collaboration with industry peers passionate about innovation, growth, and mentoring startups.&lt;/li&gt;&lt;li&gt;Believes in sharing knowledge and guiding startups through the complex landscape of digital transformation.&lt;/li&gt;&lt;/ul&gt;&lt;p&gt;&lt;br&gt;&lt;/p&gt;Success Stories:&lt;/strong&gt;&lt;/p&gt;&lt;ul&gt;&lt;li&gt;Successfully shaped Product Management strategies and delivered results for companies across various industries.&lt;/li&gt;&lt;li&gt;Built and led a technology-driven organization that excels in delivering services, applications, and solutions across diverse domains.&lt;/li&gt;&lt;li&gt;Fostered innovation and growth in the face of emerging technologies, enhancing the organization's capabilities and market presence.&lt;/li&gt;&lt;/ul&gt;</t>
  </si>
  <si>
    <t>https://www.linkedin.com/in/asheshdshah-aiadvisor/</t>
  </si>
  <si>
    <t>shah_ashesh@yahoo.com</t>
  </si>
  <si>
    <t xml:space="preserve">Digital transformation </t>
  </si>
  <si>
    <t>Branding || Business Model Development || Customer Service &amp; Retention || Data Analytics || Go to Market Strategy || Growth Strategy Formulation || Market research || Process Optimization || Product Development || Prototyping &amp; Testing || Public speaking || Sales Strategy || Strategic Planning || Sustainable Operations || Tech Strategy &amp; Infrastructure || Training &amp; Development || UI/UX Design || Branding || Business Model Development || Customer Service &amp; Retention || Data Analytics || Go to Market Strategy || Growth Strategy Formulation || Market research || Process Optimization || Product Development || Prototyping &amp; Testing || Public speaking || Sales Strategy || Strategic Planning || Sustainable Operations || Tech Strategy &amp; Infrastructure || Training &amp; Development || UI/UX Design || Branding || Business Model Development || Customer Service &amp; Retention || Data Analytics || Go to Market Strategy || Growth Strategy Formulation || Market research || Process Optimization || Product Development || Prototyping &amp; Testing || Public speaking || Sales Strategy || Strategic Planning || Sustainable Operations || Tech Strategy &amp; Infrastructure || Training &amp; Development || UI/UX Design || Branding || Business Model Development || Customer Service &amp; Retention || Data Analytics || Go to Market Strategy || Growth Strategy Formulation || Market research || Process Optimization || Product Development || Prototyping &amp; Testing || Public speaking || Sales Strategy || Strategic Planning || Sustainable Operations || Tech Strategy &amp; Infrastructure || Training &amp; Development || UI/UX Design || Branding || Business Model Development || Customer Service &amp; Retention || Data Analytics || Go to Market Strategy || Growth Strategy Formulation || Market research || Process Optimization || Product Development || Prototyping &amp; Testing || Public speaking || Sales Strategy || Strategic Planning || Sustainable Operations || Tech Strategy &amp; Infrastructure || Training &amp; Development || UI/UX Design || Branding || Business Model Development || Customer Service &amp; Retention || Data Analytics || Go to Market Strategy || Growth Strategy Formulation || Market research || Process Optimization || Product Development || Prototyping &amp; Testing || Public speaking || Sales Strategy || Strategic Planning || Sustainable Operations || Tech Strategy &amp; Infrastructure || Training &amp; Development || UI/UX Design || Branding || Business Model Development || Customer Service &amp; Retention || Data Analytics || Go to Market Strategy || Growth Strategy Formulation || Market research || Process Optimization || Product Development || Prototyping &amp; Testing || Public speaking || Sales Strategy || Strategic Planning || Sustainable Operations || Tech Strategy &amp; Infrastructure || Training &amp; Development || UI/UX Design || Branding || Business Model Development || Customer Service &amp; Retention || Data Analytics || Go to Market Strategy || Growth Strategy Formulation || Market research || Process Optimization || Product Development || Prototyping &amp; Testing || Public speaking || Sales Strategy || Strategic Planning || Sustainable Operations || Tech Strategy &amp; Infrastructure || Training &amp; Development || UI/UX Design || Branding || Business Model Development || Customer Service &amp; Retention || Data Analytics || Go to Market Strategy || Growth Strategy Formulation || Market research || Process Optimization || Product Development || Prototyping &amp; Testing || Public speaking || Sales Strategy || Strategic Planning || Sustainable Operations || Tech Strategy &amp; Infrastructure || Training &amp; Development || UI/UX Design || Branding || Business Model Development || Customer Service &amp; Retention || Data Analytics || Go to Market Strategy || Growth Strategy Formulation || Market research || Process Optimization || Product Development || Prototyping &amp; Testing || Public speaking || Sales Strategy || Strategic Planning || Sustainable Operations || Tech Strategy &amp; Infrastructure || Training &amp; Development || UI/UX Design || Digital Transformation || IT Consulting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</si>
  <si>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FinTech || FinTech || FinTech || FinTech || FinTech || FinTech || FinTech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Services || Services || Services || Services || Services || Services || Services || Services || Services || Services || Services || Services || Services || Services || Services || Services || Services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Software &amp; IT Services</t>
  </si>
  <si>
    <t>Abhay Tiwari</t>
  </si>
  <si>
    <t>Panditji Pooja Store</t>
  </si>
  <si>
    <t>Summary:
Mr. Abhay is a passionate and experienced business coach with nearly 5 years of experience in consulting and coaching business owners. He has a proven track record of helping SMEs grow their revenues and profits, adding over 300+ crores to client organizations and achieving an average of 150% growth in revenue for clients over the last 2 years. He specializes in solving marketing, sales, operations, and management challenges, helping entrepreneurs and executives reach their full potential.
Key Areas of Expertise:
Business Consulting
Strategic Planning
Marketing Strategy
Management Consulting
Executive Coaching
Strategic Contributions:
Achieved 150% revenue growth for clients in 2 years
Added 300+ crores to clients' organizations
Guided SMEs in overcoming challenges in marketing, sales, operations, and management
Mentorship Philosophy:
Mr. Abhay believes in developing expertise to drive business growth, combining practical experience with deep industry knowledge. He emphasizes strong communication and simplifies complex concepts into actionable steps to help his clients succeed.
Success Stories:
Holistic Growth and Mindset Shift:
"Abhay’s mentorship over the past 11 months has driven a 360-degree turnaround for our company. He built a win-win-win philosophy, focusing on client satisfaction, team development, and company growth. This approach has redefined our business practices and led to significant personal and professional growth."
Deep Gratitude and Support:
"I wanted to take a moment to express my deep gratitude for your guidance and support. Abhay's mentorship has been invaluable to me, and I truly appreciate the time and effort you’ve invested in helping me grow. Your insights and encouragement have made a significant difference in my journey."
Transformational Impact:
"It is so rare to find a person like Abhay, who can radically transform the way you think, perceive, decide, and act to become a high-performance leader. His insights have driven massive growth in my own businesses of Financial Advisory and Consulting."
Outstanding Business Coach:
"I am thrilled to recommend Abhay as an outstanding business coach. He has played a pivotal role in streamlining my team, significantly enhancing our efficiency and Product Managementivity. His innovative marketing ideas and support have made a profound impact on my business."
Right Coach at the Right Time:
"Abhay was our business coach for the last nine months, and we had the right business coach at the right time. His sensible and practical inputs, along with his visits to our office and factory, provided valuable insights. It’s nice of him to continue to support us even after the coaching program."</t>
  </si>
  <si>
    <t>https://www.linkedin.com/in/coachabhaytiwari/</t>
  </si>
  <si>
    <t>coachabhaytiwari@gmail.com</t>
  </si>
  <si>
    <t xml:space="preserve">Training and development </t>
  </si>
  <si>
    <t>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Business Model Development || Customer Relationship Management || Customer Service &amp; Retention || Exit Strategy Planning || Go to Market Strategy || Growth Strategy Formulation || Market research || Marketing || Organizational Development || Performance Management || Performance Metrics || Pitch coaching || Process Optimization || Product Development || Public speaking || Sales Strategy || Strategic Planning || Talent Acquisition || Training &amp; Development || Training &amp; Development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</si>
  <si>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Retail &amp; e-Commerce</t>
  </si>
  <si>
    <t>Abhishek Dakhole</t>
  </si>
  <si>
    <t>DAD Fashion and Apparels</t>
  </si>
  <si>
    <t>Summary&lt;/strong&gt;:&lt;/p&gt;&lt;p&gt;Abhishek has over 14 years of diverse experience in Supply Chain Management, Ecommerce, Digital Marketing, IT consulting, and SAP. Currently serving as Director at DAD Fashion and Apparels LLP, he has played a pivotal role in growing the kids' apparel brand "My Lil Princess" from inception."&lt;/p&gt;&lt;p&gt;&lt;br&gt;&lt;/p&gt;Core Expertise:&lt;/strong&gt;&lt;/p&gt;&lt;ul&gt;&lt;li&gt;Supply Chain Management&lt;/li&gt;&lt;li&gt;Ecommerce&lt;/li&gt;&lt;li&gt;Digital Marketing&lt;/li&gt;&lt;li&gt;IT Consulting&lt;/li&gt;&lt;li&gt;SAP ERP&lt;/li&gt;&lt;li&gt;Entrepreneurship&lt;/li&gt;&lt;li&gt;Teaching (Entrepreneurship, SAPERP, IT Consulting, Ecommerce, Digital Marketing, Supply Chain Management)&lt;/li&gt;&lt;/ul&gt;&lt;p&gt;&lt;br&gt;&lt;/p&gt;Problem Solving Approach:&lt;/strong&gt;&lt;/p&gt;&lt;ul&gt;&lt;li&gt;Focuses on growth strategies and brand development in the apparel industry.&lt;/li&gt;&lt;li&gt;Implements effective digital marketing strategies to enhance brand visibility.&lt;/li&gt;&lt;li&gt;Utilizes SAP and IT consulting expertise to optimize business operations and supply chain efficiencies.&lt;/li&gt;&lt;/ul&gt;&lt;p&gt;&lt;br&gt;&lt;/p&gt;Impactful Projects:&lt;/strong&gt;&lt;/p&gt;&lt;ul&gt;&lt;li&gt;Successfully launched and managed the growth of "My Lil Princess," a popular kids' apparel brand in India.&lt;/li&gt;&lt;li&gt;Achieved recognition on Amazon's Best Sellers list multiple times for innovative designs and comfortable fittings.&lt;/li&gt;&lt;/ul&gt;&lt;p&gt;&lt;br&gt;&lt;/p&gt;Consulting Style:&lt;/strong&gt;&lt;/p&gt;&lt;ul&gt;&lt;li&gt;Actively engages in academia as a visiting faculty at prestigious institutions like Symbiosis International University.&lt;/li&gt;&lt;li&gt;Integrates practical industry insights into teaching entrepreneurship and business management subjects.&lt;/li&gt;&lt;li&gt;Combines hands-on experience in Ecommerce, Digital Marketing, and SAP with teaching to provide a comprehensive learning experience.&lt;/li&gt;&lt;/ul&gt;</t>
  </si>
  <si>
    <t>https://www.linkedin.com/in/abhishekdakhole/</t>
  </si>
  <si>
    <t>abhideep53@yahoo.com</t>
  </si>
  <si>
    <t>Textiles &amp; Apparel</t>
  </si>
  <si>
    <t>Data Analytics || Digital Marketing || E-commerce Management || Social Media Marketing || Supply Chain Management || Tech Strategy &amp; Infrastructure || Data Analytics || Digital Marketing || E-commerce Management || Social Media Marketing || Supply Chain Management || Tech Strategy &amp; Infrastructure || Data Analytics || Digital Marketing || E-commerce Management || Social Media Marketing || Supply Chain Management || Tech Strategy &amp; Infrastructure || Data Analytics || Digital Marketing || E-commerce Management || Social Media Marketing || Supply Chain Management || Tech Strategy &amp; Infrastructure || Supply Chain Management || E-commerce Management</t>
  </si>
  <si>
    <t>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Textiles &amp; Apparel</t>
  </si>
  <si>
    <t>Abhishek Gulia</t>
  </si>
  <si>
    <t>Partner</t>
  </si>
  <si>
    <t>Agility Ventures</t>
  </si>
  <si>
    <t>Summary:&lt;/strong&gt;&lt;/p&gt;&lt;p&gt;Abhishek is a seasoned professional with a decade of experience in the startup ecosystem, serving as a Founder, mentor, and investor. He is currently a Venture Studio Partner at Agility Ventures, where he leads Portfolio Management and Exits, overseeing a diverse range of portfolio companies.&lt;/p&gt;&lt;p&gt;&lt;br&gt;&lt;/p&gt;Core Expertise:&lt;/strong&gt;&lt;/p&gt;&lt;p&gt;Abhishek specializes in portfolio management, investment strategies, and fostering growth in startups. His experience spans various industries, including health and wellness, e-commerce, and food technology, with notable portfolio companies like Power Gummies, Glamyo, Vanity Wagon, and Tagz Food.&lt;/p&gt;&lt;p&gt;&lt;br&gt;&lt;/p&gt;Problem-Solving Approach:&lt;/strong&gt;&lt;/p&gt;&lt;p&gt;Abhishek's approach to problem-solving is strategic and data-driven. He regularly conducts Founder and investor calls, portfolio visits, and collaborates with other funds and corporates to optimize portfolio performance. His focus is on planning and executing successful exits, mergers, and acquisitions for portfolio companies.&lt;/p&gt;&lt;p&gt;&lt;br&gt;&lt;/p&gt;Impactful Projects:&lt;/strong&gt;&lt;/p&gt;&lt;ul&gt;&lt;li&gt;Facilitated funding for Tyre Express, Lead Burg, and Mr. Hot Food while working with IVYcap Ventures.&lt;/li&gt;&lt;li&gt;Managed partnerships and guided the strategic growth of companies like Power Gummies and Tagz Food.&lt;/li&gt;&lt;li&gt;Actively involved in mentoring and consulting with startups, including his work with the Delhi Government's EMC Project, Bioflic Product Managementions, Wendor Machines, and White Pigeon Casting.&lt;/li&gt;&lt;/ul&gt;&lt;p&gt;&lt;br&gt;&lt;/p&gt;Consultation Style:&lt;/strong&gt;&lt;/p&gt;&lt;p&gt;Abhishek adopts a hands-on and collaborative approach to consulting, building and managing portfolio teams, and ensuring startups are well-positioned for growth and eventual exit. His experience in analyzing over 2, startups gives him a deep understanding of what drives success in early-stage ventures.&lt;/p&gt;</t>
  </si>
  <si>
    <t>https://www.linkedin.com/in/abhishekgulia/</t>
  </si>
  <si>
    <t>abhishekgulia01@gmail.com</t>
  </si>
  <si>
    <t># of Investors</t>
  </si>
  <si>
    <t>Fundraising || Go to Market Strategy || Fundraising || Go to Market Strategy || Fundraising || Go to Market Strategy || Fundraising || Go to Market Strategy || Fundraising || Go to Market Strategy || Fundraising || Go to Market Strategy || Fundraising || Go to Market Strategy || Fundraising || Go to Market Strategy || Investing || Public speaking</t>
  </si>
  <si>
    <t>Automobiles &amp; Auto Components || Automobiles &amp; Auto Components || Consumer Products || Consumer Products || Pharmaceuticals, Healthcare and Wellness || Pharmaceuticals, Healthcare and Wellness || Retail &amp; e-Commerce || Retail &amp; e-Commerce || Automobiles &amp; Auto Components || Automobiles &amp; Auto Components || Consumer Products || Consumer Products || Pharmaceuticals, Healthcare and Wellness || Pharmaceuticals, Healthcare and Wellness || Retail &amp; e-Commerce || Retail &amp; e-Commerce || Venture Funding</t>
  </si>
  <si>
    <t>R K P Verma</t>
  </si>
  <si>
    <t>NuMantra Technologies Pvt Ltd and Krebs Biochemical &amp; Industries Ltd,</t>
  </si>
  <si>
    <t>Summary&lt;/strong&gt;&lt;/p&gt;&lt;p&gt;Mr. R K P Verma is a seasoned startup mentor with extensive experience in engineering and technology. He specializes in helping startups develop scalable and sustainable business models that have global expansion potential. His background includes leading global design teams and working on advanced technologies in the automotive and marine sectors, such as turbochargers and climate control systems. Mr. Verma is known for his expertise in technical decision-making, team development, and continuous process improvement, leveraging his strong analytical skills to drive effective solutions and enhancements.&lt;/p&gt;&lt;p&gt;&lt;br&gt;&lt;/p&gt;Core Expertise&lt;/strong&gt;&lt;/p&gt;&lt;ul&gt;&lt;li&gt;Startup Mentorship&lt;/li&gt;&lt;li&gt;Engineering and Technology&lt;/li&gt;&lt;li&gt;Global Design Leadership&lt;/li&gt;&lt;li&gt;Technical Process Improvement&lt;/li&gt;&lt;li&gt;Team Development and People Management&lt;/li&gt;&lt;/ul&gt;&lt;p&gt;&lt;br&gt;&lt;/p&gt;Problem Solving Approach&lt;/strong&gt;&lt;/p&gt;&lt;ul&gt;&lt;li&gt;Utilizes strong analytical skills to focus on technical process capability, identify root causes, and implement corrective actions.&lt;/li&gt;&lt;li&gt;Emphasizes continuous process improvement through effective problem-solving and decision-making.&lt;/li&gt;&lt;/ul&gt;&lt;p&gt;&lt;br&gt;&lt;/p&gt;Impactful Projects&lt;/strong&gt;&lt;/p&gt;&lt;ul&gt;&lt;li&gt;Introduced new technologies and Product Managements such as turbochargers, air handling systems, and climate control systems in the automotive and marine sectors.&lt;/li&gt;&lt;li&gt;Led global design teams and fostered excellence in design and technical decision-making.&lt;/li&gt;&lt;/ul&gt;&lt;p&gt;&lt;br&gt;&lt;/p&gt;Consulting Style&lt;/strong&gt;&lt;/p&gt;&lt;ul&gt;&lt;li&gt;Provides mentorship across various stages of startup development, focusing on creating scalable and sustainable business models.&lt;/li&gt;&lt;li&gt;Applies engineering expertise to enhance technical processes and support startups in achieving global expansion.&lt;/li&gt;&lt;/ul&gt;</t>
  </si>
  <si>
    <t>https://www.linkedin.com/in/dr-r-k-p-verma-mba-phd-h-c-75b96617/</t>
  </si>
  <si>
    <t>rajverma223@yahoo.com</t>
  </si>
  <si>
    <t>8850755028, 9820229020</t>
  </si>
  <si>
    <t>Legal</t>
  </si>
  <si>
    <t>Business Model Development || Organizational Development || Process Optimization || Strategic Planning || Business Model Development || Organizational Development || Process Optimization || Strategic Planning || Entrepreneurship Coaching || Leadership Coaching</t>
  </si>
  <si>
    <t>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t>
  </si>
  <si>
    <t>Adarsh Jain</t>
  </si>
  <si>
    <t>CoFounder and CEO</t>
  </si>
  <si>
    <t>ProactAI and ThirdWatch</t>
  </si>
  <si>
    <t>Summary:&lt;/strong&gt; Adarsh is an accomplished entrepreneur with a wealth of experience in building startups and Product Managements from the ground up. He is deeply committed to giving back to society through his expertise and insights.&lt;/p&gt;&lt;p&gt;&lt;br&gt;&lt;/p&gt;Core Expertise:&lt;/strong&gt;&lt;/p&gt;&lt;ul&gt;&lt;li&gt;&lt;strong&gt;AI/ML:&lt;/strong&gt; Advanced knowledge in machine learning and artificial intelligence.&lt;/li&gt;&lt;li&gt;&lt;strong&gt;Product Management Development:&lt;/strong&gt; Proven track record in creating and scaling innovative Product Managements.&lt;/li&gt;&lt;/ul&gt;&lt;p&gt;&lt;br&gt;&lt;/p&gt;Impactful Projects:&lt;/strong&gt;&lt;/p&gt;&lt;ul&gt;&lt;li&gt;&lt;strong&gt;Proact AI:&lt;/strong&gt; Co-Founder and CEO, driving the development of AI-driven solutions.&lt;/li&gt;&lt;li&gt;&lt;strong&gt;Octro Inc.:&lt;/strong&gt; Ex-Chief Data Scientist, leading data science initiatives to enhance Product Management offerings.&lt;/li&gt;&lt;li&gt;&lt;strong&gt;ThirdWatch:&lt;/strong&gt; Founder and CEO of this AI-driven real-time fraud prevention platform, which was successfully acquired by RazorPay. ThirdWatch utilized machine learning algorithms to deliver near real-time fraud prevention, significantly enhancing security for its clients.&lt;/li&gt;&lt;li&gt;&lt;strong&gt;rocQ.io:&lt;/strong&gt; Developed a next-generation mobile analytics platform using big data technologies like Hadoop, Spark, and Kafka. The platform provided actionable insights on user behavior and acquisition, with a focus on tracking uninstalls and optimizing user acquisition channels.&lt;/li&gt;&lt;/ul&gt;&lt;p&gt;&lt;br&gt;&lt;/p&gt;Consultation Style:&lt;/strong&gt; Adarsh is enthusiastic about mentoring and sharing his extensive experience in AI/ML and Product Management development. He is dedicated to offering valuable guidance and support to emerging startups and innovators, helping them navigate the complexities of building and scaling successful ventures.&lt;/p&gt;</t>
  </si>
  <si>
    <t>https://www.linkedin.com/in/adarshj/</t>
  </si>
  <si>
    <t>United States</t>
  </si>
  <si>
    <t>San Francisco</t>
  </si>
  <si>
    <t>adarsh@proactai.in</t>
  </si>
  <si>
    <t>WIN</t>
  </si>
  <si>
    <t>Data Analytics</t>
  </si>
  <si>
    <t>Deep Tech (Blockchain, AI, Robotics, AR/VR) || Product Development || Deep Tech (Blockchain, AI, Robotics, AR/VR) || Product Development || Deep Tech (Blockchain, AI, Robotics, AR/VR) || Product Development || Deep Tech (Blockchain, AI, Robotics, AR/VR) || Product Development || Data Analytics || Product Management Management</t>
  </si>
  <si>
    <t>Education &amp; Training || Education &amp; Training || Retail &amp; e-Commerce || Retail &amp; e-Commerce || Education &amp; Training || Education &amp; Training || Retail &amp; e-Commerce || Retail &amp; e-Commerce || Software &amp; IT Services || Deeptech</t>
  </si>
  <si>
    <t>Adhnan Rasheed</t>
  </si>
  <si>
    <t>Head of Strategy and Corporate Development (Chief of Staff)</t>
  </si>
  <si>
    <t>Spice Money</t>
  </si>
  <si>
    <t>Summary:&lt;/strong&gt;&lt;/p&gt;&lt;p&gt;Adhnan is an MBA graduate from the Indian Institute of Management (IIM) Kozhikode with a diverse range of experience across various industries, including healthcare, edtech, fintech, banking, renewable energy, and innovation management. He is currently leading Corporate Development at Spice Money, India's largest rural fintech company.&lt;/p&gt;&lt;p&gt;&lt;br&gt;&lt;/p&gt;Core Expertise:&lt;/strong&gt;&lt;/p&gt;&lt;ul&gt;&lt;li&gt;Strategic leadership and corporate development across Fortune 500 companies and startups.&lt;/li&gt;&lt;li&gt;Experience in new Product Management development, techno-economic evaluation, and innovation management.&lt;/li&gt;&lt;li&gt;Deep understanding of healthcare, edtech, fintech, and banking sectors.&lt;/li&gt;&lt;li&gt;Strong background in strategic marketing and public policy.&lt;/li&gt;&lt;/ul&gt;&lt;p&gt;&lt;br&gt;&lt;/p&gt;Problem Solving Approach:&lt;/strong&gt;&lt;/p&gt;&lt;ul&gt;&lt;li&gt;Proven track record in setting up and scaling new ventures.&lt;/li&gt;&lt;li&gt;Led key strategic initiatives in various organizations.&lt;/li&gt;&lt;li&gt;Passionate about integrating new technologies to solve complex business challenges.&lt;/li&gt;&lt;/ul&gt;&lt;p&gt;&lt;br&gt;&lt;/p&gt;Impactful Projects:&lt;/strong&gt;&lt;/p&gt;&lt;ul&gt;&lt;li&gt;Led APAC Product Managements at Emeritus, an edtech unicorn.&lt;/li&gt;&lt;li&gt;Headed strategy and growth at Meitra Hospital, a leading quaternary care provider.&lt;/li&gt;&lt;li&gt;Managed operations at LINC Education, enhancing education support services globally.&lt;/li&gt;&lt;li&gt;Played a pivotal role in setting up Jio Payments Bank in collaboration with Reliance Industries and State Bank of India.&lt;/li&gt;&lt;li&gt;Contributed to the setup of the first tele-ICU program in Kerala during the COVID-19 pandemic.&lt;/li&gt;&lt;/ul&gt;</t>
  </si>
  <si>
    <t>https://www.linkedin.com/in/adhnan-rasheed</t>
  </si>
  <si>
    <t>adhnan.rasheed@gmail.com</t>
  </si>
  <si>
    <t>Business Model Development || Market research || Pitch coaching || Prototyping &amp; Testing || Strategic Planning || Training &amp; Development || Business Model Development || Market research || Pitch coaching || Prototyping &amp; Testing || Strategic Planning || Training &amp; Development || Business Model Development || Market research || Pitch coaching || Prototyping &amp; Testing || Strategic Planning || Training &amp; Development || Business Model Development || Market research || Pitch coaching || Prototyping &amp; Testing || Strategic Planning || Training &amp; Development || Business Model Development || Market research || Pitch coaching || Prototyping &amp; Testing || Strategic Planning || Training &amp; Development || Business Model Development || Market research || Pitch coaching || Prototyping &amp; Testing || Strategic Planning || Training &amp; Development || Business Model Development || Market research || Pitch coaching || Prototyping &amp; Testing || Strategic Planning || Training &amp; Development || Business Model Development || Market research || Pitch coaching || Prototyping &amp; Testing || Strategic Planning || Training &amp; Development || Business Model Development || Marketing &amp; Branding</t>
  </si>
  <si>
    <t>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FinTech || FinTech || FinTech || FinTech || FinTech || FinTech || Technology &amp; Innovation || Technology &amp; Innovation || Technology &amp; Innovation || Technology &amp; Innovation || Technology &amp; Innovation || Technology &amp; Innovation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FinTech || FinTech || FinTech || FinTech || FinTech || FinTech || Technology &amp; Innovation || Technology &amp; Innovation || Technology &amp; Innovation || Technology &amp; Innovation || Technology &amp; Innovation || Technology &amp; Innovation || Fintech, Banking, Financial Services</t>
  </si>
  <si>
    <t>Aditya Kaul Dullo</t>
  </si>
  <si>
    <t>VP - Business Regulatory Projects</t>
  </si>
  <si>
    <t>American Express</t>
  </si>
  <si>
    <t>Summary:&lt;/strong&gt; Aditya is an experienced leader with a robust background in overseeing regulatory projects and business transformation at American Express Banking Corp. As VP - Business Regulatory Projects, he ensures compliance with regulatory timelines and leads the Business Transformation PMO. His 21-year career spans various leadership roles across markets and industries, including cards, telecommunications, and loyalty, in both B2C and B2B domains.&lt;/p&gt;&lt;p&gt;&lt;br&gt;&lt;/p&gt;Core Expertise:&lt;/strong&gt;&lt;/p&gt;&lt;ul&gt;&lt;li&gt;Payments &amp;amp; Financial Services&lt;/li&gt;&lt;li&gt;Product Management, Portfolio, and P&amp;amp;L Management&lt;/li&gt;&lt;li&gt;Customer Marketing and Digital Marketing&lt;/li&gt;&lt;li&gt;Capability &amp;amp; New Product Management Development&lt;/li&gt;&lt;li&gt;Go-To-Market Strategy and Pricing&lt;/li&gt;&lt;li&gt;Customer Acquisition and Cross-Sell&lt;/li&gt;&lt;li&gt;Loyalty Program Development and Management&lt;/li&gt;&lt;li&gt;Direct Marketing (Direct Mail, Telemarketing, Online &amp;amp; Digital Marketing)&lt;/li&gt;&lt;li&gt;Partner Management and Advertising&lt;/li&gt;&lt;li&gt;Brand Management&lt;/li&gt;&lt;li&gt;Product Management, Customer, and Channel Research&lt;/li&gt;&lt;li&gt;Credit Cards&lt;/li&gt;&lt;li&gt;Wireless and Telecom&lt;/li&gt;&lt;/ul&gt;&lt;p&gt;&lt;br&gt;&lt;/p&gt;Problem-Solving Approach:&lt;/strong&gt; Aditya employs a comprehensive approach to managing regulatory projects and business transformation, focusing on compliance, risk&lt;/p&gt;&lt;p&gt;management, and strategic development. He integrates new Product Management capabilities and analytics to drive growth and ensure operational excellence.&lt;/p&gt;&lt;p&gt;&lt;br&gt;&lt;/p&gt;Impactful Projects:&lt;/strong&gt;&lt;/p&gt;&lt;ul&gt;&lt;li&gt;Oversight and delivery of regulatory projects at American Express Banking Corp.&lt;/li&gt;&lt;li&gt;Leadership in Business Transformation PMO, driving strategic change and operational efficiency.&lt;/li&gt;&lt;li&gt;Significant contributions to Product Management and capability development, brand management, and loyalty programs.&lt;/li&gt;&lt;/ul&gt;&lt;p&gt;&lt;br&gt;&lt;/p&gt;Consultation Style:&lt;/strong&gt; Aditya is known for his strategic and data-driven approach, combining deep industry knowledge with practical solutions to meet client needs. He focuses on collaborative engagement, leveraging his expertise to deliver tailored solutions and drive impactful results.&lt;/p&gt;</t>
  </si>
  <si>
    <t>https://www.linkedin.com/in/adityakauldullo/</t>
  </si>
  <si>
    <t>aditya.kaul.dullo@gmail.com</t>
  </si>
  <si>
    <t>Go to Market Strategy || Marketing || Pricing Strategy || Product Development || Sales Strategy || Go to Market Strategy || Marketing || Pricing Strategy || Product Development || Sales Strategy || Go to Market Strategy || Marketing || Pricing Strategy || Product Development || Sales Strategy || Go to Market Strategy || Marketing || Pricing Strategy || Product Development || Sales Strategy || Go to Market Strategy || Marketing || Pricing Strategy || Product Development || Sales Strategy || Go to Market Strategy || Marketing || Pricing Strategy || Product Development || Sales Strategy || Go to Market Strategy || Marketing || Pricing Strategy || Product Development || Sales Strategy || Go to Market Strategy || Marketing || Pricing Strategy || Product Development || Sales Strategy || Customer Relationship Management || Product Management Management</t>
  </si>
  <si>
    <t>AI, Big Data &amp; Analytics || AI, Big Data &amp; Analytics || AI, Big Data &amp; Analytics || AI, Big Data &amp; Analytics || AI, Big Data &amp; Analytics || FinTech || FinTech || FinTech || FinTech || FinTech || IT &amp; Communication || IT &amp; Communication || IT &amp; Communication || IT &amp; Communication || IT &amp; Communication || Others || Others || Others || Others || Others || AI, Big Data &amp; Analytics || AI, Big Data &amp; Analytics || AI, Big Data &amp; Analytics || AI, Big Data &amp; Analytics || AI, Big Data &amp; Analytics || FinTech || FinTech || FinTech || FinTech || FinTech || IT &amp; Communication || IT &amp; Communication || IT &amp; Communication || IT &amp; Communication || IT &amp; Communication || Others || Others || Others || Others || Others || Fintech, Banking, Financial Services || Retail &amp; e-Commerce</t>
  </si>
  <si>
    <t>Aditya Prakash Arya</t>
  </si>
  <si>
    <t>Entrepreneur In Residence (Policy and Product Management)</t>
  </si>
  <si>
    <t>Centre for Science of Student Learning</t>
  </si>
  <si>
    <t>Aditya P. Arya specializes in Research, Foreign Policy, and Strategy. He has established a mentor-investor network for sector-agnostic startup ecosystems, identifying strategic requirements for startups and providing support.
​
Key Areas of Expertise &amp; Skills:
Research &amp; Foreign Policy: Aditya focuses on India's foreign policy analysis and strategic matters
​Startup Mentoring &amp; Investment: He has created networks connecting mentors and investors to support emerging startups across various sectors
Strategy Development: Works on strategic planning and implementation for business growth
Policy Analysis: Engages with policy-related topics affecting Indian businesses and MSMEs</t>
  </si>
  <si>
    <t>https://www.linkedin.com/in/adityaparya/</t>
  </si>
  <si>
    <t>application.aditya@gmail.com</t>
  </si>
  <si>
    <t>Business Model Development || Entity Formation || Growth Strategy Formulation || International Market Analysis || Market research || Product Development || Research Partnerships || Strategic Planning || Trade Compliance || Business Model Development || Entity Formation || Growth Strategy Formulation || International Market Analysis || Market research || Product Development || Research Partnerships || Strategic Planning || Trade Compliance || Business Model Development || Entity Formation || Growth Strategy Formulation || International Market Analysis || Market research || Product Development || Research Partnerships || Strategic Planning || Trade Compliance || Business Model Development || Entity Formation || Growth Strategy Formulation || International Market Analysis || Market research || Product Development || Research Partnerships || Strategic Planning || Trade Compliance || Business Model Development || Entity Formation || Growth Strategy Formulation || International Market Analysis || Market research || Product Development || Research Partnerships || Strategic Planning || Trade Compliance || Business Model Development || Entity Formation || Growth Strategy Formulation || International Market Analysis || Market research || Product Development || Research Partnerships || Strategic Planning || Trade Compliance || Business Model Development || Entity Formation || Growth Strategy Formulation || International Market Analysis || Market research || Product Development || Research Partnerships || Strategic Planning || Trade Compliance || Business Model Development || Entity Formation || Growth Strategy Formulation || International Market Analysis || Market research || Product Development || Research Partnerships || Strategic Planning || Trade Compliance || Business Model Development || Entity Formation || Growth Strategy Formulation || International Market Analysis || Market research || Product Development || Research Partnerships || Strategic Planning || Trade Compliance || Business Model Development || Entity Formation || Growth Strategy Formulation || International Market Analysis || Market research || Product Development || Research Partnerships || Strategic Planning || Trade Compliance || Entrepreneurship Coaching || Product Management Management</t>
  </si>
  <si>
    <t>AI, Big Data &amp; Analytics || AI, Big Data &amp; Analytics || AI, Big Data &amp; Analytics || AI, Big Data &amp; Analytics || AI, Big Data &amp; Analytics || AI, Big Data &amp; Analytics || AI, Big Data &amp; Analytics || AI, Big Data &amp; Analytics || AI, Big Data &amp; Analytics || CleanTech || CleanTech || CleanTech || CleanTech || CleanTech || CleanTech || CleanTech || CleanTech || CleanTech || Defence &amp; Public Safety || Defence &amp; Public Safety || Defence &amp; Public Safety || Defence &amp; Public Safety || Defence &amp; Public Safety || Defence &amp; Public Safety || Defence &amp; Public Safety || Defence &amp; Public Safety || Defence &amp; Public Safety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AI, Big Data &amp; Analytics || AI, Big Data &amp; Analytics || AI, Big Data &amp; Analytics || AI, Big Data &amp; Analytics || AI, Big Data &amp; Analytics || AI, Big Data &amp; Analytics || AI, Big Data &amp; Analytics || AI, Big Data &amp; Analytics || AI, Big Data &amp; Analytics || CleanTech || CleanTech || CleanTech || CleanTech || CleanTech || CleanTech || CleanTech || CleanTech || CleanTech || Defence &amp; Public Safety || Defence &amp; Public Safety || Defence &amp; Public Safety || Defence &amp; Public Safety || Defence &amp; Public Safety || Defence &amp; Public Safety || Defence &amp; Public Safety || Defence &amp; Public Safety || Defence &amp; Public Safety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Education &amp; Training</t>
  </si>
  <si>
    <t>Ajay Alandkar</t>
  </si>
  <si>
    <t>Myjobfactory</t>
  </si>
  <si>
    <t>Summary&lt;/strong&gt;&lt;/p&gt;&lt;p&gt;Ajay is an entrepreneur with over 20 years of experience in B2B sales and end-to-end recruitment, passionate about leveraging technology to transform how companies attract and retain top talent. Founder of Myjobfactory, an AI-powered employer branding platform.&lt;/p&gt;&lt;p&gt;&lt;br&gt;&lt;/p&gt;Core Expertise&lt;/strong&gt;&lt;/p&gt;&lt;ul&gt;&lt;li&gt;B2B Sales&lt;/li&gt;&lt;li&gt;End-to-End Recruitment&lt;/li&gt;&lt;li&gt;Employer Branding&lt;/li&gt;&lt;li&gt;AI-powered Technology Solutions&lt;/li&gt;&lt;li&gt;Talent Acquisition Strategies&lt;/li&gt;&lt;/ul&gt;&lt;p&gt;&lt;br&gt;&lt;/p&gt;Problem Solving Approach&lt;/strong&gt;&lt;/p&gt;&lt;p&gt;Utilizes cutting-edge technology to address complex recruitment challenges, focusing on creating data-driven and authentic employer branding strategies.&lt;/p&gt;&lt;p&gt;&lt;br&gt;&lt;/p&gt;Impactful Projects&lt;/strong&gt;&lt;/p&gt;Myjobfactory:&lt;/strong&gt; Founded an AI-powered employer branding platform designed to help businesses build and maintain a compelling employer brand that resonates with the right candidates.&lt;/p&gt;&lt;p&gt;&lt;br&gt;&lt;/p&gt;Consulting Style&lt;/strong&gt;&lt;/p&gt;&lt;ul&gt;&lt;li&gt;&lt;strong&gt;Innovation:&lt;/strong&gt; Passionate about using the latest technologies to solve recruitment challenges.&lt;/li&gt;&lt;li&gt;&lt;strong&gt;Results-Oriented:&lt;/strong&gt; Committed to delivering solutions that drive tangible results and enhance talent acquisition strategies.&lt;/li&gt;&lt;li&gt;&lt;strong&gt;Collaborative:&lt;/strong&gt; Focuses on building partnerships and working closely with clients to understand their unique needs and goals.&lt;/li&gt;&lt;/ul&gt;&lt;p&gt;&lt;br&gt;&lt;/p&gt;Additional Information&lt;/strong&gt;&lt;/p&gt;&lt;ul&gt;&lt;li&gt;Open to connecting with fellow professionals and exploring new opportunities for collaboration.&lt;/li&gt;&lt;/ul&gt;</t>
  </si>
  <si>
    <t>https://www.linkedin.com/in/ajay-alandkar-93bb2b35</t>
  </si>
  <si>
    <t>ceo@myjobfactory.com</t>
  </si>
  <si>
    <t>HR Services</t>
  </si>
  <si>
    <t>Branding || Business Model Development || Customer Service &amp; Retention || Sales Strategy || Talent Acquisition || Branding || Business Model Development || Customer Service &amp; Retention || Sales Strategy || Talent Acquisition || Branding || Business Model Development || Customer Service &amp; Retention || Sales Strategy || Talent Acquisition || Branding || Business Model Development || Customer Service &amp; Retention || Sales Strategy || Talent Acquisition || Branding || Business Model Development || Customer Service &amp; Retention || Sales Strategy || Talent Acquisition || Branding || Business Model Development || Customer Service &amp; Retention || Sales Strategy || Talent Acquisition || HR Consulting || Marketing &amp; Branding</t>
  </si>
  <si>
    <t>AI, Big Data &amp; Analytics || AI, Big Data &amp; Analytics || AI, Big Data &amp; Analytics || AI, Big Data &amp; Analytics || AI, Big Data &amp; Analytics || Services || Services || Services || Services || Services || AI, Big Data &amp; Analytics || AI, Big Data &amp; Analytics || AI, Big Data &amp; Analytics || AI, Big Data &amp; Analytics || AI, Big Data &amp; Analytics || Services || Services || Services || Services || Services || AI, Big Data &amp; Analytics || AI, Big Data &amp; Analytics || AI, Big Data &amp; Analytics || AI, Big Data &amp; Analytics || AI, Big Data &amp; Analytics || Services || Services || Services || Services || Services || HR Services</t>
  </si>
  <si>
    <t>Ajay Bhatkal</t>
  </si>
  <si>
    <t>Consulting CIO and Business Mentor</t>
  </si>
  <si>
    <t>Summary:&lt;/strong&gt;&lt;/p&gt;&lt;p&gt;Ajay is a seasoned expert with over 45 years of experience in guiding teams and mentoring organizations in strategy, planning, business solutions, customer experience management, pricing strategy, and technology across various industries, including ITES, FMCG, telecom, aviation/logistics, and software Product Management development. He holds a degree in Chemistry from Mumbai University and an MBA. Since 2011, Ajay has been consulting startups, SMEs, and other businesses as a Consulting CIO, providing strategic guidance and mentoring. He specializes in bridging technology and business, utilizing his vast network, business solutions, and experiential knowledge.&lt;/p&gt;&lt;p&gt;&lt;br&gt;&lt;/p&gt;Core Expertise:&lt;/strong&gt;&lt;/p&gt;&lt;ul&gt;&lt;li&gt;&lt;strong&gt;Strategy and Planning:&lt;/strong&gt; Expertise in developing and implementing business strategies that align with organizational goals.&lt;/li&gt;&lt;li&gt;&lt;strong&gt;Business Solutions:&lt;/strong&gt; Crafting innovative solutions to enhance operational efficiency and drive business growth.&lt;/li&gt;&lt;li&gt;&lt;strong&gt;Customer Experience Management:&lt;/strong&gt; Enhancing customer satisfaction and loyalty through effective management strategies.&lt;/li&gt;&lt;li&gt;&lt;strong&gt;Pricing Strategy:&lt;/strong&gt; Developing competitive pricing models to maximize revenue and market share.&lt;/li&gt;&lt;li&gt;&lt;strong&gt;Technology Integration:&lt;/strong&gt; Merging technology with business processes to achieve seamless operations and innovation.&lt;/li&gt;&lt;/ul&gt;&lt;p&gt;&lt;br&gt;&lt;/p&gt;Problem-Solving Approach:&lt;/strong&gt;&lt;/p&gt;&lt;p&gt;Ajay adopts a holistic and collaborative approach to problem-solving, focusing on aligning technology with business goals to drive efficiency and innovation. His method involves thorough analysis, strategic planning, and leveraging his extensive network and experiential knowledge to deliver customized solutions that meet the unique needs of each client.&lt;/p&gt;&lt;p&gt;&lt;br&gt;&lt;/p&gt;Impactful Projects:&lt;/strong&gt;&lt;/p&gt;&lt;ul&gt;&lt;li&gt;&lt;strong&gt;Consulting CIO Engagements:&lt;/strong&gt; Ajay has worked with a business jet venture, a large social business organization, and software/data specialists, providing strategic guidance and technology integration to enhance their operations and growth.&lt;/li&gt;&lt;li&gt;&lt;strong&gt;Startup Mentorship:&lt;/strong&gt; He has successfully mentored numerous startups, helping them navigate the challenges of launching and scaling their businesses.&lt;/li&gt;&lt;li&gt;&lt;strong&gt;Campus to Corporate Model:&lt;/strong&gt; Ajay has developed a unique model to help management students transition smoothly from academia to the corporate world, enhancing their employability skills and industry knowledge.&lt;/li&gt;&lt;/ul&gt;&lt;p&gt;&lt;br&gt;&lt;/p&gt;Consultation Style:&lt;/strong&gt;&lt;/p&gt;&lt;p&gt;Ajay prefers a mentorship-based engagement style, working closely with clients on assignments to understand their specific needs and challenges. His approach is hands-on and collaborative, providing practical guidance and leveraging his extensive experience and network to drive successful outcomes. Ajay is committed to fostering a culture of continuous learning and growth, both in the organizations he consults and the students he mentors.&lt;/p&gt;</t>
  </si>
  <si>
    <t>https://www.linkedin.com/in/ajay-bhatkal-8b06a612/</t>
  </si>
  <si>
    <t>ajaybhatkal@hotmail.com</t>
  </si>
  <si>
    <t>Business Model Development || Customer Experience Optimization || Pricing Strategy || Tech Strategy &amp; Infrastructure || Business Model Development || Customer Experience Optimization || Pricing Strategy || Tech Strategy &amp; Infrastructure || Business Model Development || Customer Experience Optimization || Pricing Strategy || Tech Strategy &amp; Infrastructure || Business Model Development || Customer Experience Optimization || Pricing Strategy || Tech Strategy &amp; Infrastructure || Business Model Development || Customer Experience Optimization || Pricing Strategy || Tech Strategy &amp; Infrastructure || Business Model Development || Customer Experience Optimization || Pricing Strategy || Tech Strategy &amp; Infrastructure || IT Consulting || Strategic Planning</t>
  </si>
  <si>
    <t>Retail &amp; e-Commerce || Retail &amp; e-Commerce || Retail &amp; e-Commerce || Retail &amp; e-Commerce || Telecommunications || Telecommunications || Telecommunications || Telecommunications || Transportation &amp; Logistics || Transportation &amp; Logistics || Transportation &amp; Logistics || Transportation &amp; Logistics || Retail &amp; e-Commerce || Retail &amp; e-Commerce || Retail &amp; e-Commerce || Retail &amp; e-Commerce || Telecommunications || Telecommunications || Telecommunications || Telecommunications || Transportation &amp; Logistics || Transportation &amp; Logistics || Transportation &amp; Logistics || Transportation &amp; Logistics || Software &amp; IT Services</t>
  </si>
  <si>
    <t>Shashikant Chaudhary</t>
  </si>
  <si>
    <t>Happy Eaters Club</t>
  </si>
  <si>
    <t>Summary:&lt;/strong&gt;&lt;/p&gt;&lt;p&gt;Shashikant is a distinguished serial entrepreneur and investor with a prolific 35-year career, currently leading his 10th venture as the co-Founder of Happyeaters.club and BabyVerse.app. His extensive experience includes investing in a diverse range of innovative startups such as Shephertz.com, Lucid Implants, Nativechefs, Mobikontech.com, and many others. As a prominent investor in leading seed funds like Blume and IIFL, Shashikant has played a pivotal role in nurturing early-stage ventures. He is also known for conducting groundbreaking courses on entrepreneurship at VNIT, fostering the next generation of business leaders.&lt;/p&gt;&lt;p&gt;Previously, Shashikant served as Managing Director, India, for GlobalLogic, overseeing a team of over 4,000 engineers and contributing to the company's status as a global leader in IT services. GlobalLogic, which provides services to major corporations like Google, LinkedIn, and Microsoft, was acquired by Hitachi for nearly $9.6 billion under his leadership. Shashikant has also been instrumental in positioning Nagpur on India's IT map and was recently honored with the Global Nagpur Award for his significant contributions to the city's development and global recognition.&lt;/p&gt;&lt;p&gt;&lt;br&gt;&lt;/p&gt;Core Expertise:&lt;/strong&gt;&lt;/p&gt;&lt;ul&gt;&lt;li&gt;Entrepreneurship and Startup Mentoring&lt;/li&gt;&lt;li&gt;Investment in Technology and Innovation&lt;/li&gt;&lt;li&gt;IT and Business Management&lt;/li&gt;&lt;li&gt;Academic Contributions and Training&lt;/li&gt;&lt;li&gt;Strategic Leadership and Ecosystem Building&lt;/li&gt;&lt;/ul&gt;&lt;p&gt;&lt;br&gt;&lt;/p&gt;Problem-Solving Approach:&lt;/strong&gt; Shashikant's approach to solving business and investment challenges combines strategic insight with practical execution. He leverages his extensive experience to guide startups through their growth phases, focusing on innovative solutions and effective management practices. His hands-on experience and strategic foresight enable him to address complex issues and drive impactful results.&lt;/p&gt;&lt;p&gt;&lt;br&gt;&lt;/p&gt;Impactful Projects:&lt;/strong&gt;&lt;/p&gt;&lt;ul&gt;&lt;li&gt;Co-founded and scaled multiple successful ventures, including Happyeaters.club and BabyVerse.app.&lt;/li&gt;&lt;li&gt;Invested in a wide array of startups, significantly contributing to their growth and market impact.&lt;/li&gt;&lt;li&gt;Managed GlobalLogic's India operations, leading a large team and contributing to its acquisition by Hitachi.&lt;/li&gt;&lt;li&gt;Developed and taught innovative entrepreneurship courses at VNIT, nurturing future business leaders.&lt;/li&gt;&lt;/ul&gt;&lt;p&gt;&lt;br&gt;&lt;/p&gt;Consultation Style:&lt;/strong&gt; Shashikant's consultation style is characterized by a blend of strategic vision and practical guidance. He offers hands-on mentoring and strategic advice, drawing from his extensive experience in entrepreneurship, investment, and IT leadership. His approach is collaborative and focused on empowering startups and individuals to achieve their goals and make a significant impact in their fields.&lt;/p&gt;</t>
  </si>
  <si>
    <t>https://www.linkedin.com/in/shashikantchaudhary</t>
  </si>
  <si>
    <t>Nagpur</t>
  </si>
  <si>
    <t>Shashikant.chaudhary@gmail.com</t>
  </si>
  <si>
    <t>Angel Investing || Business Model Development || Fundraising || Go to Market Strategy || Growth Strategy Formulation || Product Development || Public speaking || Tech Strategy &amp; Infrastructure || Angel Investing || Business Model Development || Fundraising || Go to Market Strategy || Growth Strategy Formulation || Product Development || Public speaking || Tech Strategy &amp; Infrastructure || Angel Investing || Business Model Development || Fundraising || Go to Market Strategy || Growth Strategy Formulation || Product Development || Public speaking || Tech Strategy &amp; Infrastructure || Angel Investing || Business Model Development || Fundraising || Go to Market Strategy || Growth Strategy Formulation || Product Development || Public speaking || Tech Strategy &amp; Infrastructure || Angel Investing || Business Model Development || Fundraising || Go to Market Strategy || Growth Strategy Formulation || Product Development || Public speaking || Tech Strategy &amp; Infrastructure || Angel Investing || Business Model Development || Fundraising || Go to Market Strategy || Growth Strategy Formulation || Product Development || Public speaking || Tech Strategy &amp; Infrastructure || Product Management || Growth Strategy Formulation</t>
  </si>
  <si>
    <t>Consumer Products || Consumer Products || Consumer Products || Consumer Products || Consumer Products || Consumer Products || Consumer Products || Consumer Products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Consumer Products || Consumer Products || Consumer Products || Consumer Products || Consumer Products || Consumer Products || Consumer Products || Consumer Products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Agritech &amp; Food Processing || Telecommunications</t>
  </si>
  <si>
    <t>Akash Jha</t>
  </si>
  <si>
    <t>ByteCampus</t>
  </si>
  <si>
    <t>Summary
Mr. Akash Jha is a serial entrepreneur, Startup India mentor, and founder of Bytegenics Group, with a mission to empower over 50 lakh Indian youth by 2029. Starting his entrepreneurial journey at age 11, he has grown into a strategic leader focused on innovation, youth empowerment, and business transformation.
Core Expertise
Strategic planning
Business growth
Leadership
Business development
Management consulting
Technology-driven business solutions
Root cause problem solving
IT consulting
SaaS and web development
Tax law
Cybersecurity
Computer networking
Problem-Solving Approach
Mr. Jha approaches complex business challenges by:
Leveraging technology and data-driven insights
Fostering collaboration between corporations and startups
Applying analytical thinking to strategic and operational challenges
Mentoring and nurturing next-gen entrepreneurs to build sustainable growth models
Impactful Projects
Founded Bytegenics Group with a vision to empower 50 lakh+ youth
Built a team of 150+ consultants across major Indian cities
Served 100+ clients, including top Indian corporations
Contributed to over $2B+ in client impact through strategic consulting
Consulting Style
Mr. Akash Jha’s consulting style is youth-centric, tech-enabled, and impact-focused. He combines strategic planning with grassroots mentoring, promotes startup-corporate collaboration, and builds scalable teams to deliver high-impact solutions. His approach is deeply rooted in innovation and empowerment.</t>
  </si>
  <si>
    <t>https://www.linkedin.com/in/theakashjha/</t>
  </si>
  <si>
    <t>akash@akashjha.in</t>
  </si>
  <si>
    <t>Growth Strategy Formulation || Sales Strategy || Growth Strategy Formulation || Sales Strategy || Business Model Development || Product Management Management</t>
  </si>
  <si>
    <t>AI, Big Data &amp; Analytics || AI, Big Data &amp; Analytics || AI, Big Data &amp; Analytics || AI, Big Data &amp; Analytics || Education &amp; Training || Fintech, Banking, Financial Services</t>
  </si>
  <si>
    <t>Aliv Banerjee</t>
  </si>
  <si>
    <t>Assistant Professor</t>
  </si>
  <si>
    <t>Meghnad Saha Institute Of Technology(MSIT)</t>
  </si>
  <si>
    <t>Summary&lt;/strong&gt;&lt;/p&gt;&lt;p&gt;Aliv Banerjee is an experienced academician and entrepreneurship educator with a background in higher education, FMCG, and healthcare industries. He is skilled in marketing, supply chain management, and entrepreneurship, and is currently serving as an Assistant Professor in Management Studies at Meghnad Saha Institute of Technology, Kolkata. He acquired a post-graduation degree in business administration and has accumulated 8 years of academic experience, showcasing a commitment to higher education and entrepreneurship education&lt;/p&gt;&lt;p&gt;&lt;br&gt;&lt;/p&gt;Key Areas of Expertise:&lt;/strong&gt;&lt;/p&gt;&lt;ul&gt;&lt;li&gt;Marketing&lt;/li&gt;&lt;li&gt;Entrepreneurship&lt;/li&gt;&lt;li&gt;Supply Chain Management&lt;/li&gt;&lt;li&gt;Tourism Management&lt;/li&gt;&lt;li&gt;Healthtech Startups&lt;/li&gt;&lt;li&gt;Higher Education&lt;/li&gt;&lt;/ul&gt;&lt;p&gt;&lt;br&gt;&lt;/p&gt;Strategic Contributions:&lt;/strong&gt;&lt;/p&gt;&lt;ul&gt;&lt;li&gt;Serving as an Assistant Professor in Management Studies, contributing to academic development in the field.&lt;/li&gt;&lt;li&gt;Acting as a researcher focused on healthtech startups, providing valuable insights into this emerging sector.&lt;/li&gt;&lt;li&gt;Managing university examinations and overseeing academic operations..&lt;/li&gt;&lt;/ul&gt;</t>
  </si>
  <si>
    <t>https://www.linkedin.com/in/aliv-banerjee-25626a18?lipi=urn%3Ali%3Apage%3Ad_flagship3_profile_view_base_contact_details%3BgSyk2NwKSkOemdoxIKJszQ%3D%3D</t>
  </si>
  <si>
    <t>aliv.msit@gmail.com</t>
  </si>
  <si>
    <t>Business Model Development || Logistics Management || Marketing || Pitch coaching || Public speaking || Sales Strategy || Strategic Planning || Supply Chain Management || Business Model Development || Logistics Management || Marketing || Pitch coaching || Public speaking || Sales Strategy || Strategic Planning || Supply Chain Management || Business Model Development || Logistics Management || Marketing || Pitch coaching || Public speaking || Sales Strategy || Strategic Planning || Supply Chain Management || Business Model Development || Logistics Management || Marketing || Pitch coaching || Public speaking || Sales Strategy || Strategic Planning || Supply Chain Management || Business Model Development || Logistics Management || Marketing || Pitch coaching || Public speaking || Sales Strategy || Strategic Planning || Supply Chain Management || Business Model Development || Marketing &amp; Branding</t>
  </si>
  <si>
    <t>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Education &amp; Training</t>
  </si>
  <si>
    <t>Alok Pandey</t>
  </si>
  <si>
    <t>Itech Innovation Foundation, ICS ( Itech Consultancy service), Mera Margdarshak, Itech Training and Consultancy</t>
  </si>
  <si>
    <t>Summary&lt;/strong&gt;&lt;/p&gt;&lt;p&gt;Mr. Alok is a serial entrepreneur, edupreneur, and researcher in social entrepreneurship. He is the Founder Director of Itech Innovation Foundation and a Mentor of Change at NITI Aayog. With a passion for mentoring and guiding startups, he has established two Centers of Excellence in Chip Architecture and Quantum Computing at CSJM University. Mr. Alok is dedicated to making the youth skilled and prepared for successful careers, whether in startups or traditional jobs. He also hosts the talk show "START-UP सफ़र/ SUFFER," where he shares insights and experiences on entrepreneurship.&lt;/p&gt;&lt;p&gt;&lt;br&gt;&lt;/p&gt;Key Areas of Expertise&lt;/strong&gt;&lt;/p&gt;&lt;ul&gt;&lt;li&gt;Social Entrepreneurship&lt;/li&gt;&lt;li&gt;Incubation &amp;amp; Mentorship&lt;/li&gt;&lt;li&gt;Business Consulting&lt;/li&gt;&lt;li&gt;Management Consulting&lt;/li&gt;&lt;li&gt;Marketing Consulting&lt;/li&gt;&lt;li&gt;Project Management&lt;/li&gt;&lt;/ul&gt;&lt;p&gt;&lt;br&gt;&lt;/p&gt;Strategic Contributions&lt;/strong&gt;&lt;/p&gt;&lt;ul&gt;&lt;li&gt;Founded Itech Innovation Foundation, focusing on entrepreneurship and innovation.&lt;/li&gt;&lt;li&gt;Established two Centers of Excellence in Chip Architecture and Quantum Computing at CSJM University.&lt;/li&gt;&lt;li&gt;Actively mentors startups, providing grassroots-level knowledge and support.&lt;/li&gt;&lt;/ul&gt;&lt;p&gt;&lt;br&gt;&lt;/p&gt;Mentorship Philosophy&lt;/strong&gt;&lt;/p&gt;&lt;p&gt;Mr. Alok believes in the power of skilled youth to achieve remarkable success in business or jobs. His mission is to equip the younger generation with the necessary skills to excel in their chosen paths, offering guidance and support to new entrepreneurs.&lt;/p&gt;</t>
  </si>
  <si>
    <t>https://www.linkedin.com/in/alokpandeyentrepreneur/</t>
  </si>
  <si>
    <t>Kanpur</t>
  </si>
  <si>
    <t>iteche@rediffmail.com</t>
  </si>
  <si>
    <t>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Angel Investing || BI Proficiency || Branding || Budgeting &amp; Financial Modeling || Business Model Development || Compliance Assistance || Contracts &amp; Agreements || Corporate Social Responsibility || Currency and Risk Management || Customer Experience Optimization || Customer Relationship Management || Customer Service &amp; Retention || Digital Marketing || Entity Formation || ESG Strategy || Exit Strategy Planning || Go to Market Strategy || Government Funding || Growth Strategy Formulation || Intellectual Property Rights || International Market Analysis || KPI Governance || Market access || Market research || Marketing || Media and PR || Organizational Development || Pitch coaching || Pricing Strategy || Process Optimization || Product Development || Prototyping &amp; Testing || Public speaking || Sales Strategy || Strategic Planning || Sustainable Operations || Talent Acquisition || Training &amp; Development || UI/UX Design || Business Model Development || Marketing &amp; Branding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</si>
  <si>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Telecommunications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Education &amp; Training</t>
  </si>
  <si>
    <t>Aman Singh</t>
  </si>
  <si>
    <t>VP Product Management Management</t>
  </si>
  <si>
    <t>Get My Parking</t>
  </si>
  <si>
    <t>Current Position:
AVP (Assistant Vice President) Product at Get My Parking, Bengaluru
​Professional Summary:
Aman Singh is an experienced product leader with expertise in product strategy, design, and market development. He leads the Product and Design team at Get My Parking and handles market strategy for North America.
Key Skills &amp; Experience:
Product Strategy &amp; Leadership: Proficient in developing product roadmaps through iterative consumer feedback and creating tech architectures
Market Expansion: Successfully acquired clients across the U.S., Europe (Austria, Italy, Poland, Germany), and Asia, achieving potential Annual Recurring Revenue (ARR) of approximately $5 million
Cost Optimization: Created product-tech architecture achieving 50% cost reduction in CapEx and 87.5% improvement in onboarding time
COVID-19 Solutions: Introduced a touch-less, low-cost QR-based solution for the parking industry
Hardware Product Design: Experience with hardware solutions and vendor partnerships</t>
  </si>
  <si>
    <t>https://www.linkedin.com/in/aman-singh-product</t>
  </si>
  <si>
    <t>aman.singh2011@hotmail.com</t>
  </si>
  <si>
    <t>Manufacturing &amp; Manufacturing Tech: Mobility &amp; Transportation</t>
  </si>
  <si>
    <t>Go to Market Strategy || Market research || Product Development || Go to Market Strategy || Market research || Product Development || Go to Market Strategy || Market research || Product Development || Go to Market Strategy || Market research || Product Development || Product Management || Business Model Development</t>
  </si>
  <si>
    <t>Automobiles &amp; Auto Components || Automobiles &amp; Auto Components || Automobiles &amp; Auto Components || Technology &amp; Innovation || Technology &amp; Innovation || Technology &amp; Innovation || Automobiles &amp; Auto Components || Automobiles &amp; Auto Components || Automobiles &amp; Auto Components || Technology &amp; Innovation || Technology &amp; Innovation || Technology &amp; Innovation || Transportation &amp; Logistics</t>
  </si>
  <si>
    <t>Amankhan Pathan</t>
  </si>
  <si>
    <t>Co-Lead</t>
  </si>
  <si>
    <t>Shoutt-Pune</t>
  </si>
  <si>
    <t>Professional Summary:
Amankhan Pathan is passionate about education, innovation, and equity. He is a multi-talented professional with experience in education, entrepreneurship, and technology.
​
Current &amp; Recent Roles:
Co-Lead at Shoutt-Pune
PraDigi (Pratham Education Foundation) - involved in digital education initiatives
Former Teach For India Fellow - taught Mathematics at a Pune Municipal Corporation school for two years
Entrepreneurship:
CEO of Bubble Byte Ventures Pvt Ltd. - received an International Award for "Outstanding Leadership Award in Education"
​Founder of educational and ed-tech startups focused on skill development and equity
Technical Skills &amp; Background:
Backend development expertise (Node.js, SQL, MongoDB, Redis, Elastic Search)
Full Stack development experience
Azure DevOps proficiency
Prior experience in satellite communication research (Doordarshan Kendra)
Python programming and data visualization
Arduino training</t>
  </si>
  <si>
    <t>https://www.linkedin.com/in/ak1393/</t>
  </si>
  <si>
    <t>amankhan.pathan2023@teachforindia.org
amankhan1393@gmail.com</t>
  </si>
  <si>
    <t>Business Model Development || Customer Service &amp; Retention || Digital Marketing || Growth Strategy Formulation || Logistics Management || Marketing || Pitch coaching || Process Optimization || Product Development || Prototyping &amp; Testing || Public speaking || Social Media Marketing || Strategic Planning || Supply Chain Management || Talent Acquisition || Tech Strategy &amp; Infrastructure || Training &amp; Development || UI/UX Design || Business Model Development || Customer Service &amp; Retention || Digital Marketing || Growth Strategy Formulation || Logistics Management || Marketing || Pitch coaching || Process Optimization || Product Development || Prototyping &amp; Testing || Public speaking || Social Media Marketing || Strategic Planning || Supply Chain Management || Talent Acquisition || Tech Strategy &amp; Infrastructure || Training &amp; Development || UI/UX Design || Business Model Development || Customer Service &amp; Retention || Digital Marketing || Growth Strategy Formulation || Logistics Management || Marketing || Pitch coaching || Process Optimization || Product Development || Prototyping &amp; Testing || Public speaking || Social Media Marketing || Strategic Planning || Supply Chain Management || Talent Acquisition || Tech Strategy &amp; Infrastructure || Training &amp; Development || UI/UX Design || Business Model Development || Customer Service &amp; Retention || Digital Marketing || Growth Strategy Formulation || Logistics Management || Marketing || Pitch coaching || Process Optimization || Product Development || Prototyping &amp; Testing || Public speaking || Social Media Marketing || Strategic Planning || Supply Chain Management || Talent Acquisition || Tech Strategy &amp; Infrastructure || Training &amp; Development || UI/UX Design || Business Model Development || Customer Service &amp; Retention || Digital Marketing || Growth Strategy Formulation || Logistics Management || Marketing || Pitch coaching || Process Optimization || Product Development || Prototyping &amp; Testing || Public speaking || Social Media Marketing || Strategic Planning || Supply Chain Management || Talent Acquisition || Tech Strategy &amp; Infrastructure || Training &amp; Development || UI/UX Design || Business Model Development || Customer Service &amp; Retention || Digital Marketing || Growth Strategy Formulation || Logistics Management || Marketing || Pitch coaching || Process Optimization || Product Development || Prototyping &amp; Testing || Public speaking || Social Media Marketing || Strategic Planning || Supply Chain Management || Talent Acquisition || Tech Strategy &amp; Infrastructure || Training &amp; Development || UI/UX Design || Business Model Development || Customer Service &amp; Retention || Digital Marketing || Growth Strategy Formulation || Logistics Management || Marketing || Pitch coaching || Process Optimization || Product Development || Prototyping &amp; Testing || Public speaking || Social Media Marketing || Strategic Planning || Supply Chain Management || Talent Acquisition || Tech Strategy &amp; Infrastructure || Training &amp; Development || UI/UX Design || Business Model Development || Customer Service &amp; Retention || Digital Marketing || Growth Strategy Formulation || Logistics Management || Marketing || Pitch coaching || Process Optimization || Product Development || Prototyping &amp; Testing || Public speaking || Social Media Marketing || Strategic Planning || Supply Chain Management || Talent Acquisition || Tech Strategy &amp; Infrastructure || Training &amp; Development || UI/UX Design || Training &amp; Development || Entrepreneurship Coaching</t>
  </si>
  <si>
    <t>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Education &amp; Training</t>
  </si>
  <si>
    <t>Amardeep Singh</t>
  </si>
  <si>
    <t>Chief Executive</t>
  </si>
  <si>
    <t>Summary&lt;/strong&gt;&lt;/p&gt;&lt;p&gt;Amardeep, an entrepreneur with over 20 years of experience in B2B sales and recruitment, founded Myjobfactory, an AI-powered employer branding platform. He specializes in leveraging technology to enhance how companies attract and retain talent, focusing on creating authentic and engaging employer branding strategies. Passionate about innovation, Mr. Amardeep develops solutions that deliver tangible results, helping businesses build strong employer brands in a competitive market. His collaborative approach ensures tailored strategies that meet clients' unique needs. Mr. Amardeep is always eager to connect with professionals interested in advancing their employer branding efforts.&lt;/p&gt;&lt;p&gt;&lt;br&gt;&lt;/p&gt;Key Areas of Expertise&lt;/strong&gt;&lt;/p&gt;&lt;ul&gt;&lt;li&gt;Business development&lt;/li&gt;&lt;li&gt;Growth strategy&lt;/li&gt;&lt;li&gt;Market opportunities and acquiring market share&lt;/li&gt;&lt;li&gt;Business mentoring and coaching&lt;/li&gt;&lt;li&gt;Group learning engagements and team development sessions&lt;/li&gt;&lt;li&gt;Academic sessions on various topics including self-branding, digital marketing, skills development, career building, entrepreneurship, and green industry sectors&lt;/li&gt;&lt;li&gt;Hosting B2B segment events as Master of Ceremony&lt;/li&gt;&lt;li&gt;Alternative disputes resolution among business stakeholders&lt;/li&gt;&lt;li&gt;Speaking on nature &amp;amp; wildlife conservation, survival-life skills, personal branding, life-work balance&lt;/li&gt;&lt;/ul&gt;&lt;p&gt;&lt;br&gt;&lt;/p&gt;Strategic Contributions&lt;/strong&gt;&lt;/p&gt;&lt;p&gt;Advising business owners and leadership teams on holistic development and growth-oriented business plans&lt;/p&gt;&lt;p&gt;Delivering experiential learning outbound programs for leadership teams from global corporate businesses, academic institutions, NGOs, and business forums&lt;/p&gt;&lt;p&gt;Facilitating alternative dispute resolution among business-owning families and stakeholders&lt;/p&gt;</t>
  </si>
  <si>
    <t>https://www.linkedin.com/in/adsinghprofile</t>
  </si>
  <si>
    <t>reach.adsingh@gmail.com</t>
  </si>
  <si>
    <t>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Business Model Development || Growth Strategy Formulation || Training &amp; Development || Go to Market Strategy || Business Model Development</t>
  </si>
  <si>
    <t>Agriculture &amp; Food Processing || Agriculture &amp; Food Processing || Agriculture &amp; Food Processing || Others || Others || Others || Pharmaceuticals, Healthcare and Wellness || Pharmaceuticals, Healthcare and Wellness || Pharmaceuticals, Healthcare and Wellness || Professional &amp; Business Services || Professional &amp; Business Services || Professional &amp; Business Services || Services || Services || Services || Social &amp; Community Services || Social &amp; Community Services || Social &amp; Community Services || Tourism &amp; Hospitality || Tourism &amp; Hospitality || Tourism &amp; Hospitality || Agriculture &amp; Food Processing || Agriculture &amp; Food Processing || Agriculture &amp; Food Processing || Others || Others || Others || Pharmaceuticals, Healthcare and Wellness || Pharmaceuticals, Healthcare and Wellness || Pharmaceuticals, Healthcare and Wellness || Professional &amp; Business Services || Professional &amp; Business Services || Professional &amp; Business Services || Services || Services || Services || Social &amp; Community Services || Social &amp; Community Services || Social &amp; Community Services || Tourism &amp; Hospitality || Tourism &amp; Hospitality || Tourism &amp; Hospitality || Agriculture &amp; Food Processing || Agriculture &amp; Food Processing || Agriculture &amp; Food Processing || Others || Others || Others || Pharmaceuticals, Healthcare and Wellness || Pharmaceuticals, Healthcare and Wellness || Pharmaceuticals, Healthcare and Wellness || Professional &amp; Business Services || Professional &amp; Business Services || Professional &amp; Business Services || Services || Services || Services || Social &amp; Community Services || Social &amp; Community Services || Social &amp; Community Services || Tourism &amp; Hospitality || Tourism &amp; Hospitality || Tourism &amp; Hospitality || HR Services</t>
  </si>
  <si>
    <t>Amit Arora</t>
  </si>
  <si>
    <t>Chief Executive Officer</t>
  </si>
  <si>
    <t>LoadExx</t>
  </si>
  <si>
    <t>Summary&lt;/strong&gt;&lt;/p&gt;&lt;p&gt;At LoadExx, Mr. Amit merges leadership with innovation to drive positive unit economics in the commercial cargo EV sector. His journey includes overcoming public policy barriers, securing initial funding amidst regulatory challenges, and scaling the fleet to 200 vehicles, resulting in significant revenue growth. Mr. Amit’s mission is to transform last-mile logistics and promote rural entrepreneurship.&lt;/p&gt;&lt;p&gt;&lt;br&gt;&lt;/p&gt;Key Areas of Expertise:&lt;/strong&gt;&lt;/p&gt;&lt;ul&gt;&lt;li&gt;Leadership in EV Deployment&lt;/li&gt;&lt;li&gt;Team Management&lt;/li&gt;&lt;li&gt;Sustainable Development&lt;/li&gt;&lt;li&gt;Public Policy Navigation&lt;/li&gt;&lt;li&gt;Revenue Growth Strategies&lt;/li&gt;&lt;li&gt;Last-Mile Logistics&lt;/li&gt;&lt;li&gt;Rural Entrepreneurship&lt;/li&gt;&lt;/ul&gt;&lt;p&gt;&lt;br&gt;&lt;/p&gt;Strategic Contributions:&lt;/strong&gt;&lt;/p&gt;&lt;ul&gt;&lt;li&gt;Overcame public policy barriers to establish and scale LoadExx’s cargo EV fleet.&lt;/li&gt;&lt;li&gt;Secured inaugural funding despite regulatory uncertainties.&lt;/li&gt;&lt;li&gt;Pioneered the registration of cargo EVs in Kolkata, advancing the EV sector.&lt;/li&gt;&lt;li&gt;Empowered driver-partners to invest in LoadExx’s vision, contributing to the company’s expansion.&lt;/li&gt;&lt;/ul&gt;&lt;p&gt;&lt;br&gt;&lt;/p&gt;Success Stories:&lt;/strong&gt;&lt;/p&gt;&lt;ul&gt;&lt;li&gt;Successfully scaled LoadExx’s fleet to 200 vehicles, driving substantial revenue growth.&lt;/li&gt;&lt;li&gt;Navigated complex regulatory environments to achieve significant milestones in EV deployment.&lt;/li&gt;&lt;li&gt;Contributed to the transformation of last-mile logistics and fostered rural entrepreneurship through innovative practices.&lt;/li&gt;&lt;/ul&gt;</t>
  </si>
  <si>
    <t>https://www.linkedin.com/in/amit-arora-14779a57/</t>
  </si>
  <si>
    <t xml:space="preserve">amit@loadexx.com </t>
  </si>
  <si>
    <t>Business Model Development || Compliance Assistance || Digital Marketing || Fundraising || Media and PR || Organizational Development || Strategic Planning || Sustainable Operations || Training &amp; Development || Business Model Development || Compliance Assistance || Digital Marketing || Fundraising || Media and PR || Organizational Development || Strategic Planning || Sustainable Operations || Training &amp; Development || Business Model Development || Investing</t>
  </si>
  <si>
    <t>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Transportation &amp; Logistics || Transportation &amp; Logistics || Transportation &amp; Logistics || Transportation &amp; Logistics || Transportation &amp; Logistics || Transportation &amp; Logistics || Transportation &amp; Logistics || Transportation &amp; Logistics || Transportation &amp; Logistics || Automotive &amp; Auto Components || Transportation &amp; Logistics</t>
  </si>
  <si>
    <t>Amit Chilka</t>
  </si>
  <si>
    <t>Human Resources Consultant</t>
  </si>
  <si>
    <t>Summary:
Mr. Amit is a seasoned Head of HR/CHRO with over 21 years of experience driving organizational excellence and peak performance. His expertise spans Talent Acquisition, Compensation &amp; Benefits, Total Rewards, Employee Experience, Learning &amp; Development, and Performance Management. Notable achievements include reducing employee turnover to 8%, leading change management initiatives that boosted Product Managementivity by 16%, and implementing succession planning that resulted in 550% savings. Known for his data-driven insights and passion for people, he excels in career strategy, leadership development, and organizational behavior. Additionally, Mr. Amit is an avid adventurer with multiple records in adventure sports, reflecting his commitment to a balanced and dynamic life.
Core Expertise:
Amit's expertise lies in providing the full spectrum of Human Resources services, including Talent Acquisition, Compensation and benefits, Total Rewards, Employee Experience, Learning and organisation Development, Performance Management, and Innovation.
Problem Solving Approach:
Throughout his career, Amit has been recognized for building highly effective teams, resolving critical issues, and driving innovation.
Impactful Projects: Reduced employee turnover to as low as 8% led a successful change management initiative that increased Product Managementivity by 16% led a succession planning initiative resulting in 550% savings
Consulting Style:
Amit's passion for people connection and data-driven insights make him an exceptional coach who inspires individuals to achieve their personal Everest and helps organizations achieve theirs. He has worked with private startups and public Fortune 500 companies and has expertise in full-cycle individual &amp; organizational career strategy, succession planning, leadership development, organizational behavior, and organization development.</t>
  </si>
  <si>
    <t>https://www.linkedin.com/in/amitchilka</t>
  </si>
  <si>
    <t xml:space="preserve">amit.chilka@synergistls.com </t>
  </si>
  <si>
    <t>Mentoring || Talent acquisition and retention || Team building || Mentoring || Talent acquisition and retention || Team building || KPI Governance || Organizational Development || Performance Metrics || Team building || Training &amp; Development || KPI Governance || Organizational Development || Performance Metrics || Team building || Training &amp; Development || KPI Governance || Organizational Development || Performance Metrics || Team building || Training &amp; Development || KPI Governance || Organizational Development || Performance Metrics || Team building || Training &amp; Development || KPI Governance || Organizational Development || Performance Metrics || Team building || Training &amp; Development || KPI Governance || Organizational Development || Performance Metrics || Team building || Training &amp; Development || HR Consulting</t>
  </si>
  <si>
    <t>Services || Services || Services || Services || Services || Services || Services || Services || Services || Services || Services || Technology &amp; Innovation || Technology &amp; Innovation || Technology &amp; Innovation || Technology &amp; Innovation || Technology &amp; Innovation || Services || Services || Services || Services || Services || Technology &amp; Innovation || Technology &amp; Innovation || Technology &amp; Innovation || Technology &amp; Innovation || Technology &amp; Innovation || Services || Services || Services || Services || Services || Technology &amp; Innovation || Technology &amp; Innovation || Technology &amp; Innovation || Technology &amp; Innovation || Technology &amp; Innovation || HR Services</t>
  </si>
  <si>
    <t>Sanjeev Singhal</t>
  </si>
  <si>
    <t>CTO</t>
  </si>
  <si>
    <t>Summary&lt;/strong&gt;&lt;/p&gt;&lt;p&gt;Mr. Sanjeev is a seasoned Chief Technology Officer with extensive experience across multiple sectors, including multi-brand retail, e-commerce, food tech, and media. He has co-founded KAMA Ayurveda and served as CTO at various prominent organizations such as InnerChef, Reliance Entertainment, and IndiaToday Group. With a background in software and Product Management development, media, and digital strategy, Mr. Sanjeev is skilled in managing complex technology environments and driving digital transformation. His educational background includes a postgraduate degree in computers and executive development in project management from IIM Ahmedabad.&lt;/p&gt;&lt;p&gt;&lt;br&gt;&lt;/p&gt;Core Expertise&lt;/strong&gt;&lt;/p&gt;&lt;ul&gt;&lt;li&gt;Software &amp;amp; Product Management Development&lt;/li&gt;&lt;li&gt;Digital Strategy&lt;/li&gt;&lt;li&gt;E-Commerce and Multi-Brand Retail&lt;/li&gt;&lt;li&gt;Media &amp;amp; Entertainment&lt;/li&gt;&lt;li&gt;Food Tech and D2C Luxury Brands&lt;/li&gt;&lt;li&gt;Mobile Applications and Databases&lt;/li&gt;&lt;/ul&gt;&lt;p&gt;&lt;br&gt;&lt;/p&gt;Problem Solving Approach&lt;/strong&gt;&lt;/p&gt;&lt;ul&gt;&lt;li&gt;Utilizes a strategic approach to digital transformation and technology management.&lt;/li&gt;&lt;li&gt;Applies extensive industry knowledge to address challenges in diverse sectors.&lt;/li&gt;&lt;/ul&gt;&lt;p&gt;&lt;br&gt;&lt;/p&gt;Impactful Projects&lt;/strong&gt;&lt;/p&gt;&lt;ul&gt;&lt;li&gt;Co-founded KAMA Ayurveda, a luxury D2C beauty brand.&lt;/li&gt;&lt;li&gt;Led technology initiatives at InnerChef, Reliance Entertainment, IndiaToday Group, and other prominent organizations.&lt;/li&gt;&lt;/ul&gt;&lt;p&gt;&lt;br&gt;&lt;/p&gt;Consulting Style&lt;/strong&gt;&lt;/p&gt;&lt;ul&gt;&lt;li&gt;Focuses on leveraging deep technical expertise and strategic insight to drive business growth and technological innovation.&lt;/li&gt;&lt;li&gt;Engages in executive development and project management to guide and mentor teams.&lt;/li&gt;&lt;/ul&gt;&lt;p&gt;&lt;br&gt;&lt;/p&gt;</t>
  </si>
  <si>
    <t>https://www.linkedin.com/in/singhalsanjeev/</t>
  </si>
  <si>
    <t>sanjeevss@gmail.com</t>
  </si>
  <si>
    <t>Business Model Development || Business Model Development || Business Model Development || Business Model Development || Business Model Development || Business Model Development || Business Model Development || Business Model Development || Business Model Development || Business Model Development || Software Development || Product Management Management</t>
  </si>
  <si>
    <t>Education &amp; Training || Fashion &amp; Beauty || Media, Arts &amp; Entertainment || Retail &amp; e-Commerce || Services || Education &amp; Training || Fashion &amp; Beauty || Media, Arts &amp; Entertainment || Retail &amp; e-Commerce || Services || Media, Arts &amp; Entertainment || Retail &amp; e-Commerce</t>
  </si>
  <si>
    <t>Amit Sabale</t>
  </si>
  <si>
    <t>Head - Digital marketing Solutions</t>
  </si>
  <si>
    <t>Google</t>
  </si>
  <si>
    <t>Summary&lt;/strong&gt;: Amit Sabale is an experienced digital marketing professional with over 15 years of expertise in digital marketing, marketing strategy, revenue planning and operations, and consultative sales. He is passionate about helping companies grow and succeed through Google's advertising and analytics platforms. As the Head of Digital Marketing Solutions for Ed Tech &amp;amp; SAAS at Google, Amit leads a team of world-class digital marketing experts who deliver growth and profitability goals for some of the top players in the industry.&lt;/p&gt;&lt;p&gt;&lt;br&gt;&lt;/p&gt;Core Expertise&lt;/strong&gt;: Digital Marketing, Marketing Strategy, Revenue Planning, Consultative Sales, Advertising and Analytics Platforms Problem-Solving Approach: Builds full-funnel digital marketing roadmaps and guides clients to execute them effectively and efficiently, ensuring growth and profitability.&lt;/p&gt;&lt;p&gt;&lt;br&gt;&lt;/p&gt;Impactful Projects&lt;/strong&gt;: At Google, Amit leads a team that delivers digital marketing solutions for Ed Tech and SAAS industries, achieving significant growth and profitability for top industry players. His leadership ensures clients receive tailored strategies that maximize their advertising and analytics efforts.&lt;/p&gt;</t>
  </si>
  <si>
    <t>https://www.linkedin.com/in/amitsabale/</t>
  </si>
  <si>
    <t>amit.sabale@gmail.com</t>
  </si>
  <si>
    <t>Digital Marketing || Go to Market Strategy || Growth Strategy Formulation || Digital Marketing || Go to Market Strategy || Growth Strategy Formulation || Digital Marketing || Go to Market Strategy || Growth Strategy Formulation || Digital Marketing || Go to Market Strategy || Growth Strategy Formulation || Digital Marketing || Go to Market Strategy || Growth Strategy Formulation || Digital Marketing || Go to Market Strategy || Growth Strategy Formulation || Digital Marketing || Go to Market Strategy || Growth Strategy Formulation || Digital Marketing || Go to Market Strategy || Growth Strategy Formulation || Digital Marketing || Go to Market Strategy || Growth Strategy Formulation || Digital Marketing || Go to Market Strategy || Growth Strategy Formulation || Digital Marketing || Marketing &amp; Branding</t>
  </si>
  <si>
    <t>AI, Big Data &amp; Analytics || AI, Big Data &amp; Analytics || AI, Big Data &amp; Analytics || Education &amp; Training || Education &amp; Training || Education &amp; Training || Fashion &amp; Beauty || Fashion &amp; Beauty || Fashion &amp; Beauty || FinTech || FinTech || FinTech || Retail &amp; e-Commerce || Retail &amp; e-Commerce || Retail &amp; e-Commerce || AI, Big Data &amp; Analytics || AI, Big Data &amp; Analytics || AI, Big Data &amp; Analytics || Education &amp; Training || Education &amp; Training || Education &amp; Training || Fashion &amp; Beauty || Fashion &amp; Beauty || Fashion &amp; Beauty || FinTech || FinTech || FinTech || Retail &amp; e-Commerce || Retail &amp; e-Commerce || Retail &amp; e-Commerce || Education &amp; Training</t>
  </si>
  <si>
    <t>Amiya Srivastava</t>
  </si>
  <si>
    <t>îårtha capital</t>
  </si>
  <si>
    <t>Summary:&lt;/strong&gt;&lt;/p&gt;&lt;p&gt;Amiya Srivastava is a seasoned venture capitalist and startup mentor with over 15 years of experience at global giants like Cisco and Amazon. Currently a General Partner at iArtha Capital, Amiya has successfully transitioned from the corporate world into the startup ecosystem, building a robust portfolio as an entrepreneur and angel investor over the past eight years. His deep understanding of both corporate and startup environments makes him an invaluable partner for aspiring entrepreneurs and investors alike.&lt;/p&gt;&lt;p&gt;&lt;br&gt;&lt;/p&gt;Core Expertise:&lt;/strong&gt;&lt;/p&gt;&lt;p&gt;Amiya specializes in fundraising, Product Management development, business strategy, and go-to-market (GTM) planning. His industry focus includes AI, DeepTech, and sustainable solutions. He is also deeply involved in the startup ecosystem through his mentorship roles with the Wadhwani Foundation and NASSCOM Deep Tech Club, where he contributes to the growth of next-generation tech startups.&lt;/p&gt;&lt;p&gt;&lt;br&gt;&lt;/p&gt;Problem-Solving Approach:&lt;/strong&gt;&lt;/p&gt;&lt;p&gt;Amiya adopts a hands-on, collaborative approach to problem-solving. Drawing from his own experiences as a Founder, he works closely with startups to tackle challenges head-on, whether it’s finding the right Product Management-market fit, navigating funding rounds, or scaling operations. His method is grounded in practical, experience-based insights, ensuring that solutions are both actionable and effective.&lt;/p&gt;&lt;p&gt;&lt;br&gt;&lt;/p&gt;Impactful Projects:&lt;/strong&gt;&lt;/p&gt;&lt;p&gt;Amiya has founded and scaled multiple startups, leveraging his corporate expertise to guide them through critical growth phases. At iArtha Capital, he has led numerous successful investment initiatives, focusing on emerging tech trends and scalable business models. His mentorship has also been instrumental in helping early-stage startups refine their strategies and secure necessary funding, contributing to their long-term success.&lt;/p&gt;&lt;p&gt;&lt;br&gt;&lt;/p&gt;Consultation Style:&lt;/strong&gt;&lt;/p&gt;&lt;p&gt;Amiya’s consultation style is deeply personalized and relationship-driven. He believes in building genuine connections with the Founders and investors he works with, offering tailored guidance that aligns with their specific needs and goals. Whether it’s a late-night strategy session or a critical pitch deck review, Amiya is always ready to roll up his sleeves and provide hands-on support. His approach ensures that every engagement is meaningful and impactful, fostering growth and innovation in the startup ecosystem.&lt;/p&gt;</t>
  </si>
  <si>
    <t>https://www.linkedin.com/in/amiysriv/</t>
  </si>
  <si>
    <t>amiysriv@xuvian.com (Preferred)
amiya_srivastava@hotmail.co.uk</t>
  </si>
  <si>
    <t>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Product Management || Business Model Development</t>
  </si>
  <si>
    <t>AI, Big Data &amp; Analytics || AI, Big Data &amp; Analytics || AI, Big Data &amp; Analytics || FinTech || FinTech || FinTech || Pharmaceuticals, Healthcare and Wellness || Pharmaceuticals, Healthcare and Wellness || Pharmaceuticals, Healthcare and Wellness || Retail &amp; e-Commerce || Retail &amp; e-Commerce || Retail &amp; e-Commerce || AI, Big Data &amp; Analytics || AI, Big Data &amp; Analytics || AI, Big Data &amp; Analytics || FinTech || FinTech || FinTech || Pharmaceuticals, Healthcare and Wellness || Pharmaceuticals, Healthcare and Wellness || Pharmaceuticals, Healthcare and Wellness || Retail &amp; e-Commerce || Retail &amp; e-Commerce || Retail &amp; e-Commerce || Venture Funding || Software &amp; IT Services</t>
  </si>
  <si>
    <t>Anand Bharadwaj</t>
  </si>
  <si>
    <t>Lumen Technologies</t>
  </si>
  <si>
    <t>Summary&lt;/strong&gt;&lt;/p&gt;&lt;p&gt;Mr. Anand is a dedicated IT professional with a strong passion for delivering solutions that address business demands. With extensive experience in crafting and implementing effective IT strategies, he excels in aligning technology with organizational goals. In addition to his technical expertise, Mr. Anand actively mentors individuals in the successful application of Business and Corporate Laws, driven by a passion for helping others succeed. His mentorship is offered voluntarily, reflecting his commitment to fostering growth and excellence in both technology and legal practices.&lt;/p&gt;&lt;p&gt;&lt;br&gt;&lt;/p&gt;Core Expertise&lt;/strong&gt;&lt;/p&gt;&lt;p&gt;My core expertise lies in delivering comprehensive IT solutions and guiding businesses through the intricacies of corporate and business laws. This unique blend of skills enables me to address both technical and legal aspects, ensuring that technology initiatives align seamlessly with legal requirements and business objectives.&lt;/p&gt;&lt;p&gt;&lt;br&gt;&lt;/p&gt;Problem Solving Approach&lt;/strong&gt;&lt;/p&gt;&lt;p&gt;I approach problem-solving with a focus on mentoring individuals and organizations, helping them navigate the complexities of business and corporate laws. My goal is to empower them to implement these laws effectively within their IT frameworks, ensuring compliance and promoting best practices.&lt;/p&gt;&lt;p&gt;&lt;br&gt;&lt;/p&gt;Impactful Projects&lt;/strong&gt;&lt;/p&gt;&lt;p&gt;Throughout my career, I have mentored numerous individuals, guiding them in the successful implementation of business and corporate laws. This mentoring process not only enhances their understanding of the legal landscape but also equips them with the skills needed to integrate these laws into their business operations effectively.&lt;/p&gt;&lt;p&gt;&lt;br&gt;&lt;/p&gt;Consulting Style&lt;/strong&gt;&lt;/p&gt;&lt;p&gt;My consulting style is characterized by a genuine passion for helping others, offering my mentoring services without any expectation of financial compensation. This approach reflects my dedication to supporting the success of others, whether they are individuals seeking guidance or businesses navigating the complexities of IT and legal compliance.&lt;/p&gt;</t>
  </si>
  <si>
    <t>https://www.linkedin.com/in/anandmbharadwaj</t>
  </si>
  <si>
    <t>anand_b_m@outlook.com</t>
  </si>
  <si>
    <t>Business Model Development || Tech Strategy &amp; Infrastructure || Business Model Development || Tech Strategy &amp; Infrastructure || IT Consulting || Intellectual Property Advisory</t>
  </si>
  <si>
    <t>Technology &amp; Innovation || Technology &amp; Innovation || Technology &amp; Innovation || Technology &amp; Innovation || Telecommunications</t>
  </si>
  <si>
    <t>Ankur Agarwal</t>
  </si>
  <si>
    <t>Sugar AI Inc. (Sugarcane AI)</t>
  </si>
  <si>
    <t>Summary:&lt;/strong&gt; Ankur is a seasoned technologist and entrepreneur with over 14 years of experience in the startup ecosystem, software development, and leadership. With a background in engineering from MNNIT Allahabad, India, he has played pivotal roles as a Founder, CTO, CEO, software architect, and business developer. Ankur is passionate about using technology to solve real-world problems and has founded multiple SaaS startups, making him an expert in guiding companies through the 0-1 and 0-1000 journey.&lt;/p&gt;&lt;p&gt;&lt;br&gt;&lt;/p&gt;Core Expertise:&lt;/strong&gt; Ankur specializes in building startups, SaaS platforms, and AI-powered solutions. He has extensive experience in entrepreneurship, cross-functional leadership, and creating scalable software Product Managements for both B2B and B2C segments. His technical proficiencies include web stacks, big data, AI, machine learning, DevOps, and cloud technologies.&lt;/p&gt;&lt;p&gt;&lt;br&gt;&lt;/p&gt;Problem-Solving Approach:&lt;/strong&gt; Ankur approaches challenges with an operator mindset, applying a hands-on, agile methodology to both technical and business problems. He thrives on creating solutions from scratch, whether it's building microservices architecture, implementing automation in the software development lifecycle, or leading teams to deliver high-impact projects.&lt;/p&gt;&lt;p&gt;&lt;br&gt;&lt;/p&gt;Impactful Projects:&lt;/strong&gt;&lt;/p&gt;&lt;ul&gt;&lt;li&gt;&lt;strong&gt;Founder, Sugar AI Inc.:&lt;/strong&gt; At Sugar AI, Ankur is developing next-gen AI assistants that integrate with web/mobile apps, allowing businesses to enhance user interaction through Siri-like interfaces. These assistants streamline user workflows, expedite decision-making, and improve support functions, significantly enhancing user experience.&lt;/li&gt;&lt;li&gt;&lt;strong&gt;WhiteHat Jr &amp;amp; BYJU’s:&lt;/strong&gt; Ankur worked as a Director and Software Architect at WhiteHat Jr, where he led multiple projects involving microservices, gamification, community building, and educational technology. He also played a crucial role in the integration of automation testing and performance monitoring into their SDLC.&lt;/li&gt;&lt;li&gt;&lt;strong&gt;Isha Foundation Volunteer:&lt;/strong&gt; As a volunteer at Isha Foundation, Ankur implemented CRM solutions for Farmer Producer Organizations (FPOs) to optimize their sales and marketing efforts. He also contributed to various tech projects, including app development and workflow improvements.&lt;/li&gt;&lt;/ul&gt;&lt;p&gt;&lt;br&gt;&lt;/p&gt;Consultation Style:&lt;/strong&gt; Ankur’s engagement style is collaborative, data-driven, and centered around execution. He enjoys working closely with teams, sharing his insights on Product Management development, AI integration, and process optimization. His experience across diverse roles allows him to provide holistic advice to startups looking to scale efficiently.&lt;/p&gt;</t>
  </si>
  <si>
    <t>https://www.linkedin.com/in/ankuragarwalmnnit/</t>
  </si>
  <si>
    <t>entrepreneur.ankur@gmail.com</t>
  </si>
  <si>
    <t>Deep Tech (Blockchain, AI, Robotics, AR/VR) || Software Development || Tech Strategy &amp; Infrastructure || Deep Tech (Blockchain, AI, Robotics, AR/VR) || Software Development || Tech Strategy &amp; Infrastructure || Deep Tech (Blockchain, AI, Robotics, AR/VR) || Software Development || Tech Strategy &amp; Infrastructure || Entrepreneurship Coaching || Product Management Management</t>
  </si>
  <si>
    <t>AI, Big Data &amp; Analytics || AI, Big Data &amp; Analytics || AI, Big Data &amp; Analytics || FinTech || FinTech || FinTech || Technology &amp; Innovation || Technology &amp; Innovation || Technology &amp; Innovation || Software &amp; IT Services</t>
  </si>
  <si>
    <t>Anshumaan Singh</t>
  </si>
  <si>
    <t>Chairman &amp; Founder</t>
  </si>
  <si>
    <t>Professional Summary:
Dr. Anshumaan Singh is a recognized entrepreneur, business strategist, and one of India's most noted names in the entrepreneurship and business startup ecosystem.
​
Current Leadership Positions:
Chairman of the International Business, Startup &amp; Entrepreneurs Association (IBSEA) (May 2023 - Present)
Chairman &amp; Founder of I INDIAN ENTREPRENEUR (June 2019 - Present) - provides business strategies and advanced techniques to support aspiring entrepreneurs, students, and job seekers
Head: Startup, Innovation &amp; Entrepreneurship at Naraina Group of Institutions (August 2019 - Present)
​Manager: Startup, Innovation &amp; Entrepreneurship at Maharana Pratap Group of Institutions (September 2019 - Present)​
Mission &amp; Focus:
Through I INDIAN ENTREPRENEUR, Dr. Singh provides comprehensive business strategies and advanced entrepreneurial techniques to help aspiring youngsters, students, and job seekers from diverse communities start and grow their businesses.
​
Entrepreneurial Background:
Co-founder of Indiloves (August 2017 - January 2019) - an entrepreneurial venture
State Executive Officer at Campus Haat, IIT Kanpur (May 2019 - July 2019)
​
Key Areas of Expertise:
Business startup development and scaling
Entrepreneurship mentoring
Innovation strategy
Business model development
Startup ecosystem building
Student entrepreneurship development</t>
  </si>
  <si>
    <t>https://www.linkedin.com/in/anshumaansinghofficial?utm_source=share&amp;utm_campaign=share_via&amp;utm_content=profile&amp;utm_medium=android_app</t>
  </si>
  <si>
    <t>contact@anshumaansingh.com</t>
  </si>
  <si>
    <t>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Branding || Business Model Development || Contracts &amp; Agreements || Customer Relationship Management || Digital Marketing || Fundraising || Growth Strategy Formulation || Intellectual Property Rights || International Market Analysis || Market research || Marketing || Organizational Development || Performance Management || Performance Metrics || Pitch coaching || Pricing Strategy || Public speaking || Sales Strategy || Social Media Marketing || Strategic Planning || Talent Acquisition || Training &amp; Development || Training &amp; Development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</si>
  <si>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Services || Services || Services || Services || Services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Sports || Sports || Sports || Sports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Education &amp; Training</t>
  </si>
  <si>
    <t>Anupama Modi</t>
  </si>
  <si>
    <t>Head - Startup Cell, Indore Chapter</t>
  </si>
  <si>
    <t>FICCI FLO</t>
  </si>
  <si>
    <t>Summary: &lt;/strong&gt;&lt;/p&gt;&lt;p&gt;Ms. Anupama is an experienced entrepreneurship ecosystem catalyst with a focus on event management, team building, brand development, and network management. Certified entrepreneurship educator advocating for intrapreneurship and leveraging family businesses for aspiring entrepreneurs. She is skilled in Conceiving, designing, developing, and executing new entrepreneurship programs, enhancing existing ones, and advocating for intrapreneurship initiatives.&lt;/p&gt;&lt;p&gt;&lt;br&gt;&lt;/p&gt;Core Expertise: &lt;/strong&gt;&lt;/p&gt;&lt;ul&gt;&lt;li&gt;Entrepreneurship&lt;/li&gt;&lt;li&gt;Event Management&lt;/li&gt;&lt;li&gt;Team Building&lt;/li&gt;&lt;li&gt;Brand Development&lt;/li&gt;&lt;li&gt;Network Management&lt;/li&gt;&lt;li&gt;Intrapreneurship&lt;/li&gt;&lt;li&gt;Reverse Mentoring.&lt;/li&gt;&lt;/ul&gt;&lt;p&gt;&lt;br&gt;&lt;/p&gt;Problem Solving Approach: &lt;/strong&gt;&lt;/p&gt;&lt;p&gt;Emphasizes innovation in program design and execution, encourages new approaches like intrapreneurship and reverse mentoring to foster entrepreneurship.&lt;/p&gt;&lt;p&gt;&lt;br&gt;&lt;/p&gt;Consulting Style:&lt;/strong&gt;&lt;/p&gt;&lt;p&gt;Collaborative, focused on skill and attitude development through mentorship and active participation in entrepreneurship and innovation ecosystems.&lt;/p&gt;</t>
  </si>
  <si>
    <t>https://www.linkedin.com/in/anupamamodi09/</t>
  </si>
  <si>
    <t>modianupama84@gmail.com</t>
  </si>
  <si>
    <t>Branding || Organizational Development || Talent Acquisition || Team building || Branding || Organizational Development || Talent Acquisition || Team building || Entrepreneurship Coaching</t>
  </si>
  <si>
    <t>Education &amp; Training || Education &amp; Training || Education &amp; Training || Education &amp; Training || Services || Services || Services || Services || Education &amp; Training</t>
  </si>
  <si>
    <t>Anupama Ramteke</t>
  </si>
  <si>
    <t>Mahika</t>
  </si>
  <si>
    <t>Summary:&lt;/strong&gt;&lt;/p&gt;&lt;p&gt;Ms. Anupama is a seasoned HR, Learning, and Organizational Development professional with over 14 years of experience. As the co-Founder of Mahika, she focuses on enhancing youth employability through e-learning courses. She also specializes in leadership and OD consulting, preparing professionals and entrepreneurs for leadership roles. Recognized as one of the "Top 10 Women Leaders in e-Learning" and among the "Top 100 HR Leaders under 40," she is dedicated to fostering individual and organizational growth.&lt;/p&gt;&lt;p&gt;&lt;br&gt;&lt;/p&gt;Key Areas of Expertise:&lt;/strong&gt;&lt;/p&gt;&lt;ul&gt;&lt;li&gt;HR &amp;amp; Organizational Development&lt;/li&gt;&lt;li&gt;Leadership Development&lt;/li&gt;&lt;li&gt;E-Learning&lt;/li&gt;&lt;li&gt;Business Strategy&lt;/li&gt;&lt;li&gt;Coaching &amp;amp; Mentoring&lt;/li&gt;&lt;/ul&gt;&lt;p&gt;&lt;br&gt;&lt;/p&gt;Strategic Contributions:&lt;/strong&gt;&lt;/p&gt;&lt;ul&gt;&lt;li&gt;Co-founded Mahika, enhancing youth employability through innovative e-learning initiatives.&lt;/li&gt;&lt;li&gt;Provided leadership and OD consulting to numerous organizations, helping them overcome challenges and improve hiring quality.&lt;/li&gt;&lt;/ul&gt;&lt;p&gt;&lt;br&gt;&lt;/p&gt;Mentorship Philosophy:&lt;/strong&gt;&lt;/p&gt;&lt;p&gt;Ms. Anupama believes in leading with purpose and passion, focusing on empowering individuals and organizations to achieve shared goals through effective leadership.&lt;/p&gt;</t>
  </si>
  <si>
    <t>https://www.linkedin.com/in/anupamaramteke/</t>
  </si>
  <si>
    <t>anuramteke@gmail.com</t>
  </si>
  <si>
    <t>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Business Model Development || Customer Relationship Management || Customer Service &amp; Retention || Market research || Organizational Development || Performance Management || Pitch coaching || Process Optimization || Public speaking || Strategic Planning || Talent Acquisition || Training &amp; Development || HR Consulting || Training &amp;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</si>
  <si>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HR Services</t>
  </si>
  <si>
    <t>Arjun Panchal</t>
  </si>
  <si>
    <t>Startup Lifestyle Hub and PapaZapata</t>
  </si>
  <si>
    <t>Summary:&lt;/strong&gt;&lt;/p&gt;&lt;p&gt;Arjun Panchal is an accomplished entrepreneur, startup mentor, author, and keynote speaker. He has mentored over 600 entrepreneurs and evaluated more than 3000 business plans, contributing significantly to the startup ecosystem. He is an MBA graduate from the University of Massachusetts, Boston, and has founded three startups: PapaZapata, PAN Export, and Startup Lifestyle Hub.&lt;/p&gt;&lt;p&gt;&lt;br&gt;&lt;/p&gt;Key Areas of Expertise &lt;/strong&gt;&lt;/p&gt;&lt;ul&gt;&lt;li&gt;Entrepreneurship&lt;/li&gt;&lt;li&gt;Startup Mentorship&lt;/li&gt;&lt;li&gt;Business Plan Evaluation&lt;/li&gt;&lt;li&gt;Keynote Speaking&lt;/li&gt;&lt;li&gt;Lean Startup Methodologies&lt;/li&gt;&lt;li&gt;Design Thinking&lt;/li&gt;&lt;li&gt;Business Models&lt;/li&gt;&lt;/ul&gt;&lt;p&gt;&lt;br&gt;&lt;/p&gt;Strategic Contributions&lt;/strong&gt;&lt;/p&gt;&lt;p&gt;Founded three startups: PapaZapata (a chain of Mexican food outlets), PAN Export (a B2B trading platform), and Startup Lifestyle Hub Delivered over 100 keynote sessions on entrepreneurship-related topics Developed and delivered a structured-driven program at Startup Lifestyle Hub to empower aspiring entrepreneurs&lt;/p&gt;&lt;p&gt;&lt;br&gt;&lt;/p&gt;Mentorship Philosophy&lt;/strong&gt; Believes in empowering aspiring entrepreneurs by providing them with the tools and knowledge to launch their brands with low risk, less capital, and fast execution. Focuses on practical and actionable strategies, emphasizing the importance of an entrepreneurial mindset and structured learning.&lt;/p&gt;&lt;p&gt;&lt;br&gt;&lt;/p&gt;Success Stories &lt;/strong&gt;&lt;/p&gt;&lt;p&gt;Recognized with prestigious awards for his "Contribution to the Entrepreneurship Ecosystem" PapaZapata expanded to 6 outlets within 3 years Authored a novel titled "What Happens in America," which is available on Amazon and Flipkart Additional Information Worked as a WFM Lead at ESRI in Los Angeles Active in mentoring at esteemed institutions like SIBM Pune, IIT Bombay, and the Innovation Cell, Ministry of Education&lt;/p&gt;</t>
  </si>
  <si>
    <t>https://www.linkedin.com/in/arjunpanchal-entrepreneur/</t>
  </si>
  <si>
    <t>hello@arjunpanchal.com</t>
  </si>
  <si>
    <t>Branding || Budgeting &amp; Financial Modeling || Business Model Development || Customer Service &amp; Retention || Digital Marketing || Fundraising || Go to Market Strategy || Growth Strategy Formulation || Market research || Pricing Strategy || Prototyping &amp; Testing || Sales Strategy || Social Media Marketing || Strategic Planning || UI/UX Design || Branding || Budgeting &amp; Financial Modeling || Business Model Development || Customer Service &amp; Retention || Digital Marketing || Fundraising || Go to Market Strategy || Growth Strategy Formulation || Market research || Pricing Strategy || Prototyping &amp; Testing || Sales Strategy || Social Media Marketing || Strategic Planning || UI/UX Design || Branding || Budgeting &amp; Financial Modeling || Business Model Development || Customer Service &amp; Retention || Digital Marketing || Fundraising || Go to Market Strategy || Growth Strategy Formulation || Market research || Pricing Strategy || Prototyping &amp; Testing || Sales Strategy || Social Media Marketing || Strategic Planning || UI/UX Design || Branding || Budgeting &amp; Financial Modeling || Business Model Development || Customer Service &amp; Retention || Digital Marketing || Fundraising || Go to Market Strategy || Growth Strategy Formulation || Market research || Pricing Strategy || Prototyping &amp; Testing || Sales Strategy || Social Media Marketing || Strategic Planning || UI/UX Design || Branding || Budgeting &amp; Financial Modeling || Business Model Development || Customer Service &amp; Retention || Digital Marketing || Fundraising || Go to Market Strategy || Growth Strategy Formulation || Market research || Pricing Strategy || Prototyping &amp; Testing || Sales Strategy || Social Media Marketing || Strategic Planning || UI/UX Design || Branding || Budgeting &amp; Financial Modeling || Business Model Development || Customer Service &amp; Retention || Digital Marketing || Fundraising || Go to Market Strategy || Growth Strategy Formulation || Market research || Pricing Strategy || Prototyping &amp; Testing || Sales Strategy || Social Media Marketing || Strategic Planning || UI/UX Design || Marketing &amp; Branding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</si>
  <si>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Retail &amp; e-Commerce</t>
  </si>
  <si>
    <t>Arun Kumar Waghchoure</t>
  </si>
  <si>
    <t xml:space="preserve">Doneology Labs OPC Pvt Ltd </t>
  </si>
  <si>
    <t>Summary:&lt;/strong&gt;&lt;/p&gt;&lt;p&gt;Mr. Arun is a dynamic and motivated professional with a proven track record in business generation, relationship building, project management, and strategic planning. With expertise in building cross-functional teams and exceptional communication skills, Arun excels in managing projects from concept to completion and making critical decisions during challenges. He is known for his ability to lead teams to success and design effective business strategies.&lt;/p&gt;&lt;p&gt;&lt;br&gt;&lt;/p&gt;Key Areas of Expertise:&lt;/strong&gt;&lt;/p&gt;&lt;ul&gt;&lt;li&gt;Management Consulting&lt;/li&gt;&lt;li&gt;Corporate Training&lt;/li&gt;&lt;li&gt;Business Consulting&lt;/li&gt;&lt;li&gt;Life Coaching&lt;/li&gt;&lt;li&gt;Project Management&lt;/li&gt;&lt;li&gt;Executive Coaching&lt;/li&gt;&lt;li&gt;Program Management&lt;/li&gt;&lt;li&gt;Growth Marketing&lt;/li&gt;&lt;li&gt;Android Development&lt;/li&gt;&lt;li&gt;Training&lt;/li&gt;&lt;/ul&gt;&lt;p&gt;&lt;br&gt;&lt;/p&gt;Strategic Contributions:&lt;/strong&gt;&lt;/p&gt;&lt;ul&gt;&lt;li&gt;Proven ability to generate and build business relationships.&lt;/li&gt;&lt;li&gt;Expertise in managing projects from concept to completion.&lt;/li&gt;&lt;li&gt;Skilled in designing business strategies and leading teams to success.&lt;/li&gt;&lt;li&gt;Demonstrates exceptional communication skills and decision-making capabilities.&lt;/li&gt;&lt;/ul&gt;</t>
  </si>
  <si>
    <t>https://www.linkedin.com/in/arunkw/</t>
  </si>
  <si>
    <t>arunkw@gmail.com</t>
  </si>
  <si>
    <t>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Business Model Development || Customer Service &amp; Retention || Go to Market Strategy || Growth Strategy Formulation || Market research || Organizational Development || Performance Management || Process Optimization || Product Development || Prototyping &amp; Testing || Research Partnerships || Sales Strategy || Strategic Planning || Talent Acquisition || Training &amp; Development || UI/UX Design || Entrepreneurship Coaching || Entrepreneurship Coaching</t>
  </si>
  <si>
    <t>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Software &amp; IT Services</t>
  </si>
  <si>
    <t>Ashish Bhasin</t>
  </si>
  <si>
    <t xml:space="preserve">The Leela Ambience Gurugram Hotel &amp; Residences </t>
  </si>
  <si>
    <t>Summary&lt;/strong&gt;: Ashish Bhasin is an IHM Pusa, Delhi graduate with two years of advanced hotel management training from Taj Hotel Management Institute. With over 26 years of experience in management, business development, marketing, and team building, Ashish has cultivated a career rooted in progressive cuisine and financial management. He strongly believes that people are the most important resource for any organization.&amp;nbsp;&lt;/p&gt;&lt;p&gt;&lt;br&gt;&lt;/p&gt;Core Expertise&lt;/strong&gt;: Progressive Cuisine, Financial Management, Team Building, Business Development, Marketing&amp;nbsp;&lt;/p&gt;&lt;p&gt;&lt;br&gt;&lt;/p&gt;Problem-Solving Approach&lt;/strong&gt;: Ashish leverages his extensive management skills and culinary expertise to conceptualize and execute projects that align with new-age culinary evolution and the latest F&amp;amp;B trends. His practical approach and proven track record enable him to manage F&amp;amp;B operations in both normal and challenging circumstances, ensuring business profitability while enhancing guest satisfaction.&lt;/p&gt;&lt;p&gt;&lt;br&gt;&lt;/p&gt;Impactful Projects&lt;/strong&gt;: Throughout his career, Ashish has been involved in various high-profile projects, including the conceptualization and execution of innovative culinary programs. He has led kitchen modification initiatives at premier hotel properties, consistently meeting budgets while showcasing his project management abilities. His career includes significant roles at Taj Group of Hotels, Oberoi Group of Hotels, and The Leela Group.&lt;/p&gt;</t>
  </si>
  <si>
    <t>https://www.linkedin.com/in/chef-ashish-bhasin-25bbb25/</t>
  </si>
  <si>
    <t>chefashishbhasin@gmail.com</t>
  </si>
  <si>
    <t>Go to Market Strategy || Market access || Quality Assurance || Go to Market Strategy || Market access || Quality Assurance || Go to Market Strategy || Market access || Quality Assurance || Go to Market Strategy || Market access || Quality Assurance || Go to Market Strategy || Market access || Quality Assurance || Go to Market Strategy || Market access || Quality Assurance || Entrepreneurship Coaching</t>
  </si>
  <si>
    <t>Agriculture &amp; Food Processing || Agriculture &amp; Food Processing || Agriculture &amp; Food Processing || Services || Services || Services || Tourism &amp; Hospitality || Tourism &amp; Hospitality || Tourism &amp; Hospitality || Agriculture &amp; Food Processing || Agriculture &amp; Food Processing || Agriculture &amp; Food Processing || Services || Services || Services || Tourism &amp; Hospitality || Tourism &amp; Hospitality || Tourism &amp; Hospitality || Tourism &amp; Hospitality || Agritech &amp; Food Processing</t>
  </si>
  <si>
    <t>Ashish Kulkarni</t>
  </si>
  <si>
    <t>Adhyapan, PVK Tech</t>
  </si>
  <si>
    <t>Professional Summary:
Ashish Kulkarni is an experienced Information Technology and Cybersecurity leader with over 24 years of expertise in IT, Cybersecurity, and Privacy.
​
Current Position:
Senior Vice President and Global Business Unit Head - Security Verification Services (SVS) at Aujas Cybersecurity (June 2024 - Present)
​Leads a skilled team of more than 350 security professionals
Manages annual revenue of $20 million
Responsible for business development, service delivery, and strategic growth
Developing go-to-market strategies and innovative services
Career Highlights:
Vice President &amp; Practice Head TVM at Inspira Enterprise (March 2023 - June 2024)
​APAC Market Leader at EY (September 2021 - April 2023)
Global Presales Head - Security Assurance at Wipro Limited (August 2018 - September 2021)
Practice Leader - Cyber Security &amp; Risk Services at Wipro Limited (August 2018 - August 2021)
Information Security Officer at Syntel (April 2014 - July 2018)
Prior roles at Cybage and Infosys
Key Achievements:
Contributed to annual order booking of $60 million through strategic business development
Closed numerous deals exceeding $2 million
Pioneered development of new service lines including Mobile Security and Cloud Security Assessments
Led management of large-scale delivery programs with 400+ professionals
Core Expertise:
Cybersecurity strategy and transformation
Vulnerability Management and Risk Management
Cloud Security and API Security
Mobile Security Testing
Security Assurance Program (iSAP)
Threat Detection and Incident Response
Compliance (ISO 27001, GDPR, PCI-DSS, CIS Benchmarks)</t>
  </si>
  <si>
    <t>https://www.linkedin.com/in/ashish-kulkarni-75bab519b/</t>
  </si>
  <si>
    <t>Germany</t>
  </si>
  <si>
    <t>Berlin</t>
  </si>
  <si>
    <t>ashish@pvktechsolutions.in</t>
  </si>
  <si>
    <t>Data Analytics || Digital Marketing || Software Development || Tech Strategy &amp; Infrastructure || Technical Support || Data Analytics || Digital Marketing || Software Development || Tech Strategy &amp; Infrastructure || Technical Support || Data Analytics || Digital Marketing || Software Development || Tech Strategy &amp; Infrastructure || Technical Support || Data Analytics || Digital Marketing || Software Development || Tech Strategy &amp; Infrastructure || Technical Support || Data Analytics || Digital Marketing || Software Development || Tech Strategy &amp; Infrastructure || Technical Support || Data Analytics || Digital Marketing || Software Development || Tech Strategy &amp; Infrastructure || Technical Support || Data Analytics || Digital Marketing || Software Development || Tech Strategy &amp; Infrastructure || Technical Support || Data Analytics || Digital Marketing || Software Development || Tech Strategy &amp; Infrastructure || Technical Support || Entrepreneurship Coaching || Marketing &amp; Branding</t>
  </si>
  <si>
    <t>AI, Big Data &amp; Analytics || AI, Big Data &amp; Analytics || AI, Big Data &amp; Analytics || AI, Big Data &amp; Analytics || AI, Big Data &amp; Analytics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Technology &amp; Innovation || Technology &amp; Innovation || Technology &amp; Innovation || Technology &amp; Innovation || Technology &amp; Innovation || AI, Big Data &amp; Analytics || AI, Big Data &amp; Analytics || AI, Big Data &amp; Analytics || AI, Big Data &amp; Analytics || AI, Big Data &amp; Analytics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Technology &amp; Innovation || Technology &amp; Innovation || Technology &amp; Innovation || Technology &amp; Innovation || Technology &amp; Innovation || Education &amp; Training</t>
  </si>
  <si>
    <t>Ashish Mittal</t>
  </si>
  <si>
    <t>Chief Mentor and Investor</t>
  </si>
  <si>
    <t>TurningIdeas Ventures</t>
  </si>
  <si>
    <t>Summary&lt;/strong&gt;: Ashish Mittal is the Senior Vice President of Channels APAC at CAST, leading business development and strategy for Global System Integrators, Consulting Advisory, and Private Equity firms in the region. With 27 years of experience in technology, investment, and leadership roles, Ashish has a proven track record of identifying promising tech startups, executing due diligence, advising and executing growth strategies, and delivering value to drive profitable investment portfolios.&amp;nbsp;&lt;/p&gt;&lt;p&gt;&lt;br&gt;&lt;/p&gt;Core Expertise&lt;/strong&gt;: &lt;/p&gt;&lt;ul&gt;&lt;li&gt;GTM &lt;/li&gt;&lt;li&gt;Business Development&lt;/li&gt;&lt;li&gt;Strategy &lt;/li&gt;&lt;li&gt;Technology &lt;/li&gt;&lt;li&gt;Investment&lt;/li&gt;&lt;li&gt;Leadership&amp;nbsp;&lt;/li&gt;&lt;/ul&gt;&lt;p&gt;&lt;br&gt;&lt;/p&gt;Problem-Solving Approach&lt;/strong&gt;: Ashish leverages his extensive experience with industry leaders such as Google, Microsoft, Oracle, and IBM Research to identify and scale new lines of business, lead innovation projects, and manage global teams.&lt;/p&gt;&lt;p&gt;&lt;br&gt;&lt;/p&gt;Impactful Projects&lt;/strong&gt;: At TurningIdeas Ventures, Ashish serves as Chief Mentor and Investor, supporting early-stage startups to scale by providing consulting services. He has advised over 100 ventures across various domains and geographies, and has been involved in three successful exits.&lt;/p&gt;</t>
  </si>
  <si>
    <t>https://in.linkedin.com/in/mittalashish</t>
  </si>
  <si>
    <t>ashish@turningideas.com</t>
  </si>
  <si>
    <t>Expert Assesment : 4500/hr</t>
  </si>
  <si>
    <t>Business Model Development || Fundraising || Go to Market Strategy || Tech Strategy &amp; Infrastructure || Business Model Development || Fundraising || Go to Market Strategy || Tech Strategy &amp; Infrastructure || Business Model Development || Fundraising || Go to Market Strategy || Tech Strategy &amp; Infrastructure || Entrepreneurship Coaching || Business Model Development</t>
  </si>
  <si>
    <t>Education &amp; Training || Education &amp; Training || Education &amp; Training || Education &amp; Training || FinTech || FinTech || FinTech || FinTech || Pharmaceuticals, Healthcare and Wellness || Pharmaceuticals, Healthcare and Wellness || Pharmaceuticals, Healthcare and Wellness || Pharmaceuticals, Healthcare and Wellness || Software &amp; IT Services</t>
  </si>
  <si>
    <t>Pradeep Malu</t>
  </si>
  <si>
    <t>Visiting Faculty of ESG</t>
  </si>
  <si>
    <t>BSE Institute Ltd</t>
  </si>
  <si>
    <t>Summary&lt;/strong&gt;&lt;/p&gt;&lt;p&gt;Mr. Pradeep is an experienced professional with a strong background in ESG advisory and corporate governance. He also brings extensive experience as an entrepreneur, innovator, and investor.&lt;/p&gt;&lt;p&gt;&lt;br&gt;&lt;/p&gt;Key Areas of Expertise&lt;/strong&gt;&lt;/p&gt;&lt;ul&gt;&lt;li&gt;ESG (Environment, Social &amp;amp; Governance) Advisory&lt;/li&gt;&lt;li&gt;Corporate Governance&lt;/li&gt;&lt;li&gt;Startup Mentoring&lt;/li&gt;&lt;li&gt;Business Strategy&lt;/li&gt;&lt;/ul&gt;&lt;p&gt;&lt;br&gt;&lt;/p&gt;Strategic Contributions&lt;/strong&gt;&lt;/p&gt;&lt;p&gt;Mr. Pradeep serves as a member of various mentor networks and advisory boards, including NITI Aayog, IIM Kashipur, Bala Vikas International Center, Startup India, and Atal Incubation Centre. He specializes in business strategies and ESG factors.&lt;/p&gt;&lt;p&gt;&lt;br&gt;&lt;/p&gt;Mentorship Philosophy&lt;/strong&gt;&lt;/p&gt;&lt;p&gt;Actively engaged as a Mentor of Change, Mr. Pradeep is a dedicated member of mentor networks, contributing to the growth and development of startups and entrepreneurial ventures.&lt;/p&gt;</t>
  </si>
  <si>
    <t>https://www.linkedin.com/in/pradeepmalu/</t>
  </si>
  <si>
    <t>pradeepmalu@gmail.com</t>
  </si>
  <si>
    <t>98200 64665</t>
  </si>
  <si>
    <t>ESG &amp; Sustainability Strategy</t>
  </si>
  <si>
    <t>Go to Market Strategy || Growth Strategy Formulation || Market access || Market research || Product Development || Sales Strategy || Go to Market Strategy || Growth Strategy Formulation || Market access || Market research || Product Development || Sales Strategy || Go to Market Strategy || Growth Strategy Formulation || Market access || Market research || Product Development || Sales Strategy || Go to Market Strategy || Growth Strategy Formulation || Market access || Market research || Product Development || Sales Strategy || Go to Market Strategy || Growth Strategy Formulation || Market access || Market research || Product Development || Sales Strategy || Go to Market Strategy || Growth Strategy Formulation || Market access || Market research || Product Development || Sales Strategy || ESG Strategy || Legal and Compliance</t>
  </si>
  <si>
    <t>Automobiles &amp; Auto Components || Automobiles &amp; Auto Components || Automobiles &amp; Auto Components || Automobiles &amp; Auto Components || Automobiles &amp; Auto Components || Automobiles &amp; Auto Components || FinTech || FinTech || FinTech || FinTech || FinTech || FinTech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Transportation &amp; Logistics || Transportation &amp; Logistics || Transportation &amp; Logistics || Transportation &amp; Logistics || Transportation &amp; Logistics || Transportation &amp; Logistics || Environment, Sustainability &amp; Governance (ESG)</t>
  </si>
  <si>
    <t>Ashok Tankala</t>
  </si>
  <si>
    <t>Technology Advisor</t>
  </si>
  <si>
    <t>Summary&lt;/strong&gt;: Ashok Tankala is a leadership and executive coach and a freelance CTO with 16+ years of experience in the software industry. He is dedicated to helping individuals and organizations achieve their goals and vision.&amp;nbsp;&lt;/p&gt;&lt;p&gt;&lt;br&gt;&lt;/p&gt;Core Expertise&lt;/strong&gt;: Leadership Coaching, Executive Coaching, Software Development, Team Building&amp;nbsp;&lt;/p&gt;&lt;p&gt;&lt;br&gt;&lt;/p&gt;Problem-Solving Approach&lt;/strong&gt;: Ashok uses his extensive experience to guide aspiring and emerging leaders in gaining clarity and realizing their best potential. His approach focuses on breaking limiting beliefs and identifying strengths and values to align actions with a unique definition of success.&lt;/p&gt;&lt;p&gt;&lt;br&gt;&lt;/p&gt;Impactful Projects&lt;/strong&gt;: Ashok has a proven track record of building and leading multiple teams and branches. As a founding team member at a unicorn company(Car Dekho), he possesses the skills and insights to help navigate the challenges and opportunities in the tech sector.&lt;/p&gt;</t>
  </si>
  <si>
    <t>https://www.linkedin.com/in/ashoktankala/</t>
  </si>
  <si>
    <t>ashok@bavanti.com</t>
  </si>
  <si>
    <t>Product Development || Product Development || Product Development || Product Development || Product Development || Product Development || IT Consulting || Software Development</t>
  </si>
  <si>
    <t>AI, Big Data &amp; Analytics || Education &amp; Training || Retail &amp; e-Commerce || AI, Big Data &amp; Analytics || Education &amp; Training || Retail &amp; e-Commerce || Software &amp; IT Services</t>
  </si>
  <si>
    <t>Ashutosh Khandkar</t>
  </si>
  <si>
    <t>Director, Marketing and Business Development</t>
  </si>
  <si>
    <t>AGSA SPRINGS PVT LTD</t>
  </si>
  <si>
    <t>Summary: &lt;/strong&gt;&lt;/p&gt;&lt;p&gt;Mr. Ashutosh is a seasoned entrepreneur with over 20 years of experience across Operations, Product Management Development, Business Development, and HRM. Holding an MBA, he specializes in Product Management Development, Process Optimization, and Brand Building. Passionate about Go-To-Market Strategies, Market Research, and achieving Product Management-Market Fit, he is also dedicated to Team Building and Upskilling. Mr. Ashutosh enjoys interacting with both budding entrepreneurs and experienced professionals to share knowledge and insights. His expertise extends to Marketing Strategy, Branding, and Business Strategy, making him a valuable resource for those looking to grow and innovate in their respective fields.&lt;/p&gt;&lt;p&gt;&lt;br&gt;&lt;/p&gt;Core Expertise: &lt;/strong&gt;&lt;/p&gt;&lt;ul&gt;&lt;li&gt;Product Management Development&lt;/li&gt;&lt;li&gt;Process Optimization&lt;/li&gt;&lt;li&gt;Brand Building&lt;/li&gt;&lt;li&gt;GTM Strategies&lt;/li&gt;&lt;li&gt;Market Research&lt;/li&gt;&lt;li&gt;Product Management Market Fit&lt;/li&gt;&lt;li&gt;Team Building&lt;/li&gt;&lt;li&gt;Upskilling.&lt;/li&gt;&lt;/ul&gt;&lt;p&gt;&lt;br&gt;&lt;/p&gt;Problem Solving Approach&lt;/strong&gt;&lt;/p&gt;&lt;p&gt;Focuses on optimizing processes, developing effective Product Management strategies, and building strong brands through comprehensive market research and understanding of Product Management-market fit dynamics.&lt;/p&gt;&lt;p&gt;&lt;br&gt;&lt;/p&gt;Consulting Style&lt;/strong&gt;:&lt;/p&gt;&lt;p&gt;Engages in interaction and knowledge sharing with budding entrepreneurs and seasoned professionals, offering insights and expertise in Product Management development, process optimization, branding, GTM strategies, market research, and team building.&lt;/p&gt;</t>
  </si>
  <si>
    <t>https://www.linkedin.com/in/ashutoshkhandkar/</t>
  </si>
  <si>
    <t>aksbizconsultants@gmail.com</t>
  </si>
  <si>
    <t>Branding || Budgeting &amp; Financial Modeling || Business Model Development || Customer Service &amp; Retention || Data Reporting || Digital Marketing || ESG Strategy || Fundraising || Go to Market Strategy || Growth Strategy Formulation || Organizational Development || Pricing Strategy || Product Development || Sales Strategy || Social Media Marketing || Strategic Planning || Talent Acquisition || Training &amp; Development || Branding || Budgeting &amp; Financial Modeling || Business Model Development || Customer Service &amp; Retention || Data Reporting || Digital Marketing || ESG Strategy || Fundraising || Go to Market Strategy || Growth Strategy Formulation || Organizational Development || Pricing Strategy || Product Development || Sales Strategy || Social Media Marketing || Strategic Planning || Talent Acquisition || Training &amp; Development || Branding || Budgeting &amp; Financial Modeling || Business Model Development || Customer Service &amp; Retention || Data Reporting || Digital Marketing || ESG Strategy || Fundraising || Go to Market Strategy || Growth Strategy Formulation || Organizational Development || Pricing Strategy || Product Development || Sales Strategy || Social Media Marketing || Strategic Planning || Talent Acquisition || Training &amp; Development || Branding || Budgeting &amp; Financial Modeling || Business Model Development || Customer Service &amp; Retention || Data Reporting || Digital Marketing || ESG Strategy || Fundraising || Go to Market Strategy || Growth Strategy Formulation || Organizational Development || Pricing Strategy || Product Development || Sales Strategy || Social Media Marketing || Strategic Planning || Talent Acquisition || Training &amp; Development || Marketing &amp; Branding || Product Management Management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</si>
  <si>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Manufacturing</t>
  </si>
  <si>
    <t>Ashutosh Tewari</t>
  </si>
  <si>
    <t xml:space="preserve">AT Advisory Services </t>
  </si>
  <si>
    <t>Summary&lt;/strong&gt;&lt;/p&gt;&lt;p&gt;Ashutosh Tewari is a mid-management professional with over 17 years of experience in IT Services, Management Consulting, and Supply Chain Industries. He has worked across various sectors such as Telecommunications, Real Estate, Aviation, and Higher Education, taking on challenging assignments in India, South-East Asia, and the Middle East. Ashutosh enjoys mentoring early-stage SaaS companies and is a certified Behaviour and Mentoring Analyst.&lt;/p&gt;&lt;p&gt;&lt;br&gt;&lt;/p&gt;Key Areas of Expertise&lt;/strong&gt;&lt;/p&gt;&lt;ul&gt;&lt;li&gt;Strategic Sourcing and Procurement&lt;/li&gt;&lt;li&gt;eSourcing&lt;/li&gt;&lt;li&gt;Vendor Management&lt;/li&gt;&lt;li&gt;Low-Cost Country Sourcing&lt;/li&gt;&lt;li&gt;Consulting&lt;/li&gt;&lt;li&gt;Project and People Management&lt;/li&gt;&lt;li&gt;Adoption and Change Management&lt;/li&gt;&lt;li&gt;Entrepreneurship&lt;/li&gt;&lt;li&gt;Design Thinking&lt;/li&gt;&lt;li&gt;Social Entrepreneurship&lt;/li&gt;&lt;/ul&gt;&lt;p&gt;&lt;br&gt;&lt;/p&gt;Strategic Contributions&lt;/strong&gt;&lt;/p&gt;&lt;ul&gt;&lt;li&gt;Mentoring early-stage SaaS companies in shaping their MVP, value proposition, and Go-To-Market strategy&lt;/li&gt;&lt;li&gt;Providing strategic guidance in various industries including Telecommunications, Real Estate, Aviation, and Higher Education&lt;/li&gt;&lt;/ul&gt;&lt;p&gt;&lt;br&gt;&lt;/p&gt;Mentorship Philosophy&lt;/strong&gt;&lt;/p&gt;&lt;p&gt;Enjoys working with individuals and organizations to understand and overcome their business challenges, and drive value to stakeholders.&lt;/p&gt;</t>
  </si>
  <si>
    <t>https://www.linkedin.com/in/ashutoshtewari/</t>
  </si>
  <si>
    <t>Visakhapatnam</t>
  </si>
  <si>
    <t>ashutosht.research@gmail.com</t>
  </si>
  <si>
    <t>Business Model Development || Customer Service &amp; Retention || Data Analytics || Go to Market Strategy || International Market Analysis || Market research || Marketing || Organizational Development || Pitch coaching || Prototyping &amp; Testing || Public speaking || Supply Chain Management || Technical Support || Business Model Development || Customer Service &amp; Retention || Data Analytics || Go to Market Strategy || International Market Analysis || Market research || Marketing || Organizational Development || Pitch coaching || Prototyping &amp; Testing || Public speaking || Supply Chain Management || Technical Support || Business Model Development || Customer Service &amp; Retention || Data Analytics || Go to Market Strategy || International Market Analysis || Market research || Marketing || Organizational Development || Pitch coaching || Prototyping &amp; Testing || Public speaking || Supply Chain Management || Technical Support || Business Model Development || Customer Service &amp; Retention || Data Analytics || Go to Market Strategy || International Market Analysis || Market research || Marketing || Organizational Development || Pitch coaching || Prototyping &amp; Testing || Public speaking || Supply Chain Management || Technical Support || Business Model Development || Customer Service &amp; Retention || Data Analytics || Go to Market Strategy || International Market Analysis || Market research || Marketing || Organizational Development || Pitch coaching || Prototyping &amp; Testing || Public speaking || Supply Chain Management || Technical Support || Business Model Development || Customer Service &amp; Retention || Data Analytics || Go to Market Strategy || International Market Analysis || Market research || Marketing || Organizational Development || Pitch coaching || Prototyping &amp; Testing || Public speaking || Supply Chain Management || Technical Support || Entrepreneurship Coaching || Product Management Management</t>
  </si>
  <si>
    <t>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Telecommunications || Telecommunications || Telecommunications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Software &amp; IT Services</t>
  </si>
  <si>
    <t>Ashwin kumar Palo</t>
  </si>
  <si>
    <t>AVP Data Analytics</t>
  </si>
  <si>
    <t>HSBC</t>
  </si>
  <si>
    <t>Summary:&lt;/strong&gt;&lt;/p&gt;&lt;p&gt;Ashwin is a seasoned professional with over 12 years of experience in digital marketing, strategy, Product Management management, and data science. As an AVP of Business Consulting at HSBC, he specializes in leveraging data science, performance marketing, and customer experience to drive growth and innovation within the bank’s digital media analytics and media optimization solutions.&lt;/p&gt;&lt;p&gt;&lt;br&gt;&lt;/p&gt;Core Expertise:&lt;/strong&gt;&lt;/p&gt;&lt;p&gt;Ashwin's expertise spans across industries such as e-commerce, SaaS, real estate, and technology. He excels in customer acquisition, mobile app journeys, NPS, Product Management flows, and cross-functional collaboration. His skill set includes funnel optimization, paid advertising (Google Ads, SEM, Native Advertising Platforms, Social Media Marketing, Meta Ads, Ad Networks), affiliate partnerships, ad fraud management, App Store Optimization (ASO), and Search Engine Optimization (SEO).&lt;/p&gt;&lt;p&gt;&lt;br&gt;&lt;/p&gt;Problem-Solving Approach:&lt;/strong&gt;&lt;/p&gt;&lt;p&gt;Ashwin’s problem-solving methodology focuses on leveraging data-driven insights and cutting-edge technologies to address business challenges related to customer journeys and marketing investments. He thrives on collaborating with cross-functional teams to implement successful marketing initiatives that align with strategic business goals.&lt;/p&gt;&lt;p&gt;&lt;br&gt;&lt;/p&gt;Impactful Projects:&lt;/strong&gt;&lt;/p&gt;&lt;p&gt;At HSBC, Ashwin has built and operationalized a multi-touch attribution platform, developed a GPT-3 algorithm for marketing activities, and analyzed user behavior within the bank’s ecosystem. He has also devised data science models for forecasting trends, testing hypotheses, and measuring outcomes, significantly contributing to the bank’s growth and customer journey enhancements.&lt;/p&gt;&lt;p&gt;&lt;br&gt;&lt;/p&gt;Consultation Style:&lt;/strong&gt;&lt;/p&gt;&lt;p&gt;Ashwin’s consultation style is rooted in strategic collaboration and a deep understanding of market trends. He helps local markets strategize go-to-market (GTM) plans for new Product Management versions and is passionate about creating software Product Managements that harness the power of data and technology to fuel growth. Ashwin is committed to continuous learning and is always eager to explore new skills, tools, and methodologies to solve complex problems and deliver value to his clients and stakeholders.&lt;/p&gt;</t>
  </si>
  <si>
    <t>https://www.linkedin.com/in/ashwin-palo-55a6a123</t>
  </si>
  <si>
    <t>aswinikumarpalo@gmail.com</t>
  </si>
  <si>
    <t>Customer Experience Optimization || Digital Marketing || Customer Experience Optimization || Digital Marketing || Customer Experience Optimization || Digital Marketing || Customer Experience Optimization || Digital Marketing || Customer Experience Optimization || Digital Marketing || Customer Experience Optimization || Digital Marketing || Customer Experience Optimization || Digital Marketing || Customer Experience Optimization || Digital Marketing || Data Analytics || Digital Marketing</t>
  </si>
  <si>
    <t>Banking &amp; Financial Services || Banking &amp; Financial Services || Real Estate &amp; Construction || Real Estate &amp; Construction || Retail &amp; e-Commerce || Retail &amp; e-Commerce || Technology &amp; Innovation || Technology &amp; Innovation || Banking &amp; Financial Services || Banking &amp; Financial Services || Real Estate &amp; Construction || Real Estate &amp; Construction || Retail &amp; e-Commerce || Retail &amp; e-Commerce || Technology &amp; Innovation || Technology &amp; Innovation || Fintech, Banking, Financial Services</t>
  </si>
  <si>
    <t>Atishay Kumar</t>
  </si>
  <si>
    <t>Advisor (Technology and Product Management)</t>
  </si>
  <si>
    <t>Summary&lt;/strong&gt;: Atishay is an award-winning executive technical leader with 15 years of experience in the tech industry. Key highlights of his career include six years at Microsoft in Redmond, WA, building features for Windows and Outlook, followed by five years as the founding member, CTO, and CPO of a fintech startup where he built the tech platform from scratch and grew the company to 200M USD in revenue.&lt;/p&gt;&lt;p&gt;&lt;br&gt;&lt;/p&gt;Core Expertise&lt;/strong&gt;: Tech Platform Development, Fintech, Product Management Management, Executive Leadership&lt;/p&gt;&lt;p&gt;&lt;br&gt;&lt;/p&gt;Problem-Solving Approach&lt;/strong&gt;: Atishay enjoys building scalable, robust solutions to achieve business goals and possesses a strong ability to learn and adapt to new challenges. His approach is centered on understanding the core needs of the business and aligning technology to meet those needs efficiently and effectively.&amp;nbsp;&lt;/p&gt;&lt;p&gt;&lt;br&gt;&lt;/p&gt;Impactful Projects&lt;/strong&gt;: At Microsoft, Atishay contributed to the development of key features for Windows and Outlook, impacting millions of users worldwide. As the founding member, CTO, and CPO of a fintech startup, he built the tech platform from scratch and drove the company's growth from zero to 200M USD in revenue.&lt;/p&gt;</t>
  </si>
  <si>
    <t>https://www.linkedin.com/in/atishaykumar/</t>
  </si>
  <si>
    <t>atishay.kumar@gmail.com</t>
  </si>
  <si>
    <t>Product Development || Tech Strategy &amp; Infrastructure || UI/UX Design || Product Development || Tech Strategy &amp; Infrastructure || UI/UX Design || Product Development || Tech Strategy &amp; Infrastructure || UI/UX Design || Product Development || Tech Strategy &amp; Infrastructure || UI/UX Design || Product Development || Tech Strategy &amp; Infrastructure || UI/UX Design || Product Development || Tech Strategy &amp; Infrastructure || UI/UX Design || Product Development || Tech Strategy &amp; Infrastructure || UI/UX Design || Product Development || Tech Strategy &amp; Infrastructure || UI/UX Design || Product Management || Software Development</t>
  </si>
  <si>
    <t>Consumer Products || Consumer Products || Consumer Products || Fashion &amp; Beauty || Fashion &amp; Beauty || Fashion &amp; Beauty || FinTech || FinTech || FinTech || Technology &amp; Innovation || Technology &amp; Innovation || Technology &amp; Innovation || Consumer Products || Consumer Products || Consumer Products || Fashion &amp; Beauty || Fashion &amp; Beauty || Fashion &amp; Beauty || FinTech || FinTech || FinTech || Technology &amp; Innovation || Technology &amp; Innovation || Technology &amp; Innovation || Software &amp; IT Services</t>
  </si>
  <si>
    <t>Pradeep Gidwani</t>
  </si>
  <si>
    <t>Business Mentor. Leadership Coach</t>
  </si>
  <si>
    <t>Summary:&lt;/strong&gt;&amp;nbsp;Pradeep is a seasoned Business Mentor and entrepreneur with a proven track record in setting up and scaling beverage companies. His mantra, "Clear vision + differentiated strategy + execution with passion &amp;amp; energy = great chance of success," reflects his approach to achieving business success. As an investor, Pradeep has pioneered the concept of beer cafes and currently works with entrepreneurs across various business sectors. Known for his expertise in the luxury space, Pradeep has been recognized as one of India's hottest young CEOs by Business Today in 2002. His leadership experience includes captaining large multinational corporations from the age of 35.&lt;/p&gt;&lt;p&gt;&lt;br&gt;&lt;/p&gt;Core Expertise&lt;/strong&gt;:&lt;/p&gt;&lt;ul&gt;&lt;li&gt;&lt;strong&gt;Entrepreneurship&lt;/strong&gt;: Founded and scaled five beverage companies, including handling manufacturing and distribution.&lt;/li&gt;&lt;li&gt;&lt;strong&gt;Investment and Innovation&lt;/strong&gt;: Conceptualized and created the beer cafe concept, showcasing his innovative approach to investment.&lt;/li&gt;&lt;li&gt;&lt;strong&gt;Luxury Sector&lt;/strong&gt;: Specializes in the luxury space, providing mentorship and strategic guidance in this niche.&lt;/li&gt;&lt;li&gt;&lt;strong&gt;Leadership&lt;/strong&gt;: Extensive experience leading multinational corporations, demonstrating his capability in high-level management and strategic direction.&lt;/li&gt;&lt;/ul&gt;&lt;p&gt;&lt;br&gt;&lt;/p&gt;Problem-Solving Approach&lt;/strong&gt;: Pradeep’s approach to problem-solving is centered around:&lt;/p&gt;&lt;ul&gt;&lt;li&gt;&lt;strong&gt;Vision and Strategy&lt;/strong&gt;: Emphasizing the importance of a clear vision and differentiated strategy to stand out in competitive markets.&lt;/li&gt;&lt;li&gt;&lt;strong&gt;Passionate Execution&lt;/strong&gt;: Leveraging passion and energy in executing strategies to drive success and overcome challenges.&lt;/li&gt;&lt;li&gt;&lt;strong&gt;Hands-On Experience&lt;/strong&gt;: Utilizing his entrepreneurial background to offer practical solutions and guidance to businesses.&lt;/li&gt;&lt;li&gt;&lt;strong&gt;Innovation and Investment&lt;/strong&gt;: Applying his experience in pioneering new concepts, such as beer cafes, to guide and support innovative ventures.&lt;/li&gt;&lt;li&gt;&lt;strong&gt;Luxury Expertise&lt;/strong&gt;: Drawing on his specialization in the luxury sector to provide targeted advice and strategies for high-end markets.&lt;/li&gt;&lt;/ul&gt;&lt;p&gt;&lt;br&gt;&lt;/p&gt;Impactful Projects&lt;/strong&gt;:&lt;/p&gt;&lt;ul&gt;&lt;li&gt;&lt;strong&gt;Beverage Companies&lt;/strong&gt;: Successfully set up and scaled five beverage companies, covering all aspects from manufacturing to distribution.&lt;/li&gt;&lt;li&gt;&lt;strong&gt;Beer Cafes&lt;/strong&gt;: Created and launched the concept of beer cafes, influencing the beverage and hospitality industry.&lt;/li&gt;&lt;li&gt;&lt;strong&gt;Luxury Space&lt;/strong&gt;: Established himself as an expert in the luxury sector, mentoring and advising businesses in this niche.&lt;/li&gt;&lt;li&gt;&lt;strong&gt;Leadership in MNCs&lt;/strong&gt;: Led large multinational corporations from the age of 35, demonstrating his strategic and operational expertise.&lt;/li&gt;&lt;li&gt;&lt;strong&gt;Media Recognition&lt;/strong&gt;: Featured on the front cover of Business Today in 2002 as one of India's hottest young CEOs.&lt;/li&gt;&lt;/ul&gt;&lt;p&gt;&lt;br&gt;&lt;/p&gt;Consultation Style&lt;/strong&gt;: Pradeep’s consultation style is:&lt;/p&gt;&lt;ul&gt;&lt;li&gt;&lt;strong&gt;Visionary and Strategic&lt;/strong&gt;: Focused on helping clients develop a clear vision and differentiated strategy to achieve success.&lt;/li&gt;&lt;li&gt;&lt;strong&gt;Energetic and Passionate&lt;/strong&gt;: Approaches mentoring with enthusiasm and energy, inspiring clients to execute their plans effectively.&lt;/li&gt;&lt;li&gt;&lt;strong&gt;Hands-On Support&lt;/strong&gt;: Provides practical, experience-based guidance, drawing from his entrepreneurial and leadership background.&lt;/li&gt;&lt;li&gt;&lt;strong&gt;Innovative Guidance&lt;/strong&gt;: Offers insights based on his experience with pioneering new concepts and investing in emerging ideas.&lt;/li&gt;&lt;li&gt;&lt;strong&gt;Luxury Sector Expertise&lt;/strong&gt;: Delivers targeted advice for businesses operating in the luxury space, leveraging his specialized knowledge.&lt;/li&gt;&lt;/ul&gt;&lt;p&gt;&lt;br&gt;&lt;/p&gt;&lt;p&gt;Pradeep’s combination of entrepreneurial experience, innovative investment, and expertise in the luxury sector makes him a valuable mentor for businesses aiming to achieve significant growth and success.&lt;/p&gt;</t>
  </si>
  <si>
    <t>https://www.linkedin.com/in/pradeepgidwani/</t>
  </si>
  <si>
    <t>pradeepgidwani@gmail.com</t>
  </si>
  <si>
    <t>Angel Investing || Fundraising || Go to Market Strategy || Growth Strategy Formulation || Angel Investing || Fundraising || Go to Market Strategy || Growth Strategy Formulation || Angel Investing || Fundraising || Go to Market Strategy || Growth Strategy Formulation || Angel Investing || Fundraising || Go to Market Strategy || Growth Strategy Formulation || Angel Investing || Fundraising || Go to Market Strategy || Growth Strategy Formulation || Angel Investing || Fundraising || Go to Market Strategy || Growth Strategy Formulation || Entrepreneurship Coaching || Leadership Coaching</t>
  </si>
  <si>
    <t>Agriculture &amp; Food Processing || Agriculture &amp; Food Processing || Agriculture &amp; Food Processing || Agriculture &amp; Food Processing || Retail &amp; e-Commerce || Retail &amp; e-Commerce || Retail &amp; e-Commerce || Retail &amp; e-Commerce || Tourism &amp; Hospitality || Tourism &amp; Hospitality || Tourism &amp; Hospitality || Tourism &amp; Hospitality || Agriculture &amp; Food Processing || Agriculture &amp; Food Processing || Agriculture &amp; Food Processing || Agriculture &amp; Food Processing || Retail &amp; e-Commerce || Retail &amp; e-Commerce || Retail &amp; e-Commerce || Retail &amp; e-Commerce || Tourism &amp; Hospitality || Tourism &amp; Hospitality || Tourism &amp; Hospitality || Tourism &amp; Hospitality || Agritech &amp; Food Processing</t>
  </si>
  <si>
    <t>Avinash Mandelia</t>
  </si>
  <si>
    <t>Startup Whisperer | Director</t>
  </si>
  <si>
    <t>Summary:&lt;/strong&gt; Avinash, is a seasoned business and financial strategist with over three decades of experience. He has a diverse background that spans coding, cinema (Film Making), design, and automotive innovation. His entrepreneurial spirit drives his ability to identify and nurture groundbreaking startups, making him a sought-after mentor and guide.&lt;/p&gt;&lt;p&gt;&lt;br&gt;&lt;/p&gt;Core Expertise:&lt;/strong&gt; Avinash specializes in startup growth strategies, investor relations, and strategic partnerships. His expertise lies in identifying disruptive opportunities across various industries and helping startups achieve stratospheric growth. He is also well-versed in mentoring and guiding both startups and OEMs toward visionary partnerships.&lt;/p&gt;&lt;p&gt;&lt;br&gt;&lt;/p&gt;Problem-Solving Approach:&lt;/strong&gt; Avinash uses a holistic approach to problem-solving, combining his deep business acumen with financial expertise. He tailors his strategies to meet the specific needs of each venture, focusing on unlocking potential through strategic planning, innovation, and collaborative partnerships. His method is grounded in practical execution, ensuring that visions are not only realized but also sustained.&lt;/p&gt;&lt;p&gt;&lt;br&gt;&lt;/p&gt;Impactful Projects:&lt;/strong&gt; At Marwar Mentors Private Limited, Avinash has led his team in pairing innovative startups with top-tier investors, resulting in significant growth and success. His work has propelled numerous startups to new heights, solidifying their place in the market and ensuring their long-term success. His track record speaks to his ability to turn dreams into reality, making a lasting impact on the ventures he supports.&lt;/p&gt;&lt;p&gt;&lt;br&gt;&lt;/p&gt;Consultation Style:&lt;/strong&gt; Avinash is highly collaborative and works closely with his clients to understand their unique challenges and goals. He offers tailored guidance that aligns with their vision, empowering them to achieve their full potential. His consultation style is hands-on, ensuring that every step of the journey is supported by his vast experience and expertise.&lt;/p&gt;</t>
  </si>
  <si>
    <t>https://www.linkedin.com/in/avinashmandelia/</t>
  </si>
  <si>
    <t>avinash@marwarmentors.in
avinash@marwarmentors.in (Mentor)</t>
  </si>
  <si>
    <t>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Angel Investing || Export || Fundraising || Go to Market Strategy || Growth Strategy Formulation || Market research || Marketing || Process Optimization || Strategic Planning || Supply Chain Management || Business Finance || Business Model Development</t>
  </si>
  <si>
    <t>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Fashion &amp; Beauty || Fashion &amp; Beauty || Fashion &amp; Beauty || Fashion &amp; Beauty || Fashion &amp; Beauty || Fashion &amp; Beauty || Fashion &amp; Beauty || Fashion &amp; Beauty || Fashion &amp; Beauty || Fashion &amp; Beauty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Fashion &amp; Beauty || Fashion &amp; Beauty || Fashion &amp; Beauty || Fashion &amp; Beauty || Fashion &amp; Beauty || Fashion &amp; Beauty || Fashion &amp; Beauty || Fashion &amp; Beauty || Fashion &amp; Beauty || Fashion &amp; Beauty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Fashion &amp; Beauty || Fashion &amp; Beauty || Fashion &amp; Beauty || Fashion &amp; Beauty || Fashion &amp; Beauty || Fashion &amp; Beauty || Fashion &amp; Beauty || Fashion &amp; Beauty || Fashion &amp; Beauty || Fashion &amp; Beauty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Automotive &amp; Auto Components</t>
  </si>
  <si>
    <t>Mohanakrishnan P</t>
  </si>
  <si>
    <t>Managing Partner</t>
  </si>
  <si>
    <t>Capital Architects</t>
  </si>
  <si>
    <t>Summary: Mohanakrishnan is a seasoned business leader, startup advisor, and advocate for technology-driven impact, with extensive expertise in growth leadership, strategy formulation, and Artificial Intelligence (AI) product development. He has played pivotal roles in driving innovation, particularly in AI, having set up India's first Data Science &amp; AI Centre of Excellence at NASSCOM and spearheading the development of AI products at Wipro. Currently, as the Co-founder and Chief Growth Officer at 82Volt, he is at the forefront of sustainable mobility solutions. Core Expertise: Growth Leadership &amp; Strategy Formulation AI Product Management Change Management Data Science &amp; AI Implementation Public-Private Partnerships Startup Mentoring &amp; Business Development Sustainable Mobility Solutions Problem-Solving Approach: Mohanakrishnan's approach is rooted in deep collaboration and a strategic mindset. He leverages his vast experience in AI and innovation to help startups make informed decisions, avoid common pitfalls, and scale sustainably. His focus on data-driven insights, strategic partnerships, and operational efficiency ensures that startups thrive in a competitive landscape. Impactful Projects: 82Volt: Co-founded and leads the growth of 82Volt, advancing sustainable mobility solutions for enterprises. Wipro Holmes: Led Product Strategy and Innovation at Wipro’s AI platform, Holmes, driving AI-driven automation and digital transformation across sectors such as Life Sciences and Retail. NASSCOM CoE: Established India's first Data Science &amp; AI Centre of Excellence, empowering governments and industries to harness AI for societal good, promoting citizen-centric services, and advancing data-driven governance. AI for Trust &amp; Fairness: Developed Holmes' 'Trustworthy AI' framework, ensuring explainability and fairness in AI-based decision-making. Consultation Style: Mohanakrishnan fosters a two-way learning environment, where he shares his vast experience while also staying attuned to the latest challenges and ideas from founders. His advisory approach is hands-on, focusing on empowering entrepreneurs to innovate, scale, and build sustainable businesses through strategic advice and mentorship. He combines his leadership in both public and private sectors with a passion for mentoring startups, ensuring a mutually enriching engagement.</t>
  </si>
  <si>
    <t>https://www.linkedin.com/in/mohanakrishnanp</t>
  </si>
  <si>
    <t>mohan@capitalarchitects.in</t>
  </si>
  <si>
    <t>Growth Strategy Formulation || Product Development || Growth Strategy Formulation || Product Development || Growth Strategy Formulation || Product Development || Growth Strategy Formulation || Product Development || Growth Strategy Formulation || Product Development || Growth Strategy Formulation || Product Development || Growth Strategy Formulation || Product Development</t>
  </si>
  <si>
    <t>AI, Big Data &amp; Analytics || AI, Big Data &amp; Analytics || CleanTech || CleanTech || Pharmaceuticals, Healthcare and Wellness || Pharmaceuticals, Healthcare and Wellness || AI, Big Data &amp; Analytics || AI, Big Data &amp; Analytics || CleanTech || CleanTech || Pharmaceuticals, Healthcare and Wellness || Pharmaceuticals, Healthcare and Wellness || CleanTech || Software and IT Services</t>
  </si>
  <si>
    <t>Balamurali Bhaskaran</t>
  </si>
  <si>
    <t>Senior Venture Coach</t>
  </si>
  <si>
    <t>GITAM Deemed University</t>
  </si>
  <si>
    <t>&lt;p class="ql-align-justify"&gt;&lt;strong&gt;PROFESSIONAL SUMMARY&lt;/strong&gt;&lt;/p&gt;&lt;p class="ql-align-justify"&gt;&lt;strong&gt;Seasoned Entrepreneur Educator and Startup Coach with over a decade of experience in nurturing student startups, designing entrepreneurship curricula, and building innovation ecosystems. Proven track record in launching successful startups, securing grants, and guiding teams to international programs. &lt;/strong&gt;&lt;/p&gt;&lt;p class="ql-align-justify"&gt;&lt;strong&gt;KEY SKILLS&lt;/strong&gt;&lt;/p&gt;&lt;ul&gt;&lt;li class="ql-align-justify"&gt;Curriculum Design &amp;amp; Development&lt;/li&gt;&lt;li class="ql-align-justify"&gt;Entrepreneurship Education&lt;/li&gt;&lt;li class="ql-align-justify"&gt;Startup Mentoring &amp;amp; Incubation&lt;/li&gt;&lt;li class="ql-align-justify"&gt;Innovation Ecosystem Building&lt;/li&gt;&lt;li class="ql-align-justify"&gt;Workshop Facilitation&lt;/li&gt;&lt;li class="ql-align-justify"&gt;Research &amp;amp; Content Creation&lt;/li&gt;&lt;li class="ql-align-justify"&gt;Program Management&lt;/li&gt;&lt;li class="ql-align-justify"&gt;Faculty Training&lt;/li&gt;&lt;/ul&gt;</t>
  </si>
  <si>
    <t>https://www.linkedin.com/in/bhaskaranbalamurali369/</t>
  </si>
  <si>
    <t xml:space="preserve">bhaskaranbalamurali@gmail.com </t>
  </si>
  <si>
    <t>Business Model Development || Corporate Social Responsibility || Media and PR || Product Development || Training &amp; Development || Entrepreneurship Coaching</t>
  </si>
  <si>
    <t>Education &amp; Training || Education &amp; Training || Education &amp; Training || Education &amp; Training || Education &amp; Training || Education &amp; Training</t>
  </si>
  <si>
    <t>Baskar Perumal</t>
  </si>
  <si>
    <t>Lexhive Corporate Services</t>
  </si>
  <si>
    <t>Summary: &lt;/strong&gt;&lt;/p&gt;&lt;p&gt;Baskar is a seasoned startup consultant and institutional professional with extensive experience working with startups, SMEs, and quasi-corporates. His career spans multiple industries, including garments, steel foundries, management consulting, and angel investment networks. Focusing on offering requisite services for early-stage startups and SMEs, Baskar helps them secure angel investment, VC funding, and government schemes. He is dedicated to supporting these businesses in navigating the intricacies of the transformational and growth process.&lt;/p&gt;&lt;p&gt;&lt;br&gt;&lt;/p&gt;Key Areas of Expertise: &lt;/strong&gt;&lt;/p&gt;&lt;ul&gt;&lt;li&gt;Business Transformation,&lt;/li&gt;&lt;li&gt;Growth Advisory,&lt;/li&gt;&lt;li&gt;KPI Analytics,&lt;/li&gt;&lt;li&gt;Statutory Compliances,&lt;/li&gt;&lt;li&gt;Project Management,&lt;/li&gt;&lt;li&gt;Startup Advisory,&lt;/li&gt;&lt;li&gt;Angel Investment Process&lt;/li&gt;&lt;/ul&gt;&lt;p&gt;&lt;br&gt;&lt;/p&gt;Strategic Contributions: &lt;/strong&gt;&lt;/p&gt;&lt;p&gt;Baskar has worked in various capacities across multiple industries, bringing a wealth of knowledge and experience to his roles. He has: Led transformation and growth initiatives for startups and SMEs, helping them achieve scalability and sustainability. Advised businesses on securing funding and navigating government schemes, providing them with the necessary financial support to grow. Implemented strategic solutions that drive business success, focusing on practical implementation rather than mere recommendations.&lt;/p&gt;&lt;p&gt;&lt;br&gt;&lt;/p&gt;Mentorship Philosophy:&lt;/strong&gt;&lt;/p&gt;&lt;p&gt;Baskar believes in empowering entrepreneurs by providing them with actionable strategies and solutions. His approach to mentoring is hands-on, focusing on implementing solutions rather than just recommending them. Baskar's goal is to create long-term value for startups by guiding them through the complexities of business development and growth.&lt;/p&gt;&lt;p&gt;&lt;br&gt;&lt;/p&gt;Success Stories:&lt;/strong&gt;&lt;/p&gt;&lt;p&gt;Baskar has successfully mentored numerous startups, helping them secure funding and achieve significant growth. For instance, he assisted a tech startup in developing a robust business model, which led to securing substantial VC funding and expanding their market presence. Another example includes guiding a manufacturing SME through the process of digital transformation, resulting in increased operational efficiency and market competitiveness. Feel free to contact Baskar for insights and guidance on transforming your business ideas into profitable ventures.&lt;/p&gt;</t>
  </si>
  <si>
    <t>https://www.linkedin.com/in/baskar-perumal</t>
  </si>
  <si>
    <t>dharambaskar@gmail.com</t>
  </si>
  <si>
    <t>Fundraising || Organizational Development || Performance Management || Training &amp; Development || Fundraising || Organizational Development || Performance Management || Training &amp; Development || Fundraising || Organizational Development || Performance Management || Training &amp; Development || Investing || Business Finance</t>
  </si>
  <si>
    <t>Education &amp; Training || Education &amp; Training || Education &amp; Training || Education &amp; Training || Fashion &amp; Beauty || Fashion &amp; Beauty || Fashion &amp; Beauty || Fashion &amp; Beauty || Industrial Automation &amp; Manufacturing || Industrial Automation &amp; Manufacturing || Industrial Automation &amp; Manufacturing || Industrial Automation &amp; Manufacturing || Venture Funding</t>
  </si>
  <si>
    <t>Bhagwan Makhijani</t>
  </si>
  <si>
    <t>Advisor &amp; Mentor</t>
  </si>
  <si>
    <t>Summary&lt;/strong&gt;&lt;/p&gt;&lt;p&gt;Mr. Bhagwan is a seasoned management professional with 40 years of experience in finance and general management. His extensive background in corporate finance and investment is complemented by a deep understanding of financial systems and controls. With a strong commercial outlook, Mr. Bhagwan excels in building and managing revenue-generating businesses and divisions. His superior communication skills enable him to effectively interact with stakeholders at all levels, making him a valuable asset in driving business growth and financial success.&lt;/p&gt;&lt;p&gt;&lt;br&gt;&lt;/p&gt;Core Expertise&lt;/strong&gt;&lt;/p&gt;&lt;ul&gt;&lt;li&gt;Corporate Finance&lt;/li&gt;&lt;li&gt;Investment Experience&lt;/li&gt;&lt;li&gt;Financial Systems &amp;amp; Controls&lt;/li&gt;&lt;li&gt;Business Advisory &amp;amp; Mentoring&lt;/li&gt;&lt;li&gt;Strategic Planning&lt;/li&gt;&lt;li&gt;Communication Skills&lt;/li&gt;&lt;/ul&gt;&lt;p&gt;&lt;br&gt;&lt;/p&gt;Problem Solving Approach&lt;/strong&gt;&lt;/p&gt;&lt;p&gt;Focuses on providing business advisory and mentoring services, helping businesses, entrepreneurs, and business owners grow. Advises SMEs on divesting stakes to strategic investors to add value and promote business growth.&lt;/p&gt;&lt;p&gt;&lt;br&gt;&lt;/p&gt;Impactful Projects&lt;/strong&gt;&lt;/p&gt;&lt;ul&gt;&lt;li&gt;&lt;strong&gt;Advisor - Strategic Initiatives &amp;amp; Finance at SCAD AI:&lt;/strong&gt; Involved in building AI-based Product Managements for work Product Managementivity, learning, and process improvement. Notable achievements include participation in IBM Watson AI XPRIZE, NextAI 2019, and winning the Global Blockchain Hackathon in 2017.&lt;/li&gt;&lt;li&gt;&lt;strong&gt;Advisory Role at ICIx India Compute Interchange:&lt;/strong&gt; Mentored this JV between Universal Compute Exchange and SCAD Consultants, focusing on financial interchange for Indian cloud service providers.&lt;/li&gt;&lt;li&gt;&lt;strong&gt;Executive Director (Finance &amp;amp; Strategic Initiatives) at Diamond Power:&lt;/strong&gt; Responsible for finance and strategic planning in a company that manufactures transformers and equipment, providing integrated turnkey solutions in power distribution and transmission.&lt;/li&gt;&lt;/ul&gt;</t>
  </si>
  <si>
    <t>https://www.linkedin.com/in/bhagwanmakhijani</t>
  </si>
  <si>
    <t>bmmakhijani@gmail.com</t>
  </si>
  <si>
    <t>Billing and revenue collection || Budgeting &amp; Financial Modeling || Business Model Development || Pricing Strategy || Strategic Planning || Training &amp; Development || Billing and revenue collection || Budgeting &amp; Financial Modeling || Business Model Development || Pricing Strategy || Strategic Planning || Training &amp; Development || Billing and revenue collection || Budgeting &amp; Financial Modeling || Business Model Development || Pricing Strategy || Strategic Planning || Training &amp; Development || Business Finance || Investing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</si>
  <si>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Fintech, Banking, Financial Services</t>
  </si>
  <si>
    <t>Bhanu Bhargava</t>
  </si>
  <si>
    <t>Summary:&lt;/strong&gt;&lt;/p&gt;&lt;p&gt;Bhanu is an experienced lawyer and CS with over a decade of experience, specializing in consulting startups on taxation and legal compliance in India. He offers expertise in business setup across India, Singapore, and Dubai, as well as in fundraising, private equity, and startup investing. As the Founder of Provenience, Bhanu has been in the compliance services industry for seven years, helping entrepreneurs turn their ideas into profitable ventures by creating long-term value.&lt;/p&gt;&lt;p&gt;&lt;br&gt;&lt;/p&gt;Core Expertise:&lt;/strong&gt; Bhanu's key areas of expertise include:&lt;/p&gt;&lt;ul&gt;&lt;li&gt;&lt;strong&gt;Compliance Management&lt;/strong&gt;: Ensuring startups adhere to taxation and legal requirements.&lt;/li&gt;&lt;li&gt;&lt;strong&gt;Startup Business Consulting&lt;/strong&gt;: Assisting with business setup and strategic planning.&lt;/li&gt;&lt;li&gt;&lt;strong&gt;Fundraising&lt;/strong&gt;: Guiding startups through the fundraising process and navigating private equity.&lt;/li&gt;&lt;li&gt;&lt;strong&gt;Corporate Law and Legal Consulting&lt;/strong&gt;: Providing legal advice tailored to startups and small businesses.&lt;/li&gt;&lt;li&gt;&lt;strong&gt;Financial Advisory&lt;/strong&gt;: Offering financial planning and advisory services to optimize business operations.&lt;/li&gt;&lt;/ul&gt;&lt;p&gt;&lt;br&gt;&lt;/p&gt;Problem-Solving Approach:&lt;/strong&gt;&lt;/p&gt;&lt;p&gt;Bhanu approaches challenges with a deep understanding of the legal and regulatory landscape. He provides practical and tailored solutions to startups, ensuring compliance while also optimizing business processes. His hands-on approach involves close collaboration with clients, understanding their specific needs, and offering strategic advice to help them navigate complex legal and financial issues.&lt;/p&gt;&lt;p&gt;&lt;br&gt;&lt;/p&gt;Impactful Projects:&lt;/strong&gt;&lt;/p&gt;&lt;p&gt;Over the years, Bhanu has successfully assisted numerous startups in establishing their businesses in various jurisdictions, including India, Singapore, and Dubai. His work has involved comprehensive compliance management, facilitating smooth fundraising processes, and providing crucial legal and financial guidance. Bhanu's dedication to his clients has resulted in the successful growth and scaling of many startups, contributing to their long-term success.&lt;/p&gt;&lt;p&gt;&lt;br&gt;&lt;/p&gt;Consultation Style:&lt;/strong&gt;&lt;/p&gt;&lt;p&gt;Bhanu's consultation style is characterized by his approachable and client-focused demeanor. He believes in building strong relationships with his clients and providing personalized advice that aligns with their unique business objectives. Bhanu is passionate about supporting entrepreneurs at every stage of their journey, offering a full spectrum of services from initial business setup to ongoing compliance and legal support. He aims to help clients navigate the complexities of starting and growing a business, ensuring they are well-equipped to succeed.&lt;/p&gt;</t>
  </si>
  <si>
    <t>https://www.linkedin.com/in/csbhanubhargava/</t>
  </si>
  <si>
    <t>bhanu@provenience.in</t>
  </si>
  <si>
    <t>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Audit &amp; Compliance || Compliance Assistance || Contracts &amp; Agreements || Entity Formation || Exit Strategy Planning || Intellectual Property Rights || Tax Incentives || Trade Compliance || Legal and Compliance || Business Finance</t>
  </si>
  <si>
    <t>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Legal Services</t>
  </si>
  <si>
    <t>Bharat Moossaddee</t>
  </si>
  <si>
    <t>Board Member and independent Director</t>
  </si>
  <si>
    <t>Summary:&lt;/strong&gt;&lt;/p&gt;&lt;p&gt;Mr. Bharat is a highly experienced finance and corporate professional with over 35 years of expertise. A Chartered Accountant with an MBA from IIM Ahmedabad and a Leadership Program from Thunderbird University, USA, he has a comprehensive background in Business Strategy, Consulting, Corporate Law, Finance, and Investment Banking. His notable role as CFO and CIO/Digital at Mahindra Group involved leading start-ups from incubation to stable operations. Previously, he held senior positions at CK Birla, General Motors, Hindustan Zinc, Shell India, and Sun Gumberg. Mr. Bharat has served on the boards of over 25 companies, contributing to Audit, CSR, and NRC Committees.&lt;/p&gt;&lt;p&gt;&lt;br&gt;&lt;/p&gt;Core Expertise:&lt;/strong&gt;&lt;/p&gt;&lt;ul&gt;&lt;li&gt;Business Strategy&lt;/li&gt;&lt;li&gt;Consulting&lt;/li&gt;&lt;li&gt;Corporate Law&lt;/li&gt;&lt;li&gt;Finance&lt;/li&gt;&lt;li&gt;General Management&lt;/li&gt;&lt;li&gt;Investment Banking&lt;/li&gt;&lt;li&gt;Legal&lt;/li&gt;&lt;li&gt;Management&lt;/li&gt;&lt;li&gt;Portfolio/Asset Management&lt;/li&gt;&lt;li&gt;Taxation&lt;/li&gt;&lt;li&gt;Venture Capital&lt;/li&gt;&lt;/ul&gt;&lt;p&gt;&lt;br&gt;&lt;/p&gt;Problem Solving Approach:&lt;/strong&gt;&lt;/p&gt;&lt;p&gt;Experienced in handling diverse challenges across different sectors, from incubation and fundraising to stabilizing start-ups and managing corporate operations.&lt;/p&gt;&lt;p&gt;&lt;br&gt;&lt;/p&gt;Impactful Projects:&lt;/strong&gt;&lt;/p&gt;&lt;ul&gt;&lt;li&gt;He has played a pivotal role in nurturing and scaling numerous start-ups within the Mahindra Group. This journey has not only been about growth but also about shaping innovative ideas into successful ventures.&lt;/li&gt;&lt;li&gt;Throughout his career, he have taken on significant leadership roles at renowned organizations like CK Birla, General Motors, Hindustan Zinc, Shell India, Sun Gumberg, and the Mahindra Group. Each position has been a testament to his ability to lead and inspire teams, driving these companies towards greater achievements.&lt;/li&gt;&lt;/ul&gt;&lt;p&gt;&lt;br&gt;&lt;/p&gt;Consulting Style:&lt;/strong&gt;&lt;/p&gt;&lt;ul&gt;&lt;li&gt;Board member roles and committee positions demonstrate strategic oversight and governance expertise.&lt;/li&gt;&lt;li&gt;Extensive involvement in Audit, CSR, and NRC Committees underscores commitment to corporate governance and compliance.&lt;/li&gt;&lt;/ul&gt;</t>
  </si>
  <si>
    <t>https://www.linkedin.com/in/bharat-moossaddee-57329a2</t>
  </si>
  <si>
    <t>bmoossaddee@gmail.com</t>
  </si>
  <si>
    <t>Budgeting &amp; Financial Modeling || Compliance Assistance || Fundraising || Strategic Planning || Budgeting &amp; Financial Modeling || Compliance Assistance || Fundraising || Strategic Planning || Budgeting &amp; Financial Modeling || Compliance Assistance || Fundraising || Strategic Planning || Business Finance</t>
  </si>
  <si>
    <t>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Fintech, Banking, Financial Services</t>
  </si>
  <si>
    <t>Bhaskar Roy</t>
  </si>
  <si>
    <t>Client Partner</t>
  </si>
  <si>
    <t>Fractal</t>
  </si>
  <si>
    <t>Summary&lt;/strong&gt;&lt;/p&gt;&lt;p&gt;Mr. Bhaskar is a distinguished digital transformation leader with a reputation as a thought leader in industry forums. He drives digital transformation initiatives for Fortune 500 clients, utilizing AI and Cloud technologies. His career includes leading large-scale transformation programs, developing new capabilities in industrial IoT, and expanding industry practices and geographic reach. He has also stabilized operations and diversified skills at a newly acquired near-shore center in Eastern Europe. Holding patents in predictive analytics and optimization, Mr. Bhaskar mentors early-stage start-ups through IITs, Incubation Centers, and Angel Networks. His focus is on societal impact, particularly in Healthcare and Sustainability, using data as a key asset.&lt;/p&gt;&lt;p&gt;&lt;br&gt;&lt;/p&gt;Core Expertise:&lt;/strong&gt;&lt;/p&gt;&lt;ul&gt;&lt;li&gt;Digital Transformation&lt;/li&gt;&lt;li&gt;AI and Cloud Technologies&lt;/li&gt;&lt;li&gt;Industry Verticals: Automotive, Utilities, Manufacturing&lt;/li&gt;&lt;li&gt;New Capability Incubation&lt;/li&gt;&lt;li&gt;Industry Practices Development&lt;/li&gt;&lt;li&gt;Geographical Expansion&lt;/li&gt;&lt;/ul&gt;&lt;p&gt;&lt;br&gt;&lt;/p&gt;Problem Solving Approach:&lt;/strong&gt;&lt;/p&gt;&lt;ul&gt;&lt;li&gt;Stabilizing operations and diversifying skill-mix and industry coverage at newly acquired near-shore centers.&lt;/li&gt;&lt;li&gt;Leveraging predictive analytics and optimization to drive efficiencies and innovation.&lt;/li&gt;&lt;/ul&gt;&lt;p&gt;&lt;br&gt;&lt;/p&gt;Impactful Projects:&lt;/strong&gt;&lt;/p&gt;&lt;ul&gt;&lt;li&gt;Leading large-scale digital transformation programs for Fortune 500 clients.&lt;/li&gt;&lt;li&gt;Patent holder in predictive analytics and optimization.&lt;/li&gt;&lt;li&gt;Mentoring early-stage start-ups through engagements with IITs, Incubation Centers, and Angel Networks.&lt;/li&gt;&lt;/ul&gt;&lt;p&gt;&lt;br&gt;&lt;/p&gt;Consulting Style:&lt;/strong&gt;&lt;/p&gt;&lt;ul&gt;&lt;li&gt;Thought leadership and influence in industry forums.&lt;/li&gt;&lt;li&gt;Passionate about driving societal impact, particularly in Healthcare and Sustainability, by leveraging data-driven approaches.&lt;/li&gt;&lt;/ul&gt;</t>
  </si>
  <si>
    <t>https://in.linkedin.com/in/roybhaskar</t>
  </si>
  <si>
    <t>roy.bhaskar@gmail.com</t>
  </si>
  <si>
    <t>Business Model Development || Corporate Social Responsibility || Data Analytics || Digital Marketing || ESG Strategy || Growth Strategy Formulation || Public speaking || Strategic Planning || Sustainable Operations || Training &amp; Development || Business Model Development || Corporate Social Responsibility || Data Analytics || Digital Marketing || ESG Strategy || Growth Strategy Formulation || Public speaking || Strategic Planning || Sustainable Operations || Training &amp; Development || Business Model Development || Corporate Social Responsibility || Data Analytics || Digital Marketing || ESG Strategy || Growth Strategy Formulation || Public speaking || Strategic Planning || Sustainable Operations || Training &amp; Development || Business Model Development || Corporate Social Responsibility || Data Analytics || Digital Marketing || ESG Strategy || Growth Strategy Formulation || Public speaking || Strategic Planning || Sustainable Operations || Training &amp; Development || Business Model Development || Corporate Social Responsibility || Data Analytics || Digital Marketing || ESG Strategy || Growth Strategy Formulation || Public speaking || Strategic Planning || Sustainable Operations || Training &amp; Development || Business Model Development || Corporate Social Responsibility || Data Analytics || Digital Marketing || ESG Strategy || Growth Strategy Formulation || Public speaking || Strategic Planning || Sustainable Operations || Training &amp; Development || Digital Transformation || Data Analytics</t>
  </si>
  <si>
    <t>AI, Big Data &amp; Analytics || AI, Big Data &amp; Analytics || AI, Big Data &amp; Analytics || AI, Big Data &amp; Analytics || AI, Big Data &amp; Analytics || AI, Big Data &amp; Analytics || AI, Big Data &amp; Analytics || AI, Big Data &amp; Analytics || AI, Big Data &amp; Analytics || AI, Big Data &amp; Analytics || FinTech || FinTech || FinTech || FinTech || FinTech || FinTech || FinTech || FinTech || FinTech || FinTech || AI, Big Data &amp; Analytics || AI, Big Data &amp; Analytics || AI, Big Data &amp; Analytics || AI, Big Data &amp; Analytics || AI, Big Data &amp; Analytics || AI, Big Data &amp; Analytics || AI, Big Data &amp; Analytics || AI, Big Data &amp; Analytics || AI, Big Data &amp; Analytics || AI, Big Data &amp; Analytics || FinTech || FinTech || FinTech || FinTech || FinTech || FinTech || FinTech || FinTech || FinTech || FinTech || AI, Big Data &amp; Analytics || AI, Big Data &amp; Analytics || AI, Big Data &amp; Analytics || AI, Big Data &amp; Analytics || AI, Big Data &amp; Analytics || AI, Big Data &amp; Analytics || AI, Big Data &amp; Analytics || AI, Big Data &amp; Analytics || AI, Big Data &amp; Analytics || AI, Big Data &amp; Analytics || FinTech || FinTech || FinTech || FinTech || FinTech || FinTech || FinTech || FinTech || FinTech || FinTech || Deeptech</t>
  </si>
  <si>
    <t>Bhavya Bhasuran</t>
  </si>
  <si>
    <t>Sathyabama Institute of Science &amp; Technology</t>
  </si>
  <si>
    <t>Summary&lt;/strong&gt;:&lt;/p&gt;&lt;p&gt;Dr. B. Bhavya is an Assistant Professor at the School of Management Studies, Sathyabama Institute of Science and Technology, Chennai, with over 15 years of experience in teaching. Holding multiple advanced degrees including an MBA, M.Com, M.Phil, and a Ph.D., she has published books on International Trade and Human Resource Management. Dr. Bhavya has also presented numerous papers at national and international conferences, contributing significantly to academic research in her field.&lt;/p&gt;&lt;p&gt;&lt;br&gt;&lt;/p&gt;Key Areas of Expertise:&lt;/strong&gt;&lt;/p&gt;&lt;ul&gt;&lt;li&gt;International Trade&lt;/li&gt;&lt;li&gt;human Resource Management&lt;/li&gt;&lt;li&gt;Academic Research and Publications&lt;/li&gt;&lt;li&gt;Conference Presentations&lt;/li&gt;&lt;/ul&gt;&lt;p&gt;&lt;br&gt;&lt;/p&gt;Strategic Contributions:&lt;/strong&gt;&lt;/p&gt;&lt;ul&gt;&lt;li&gt;Authored books on International Trade and HRM, enhancing the academic resources available to students and professionals.&lt;/li&gt;&lt;li&gt;Presented research at various national and international conferences, contributing to the academic community's knowledge base.&lt;/li&gt;&lt;/ul&gt;&lt;p&gt;&lt;br&gt;&lt;/p&gt;Mentorship Philosophy:&lt;/strong&gt;&lt;/p&gt;&lt;p&gt;Dr. Bhavya's approach focuses on fostering academic excellence and encouraging critical thinking among students. She supports and guides students in their research endeavors and professional development.&lt;/p&gt;&lt;p&gt;&lt;br&gt;&lt;/p&gt;Success Stories:&lt;/strong&gt;&lt;/p&gt;&lt;ul&gt;&lt;li&gt;Successfully published and contributed to significant academic literature in her fields of expertise.&lt;/li&gt;&lt;li&gt;Recognized for her contributions to academic conferences and symposiums, reflecting her commitment to advancing knowledge.&lt;/li&gt;&lt;/ul&gt;</t>
  </si>
  <si>
    <t>https://www.linkedin.com/in/bhavya-bhasuran-8a40a628a</t>
  </si>
  <si>
    <t>bhavya.15586@gmail.com</t>
  </si>
  <si>
    <t>Business Model Development || International Market Analysis || Market research || Research Partnerships || Business Model Development || International Market Analysis || Market research || Research Partnerships || Entrepreneurship Coaching</t>
  </si>
  <si>
    <t>Retail &amp; e-Commerce || Retail &amp; e-Commerce || Retail &amp; e-Commerce || Retail &amp; e-Commerce || Services || Services || Services || Services || Education &amp; Training</t>
  </si>
  <si>
    <t>Bhuvan Ahuja</t>
  </si>
  <si>
    <t>Senior Manager Financial Accounting</t>
  </si>
  <si>
    <t>British Council</t>
  </si>
  <si>
    <t>Summary&lt;/strong&gt;: Bhuvan is a seasoned finance professional and Chartered Accountant (CA) with extensive expertise in accounting, auditing, and financial management. He brings direct experience in Financial Planning and analysis, Management, Financial Reporting, Group Consolidation, Audit Management, and Finance Transformation.&amp;nbsp;&lt;/p&gt;&lt;p&gt;&lt;br&gt;&lt;/p&gt;Core Expertise&lt;/strong&gt;: Corporate Finance, Financial Planning &amp;amp; Analysis, Controllership, Audit Management, Finance Transformation&amp;nbsp;&lt;/p&gt;&lt;p&gt;&lt;br&gt;&lt;/p&gt;Problem-Solving Approach&lt;/strong&gt;: Bhuvan employs a strategic and analytical approach to address complex financial challenges. He leverages his broad experience to develop and implement effective financial strategies and solutions.&amp;nbsp;&lt;/p&gt;&lt;p&gt;&lt;br&gt;&lt;/p&gt;Impactful Projects&lt;/strong&gt;: Bhuvan led financial planning and analysis initiatives that improved financial transparency and strategic decision-making. Bhuvan also successfully managed audits and financial reporting processes, ensuring compliance and accuracy.&amp;nbsp;&lt;/p&gt;&lt;p&gt;&lt;br&gt;&lt;/p&gt;Career Highlights&lt;/strong&gt;: Chartered Accountant (CA) with a strong foundation in accounting principles and practices. Extensive experience in corporate finance roles, specializing in Financial Planning &amp;amp; Analysis and Controllership. Freelance Finance Trainer, sharing knowledge and expertise with professionals seeking to enhance their financial skills.&amp;nbsp;&lt;/p&gt;&lt;p&gt;&lt;br&gt;&lt;/p&gt;&lt;p&gt;Bhuvan's deep knowledge of corporate finance, coupled with his proficiency in financial planning, analysis, and transformation, makes him a valuable asset in guiding organizations toward financial success. His dedication to excellence and commitment to financial integrity underscore his contributions to the finance industry and beyond.&lt;/p&gt;</t>
  </si>
  <si>
    <t>https://www.linkedin.com/in/bhuvanahuja/</t>
  </si>
  <si>
    <t>clinic.corporate@gmail.com</t>
  </si>
  <si>
    <t>Audit &amp; Compliance || Budgeting &amp; Financial Modeling || Audit &amp; Compliance || Budgeting &amp; Financial Modeling || Audit &amp; Compliance || Budgeting &amp; Financial Modeling || Audit &amp; Compliance || Budgeting &amp; Financial Modeling || Audit &amp; Compliance || Budgeting &amp; Financial Modeling || Audit &amp; Compliance || Budgeting &amp; Financial Modeling || Business Finance</t>
  </si>
  <si>
    <t>Education &amp; Training || Education &amp; Training || FinTech || FinTech || Social &amp; Community Services || Social &amp; Community Services || Education &amp; Training || Education &amp; Training || FinTech || FinTech || Social &amp; Community Services || Social &amp; Community Services || Fintech, Banking, Financial Services</t>
  </si>
  <si>
    <t>Boby Thomas N</t>
  </si>
  <si>
    <t>Startup Advisor &amp; Mentor</t>
  </si>
  <si>
    <t>Summary:&lt;/strong&gt;&lt;/p&gt;&lt;p&gt;Mr. Boby is a seasoned business leader and strategist with over 25 years of experience in various leadership roles across multiple industries, including consumer durables, power conditioning, mobile-app services, software solutions, B2B e-commerce, and renewable energy Product Managements. He has demonstrated expertise in driving business growth, including revenue, market share, and profit, through strong proficiency in learning and development, ideation, planning, formation, implementation, and scaling-up. Mr. Boby is passionate about educating the youth on entrepreneurship, aiming to demystify the field and inspire a new generation of entrepreneurs to drive India's economic growth.&lt;/p&gt;&lt;p&gt;&lt;br&gt;&lt;/p&gt;Key Areas of Expertise:&lt;/strong&gt;&lt;/p&gt;&lt;ul&gt;&lt;li&gt;Leadership Development&lt;/li&gt;&lt;li&gt;Management Consulting&lt;/li&gt;&lt;li&gt;Startup Law&lt;/li&gt;&lt;li&gt;Marketing Consulting&lt;/li&gt;&lt;li&gt;Product Management Development&lt;/li&gt;&lt;li&gt;Brand-Building&lt;/li&gt;&lt;li&gt;Market Penetration&lt;/li&gt;&lt;/ul&gt;&lt;p&gt;&lt;br&gt;&lt;/p&gt;Strategic Contributions:&lt;/strong&gt;&lt;/p&gt;&lt;ul&gt;&lt;li&gt;Functioned as an intrapreneur and entrepreneur, driving significant gains in various business aspects.&lt;/li&gt;&lt;li&gt;Facilitated Product Management development and brand-building across diverse sectors.&lt;/li&gt;&lt;li&gt;Promoted market penetration strategies that led to substantial growth in market share and profits.&lt;/li&gt;&lt;/ul&gt;&lt;p&gt;&lt;br&gt;&lt;/p&gt;Mentorship Philosophy:&lt;/strong&gt;&lt;/p&gt;&lt;p&gt;Mr. Boby is dedicated to demystifying entrepreneurship and removing misconceptions, with a focus on educating and inspiring the youth. He aims to empower young entrepreneurs to contribute to making India the largest economy in the world.&lt;/p&gt;</t>
  </si>
  <si>
    <t>https://www.linkedin.com/in/boby-thomas-n-0982627/</t>
  </si>
  <si>
    <t>bobythomasn@yahoo.co.uk</t>
  </si>
  <si>
    <t>Billing and revenue collection || Branding || Business Model Development || Compliance Assistance || Customer Service &amp; Retention || Digital Marketing || Fundraising || Go to Market Strategy || Growth Strategy Formulation || Market research || Organizational Development || Performance Metrics || Pricing Strategy || Prototyping &amp; Testing || Public speaking || Sales Strategy || Social Media Marketing || Strategic Planning || Talent Acquisition || Billing and revenue collection || Branding || Business Model Development || Compliance Assistance || Customer Service &amp; Retention || Digital Marketing || Fundraising || Go to Market Strategy || Growth Strategy Formulation || Market research || Organizational Development || Performance Metrics || Pricing Strategy || Prototyping &amp; Testing || Public speaking || Sales Strategy || Social Media Marketing || Strategic Planning || Talent Acquisition || Billing and revenue collection || Branding || Business Model Development || Compliance Assistance || Customer Service &amp; Retention || Digital Marketing || Fundraising || Go to Market Strategy || Growth Strategy Formulation || Market research || Organizational Development || Performance Metrics || Pricing Strategy || Prototyping &amp; Testing || Public speaking || Sales Strategy || Social Media Marketing || Strategic Planning || Talent Acquisition || Billing and revenue collection || Branding || Business Model Development || Compliance Assistance || Customer Service &amp; Retention || Digital Marketing || Fundraising || Go to Market Strategy || Growth Strategy Formulation || Market research || Organizational Development || Performance Metrics || Pricing Strategy || Prototyping &amp; Testing || Public speaking || Sales Strategy || Social Media Marketing || Strategic Planning || Talent Acquisition || Billing and revenue collection || Branding || Business Model Development || Compliance Assistance || Customer Service &amp; Retention || Digital Marketing || Fundraising || Go to Market Strategy || Growth Strategy Formulation || Market research || Organizational Development || Performance Metrics || Pricing Strategy || Prototyping &amp; Testing || Public speaking || Sales Strategy || Social Media Marketing || Strategic Planning || Talent Acquisition || Billing and revenue collection || Branding || Business Model Development || Compliance Assistance || Customer Service &amp; Retention || Digital Marketing || Fundraising || Go to Market Strategy || Growth Strategy Formulation || Market research || Organizational Development || Performance Metrics || Pricing Strategy || Prototyping &amp; Testing || Public speaking || Sales Strategy || Social Media Marketing || Strategic Planning || Talent Acquisition || Billing and revenue collection || Branding || Business Model Development || Compliance Assistance || Customer Service &amp; Retention || Digital Marketing || Fundraising || Go to Market Strategy || Growth Strategy Formulation || Market research || Organizational Development || Performance Metrics || Pricing Strategy || Prototyping &amp; Testing || Public speaking || Sales Strategy || Social Media Marketing || Strategic Planning || Talent Acquisition || Billing and revenue collection || Branding || Business Model Development || Compliance Assistance || Customer Service &amp; Retention || Digital Marketing || Fundraising || Go to Market Strategy || Growth Strategy Formulation || Market research || Organizational Development || Performance Metrics || Pricing Strategy || Prototyping &amp; Testing || Public speaking || Sales Strategy || Social Media Marketing || Strategic Planning || Talent Acquisition || Billing and revenue collection || Branding || Business Model Development || Compliance Assistance || Customer Service &amp; Retention || Digital Marketing || Fundraising || Go to Market Strategy || Growth Strategy Formulation || Market research || Organizational Development || Performance Metrics || Pricing Strategy || Prototyping &amp; Testing || Public speaking || Sales Strategy || Social Media Marketing || Strategic Planning || Talent Acquisition || Billing and revenue collection || Branding || Business Model Development || Compliance Assistance || Customer Service &amp; Retention || Digital Marketing || Fundraising || Go to Market Strategy || Growth Strategy Formulation || Market research || Organizational Development || Performance Metrics || Pricing Strategy || Prototyping &amp; Testing || Public speaking || Sales Strategy || Social Media Marketing || Strategic Planning || Talent Acquisition || Business Model Development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</si>
  <si>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Consumer Products​</t>
  </si>
  <si>
    <t>Deepa Dixit</t>
  </si>
  <si>
    <t>SIES School of Business Studies (SIESSBS)</t>
  </si>
  <si>
    <t>Summary:&lt;/strong&gt;&lt;/p&gt;&lt;p&gt;Ms. Deepa is a professor and Chief Marketing Officer at WeSchool, a prominent business school in India. With over 23 years in higher education and a PhD focusing on social media's impact on consumer behavior in India, she excels in shaping education and industry partnerships. Her role involves designing innovative programs, leading digital content strategies, and managing accreditation and rankings. She has authored award-winning case studies and mentors students and entrepreneurs. Ms. Deepa is dedicated to empowering individuals and enhancing India's global educational standing.&lt;/p&gt;&lt;p&gt;&lt;br&gt;&lt;/p&gt;Key Areas of Expertise:&lt;/strong&gt;&lt;/p&gt;&lt;ul&gt;&lt;li&gt;Higher Education&lt;/li&gt;&lt;li&gt;Marketing and Digital Content Strategy&lt;/li&gt;&lt;li&gt;Accreditation and Ranking Management&lt;/li&gt;&lt;li&gt;International Collaboration&lt;/li&gt;&lt;li&gt;Consumer Behavior Research&lt;/li&gt;&lt;li&gt;Leadership and Communication&lt;/li&gt;&lt;li&gt;Mentorship&lt;/li&gt;&lt;/ul&gt;&lt;p&gt;&lt;br&gt;&lt;/p&gt;Strategic Contributions:&lt;/strong&gt;&lt;/p&gt;&lt;ul&gt;&lt;li&gt;Designed and launched innovative educational programs and partnerships with national and international institutions to improve educational quality and relevance.&lt;/li&gt;&lt;li&gt;Led digital content and online engagement strategies, significantly enhancing WeSchool’s presence and influence.&lt;/li&gt;&lt;li&gt;Managed accreditation processes and achieved ranking goals with regulatory agencies and authorities.&lt;/li&gt;&lt;li&gt;Authored an internationally awarded case study for Giving Voice to Values.&lt;/li&gt;&lt;/ul&gt;&lt;p&gt;&lt;br&gt;&lt;/p&gt;Mentorship Philosophy:&lt;/strong&gt;&lt;/p&gt;&lt;p&gt;Ms. Deepa is passionate about mentoring students and entrepreneurs, focusing on empowering them to start new initiatives and make positive impacts. She believes in creating and sharing knowledge to inspire individuals to reach their full potential and achieve their goals.&lt;/p&gt;&lt;p&gt;&lt;br&gt;&lt;/p&gt;Success Stories:&lt;/strong&gt;&lt;/p&gt;&lt;ul&gt;&lt;li&gt;Authored an award-winning case study for Giving Voice to Values.&lt;/li&gt;&lt;li&gt;Successfully launched cutting-edge programs and partnerships that enhanced WeSchool's educational offerings and global reputation.&lt;/li&gt;&lt;li&gt;Played a key role in leading digital content strategies and achieving significant accreditation and ranking goals for WeSchool.&lt;/li&gt;&lt;/ul&gt;&lt;p&gt;&lt;br&gt;&lt;/p&gt;Top Skills:&lt;/strong&gt;&lt;/p&gt;&lt;ul&gt;&lt;li&gt;Marketing Innovation&lt;/li&gt;&lt;li&gt;Business Mentoring&lt;/li&gt;&lt;li&gt;Higher Education Leadership&lt;/li&gt;&lt;li&gt;Communication&lt;/li&gt;&lt;li&gt;International Collaboration&lt;/li&gt;&lt;/ul&gt;</t>
  </si>
  <si>
    <t>https://www.linkedin.com/in/deepadixit/</t>
  </si>
  <si>
    <t>deepa.dixit8363@gmail.com</t>
  </si>
  <si>
    <t>Media, Arts &amp; Entertainment</t>
  </si>
  <si>
    <t>Branding || Business Model Development || Customer Service &amp; Retention || Digital Marketing || ESG Strategy || Go to Market Strategy || Growth Strategy Formulation || Media and PR || Prototyping &amp; Testing || Public speaking || Sales Strategy || Social Media Marketing || Strategic Planning || UI/UX Design || Branding || Business Model Development || Customer Service &amp; Retention || Digital Marketing || ESG Strategy || Go to Market Strategy || Growth Strategy Formulation || Media and PR || Prototyping &amp; Testing || Public speaking || Sales Strategy || Social Media Marketing || Strategic Planning || UI/UX Design || Branding || Business Model Development || Customer Service &amp; Retention || Digital Marketing || ESG Strategy || Go to Market Strategy || Growth Strategy Formulation || Media and PR || Prototyping &amp; Testing || Public speaking || Sales Strategy || Social Media Marketing || Strategic Planning || UI/UX Design || Branding || Business Model Development || Customer Service &amp; Retention || Digital Marketing || ESG Strategy || Go to Market Strategy || Growth Strategy Formulation || Media and PR || Prototyping &amp; Testing || Public speaking || Sales Strategy || Social Media Marketing || Strategic Planning || UI/UX Design || Branding || Business Model Development || Customer Service &amp; Retention || Digital Marketing || ESG Strategy || Go to Market Strategy || Growth Strategy Formulation || Media and PR || Prototyping &amp; Testing || Public speaking || Sales Strategy || Social Media Marketing || Strategic Planning || UI/UX Design || Marketing &amp; Branding || Digital Marketing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</si>
  <si>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Media, Arts &amp; Entertainment</t>
  </si>
  <si>
    <t>Chenna Pratheek Reddy Kesara</t>
  </si>
  <si>
    <t>Professional Summary:
Kesara Chenna Pratheek Reddy is a technology professional with expertise in enterprise platforms and emerging technologies.
​
Core Technical Competencies:
Salesforce Development: Developed and implemented comprehensive Salesforce solutions to enhance customer relationship management (CRM) processes
Conga CPQ &amp; CLM Development: Engaged in Configure, Price, Quote (CPQ) and Contract Lifecycle Management (CLM) development using Conga platform
Artificial Intelligence and Data Science: Skilled in AI/ML technologies and data science applications
Machine Learning: Expertise in machine learning implementations and applications
​
Key Experience Areas:
Customer relationship management process enhancement
Enterprise system implementations
Enterprise resource planning and CRM integrations
AI/ML solution development</t>
  </si>
  <si>
    <t>https://www.linkedin.com/in/kesara-chenna-pratheek-reddy/</t>
  </si>
  <si>
    <t>Prakasam</t>
  </si>
  <si>
    <t>pratheekreddykesara@gmail.com (Student)
pratheekreddy5555@gmail.com (Mentor )</t>
  </si>
  <si>
    <t>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Billing and revenue collection || Branding || Go to Market Strategy || Growth Strategy Formulation || Market access || Market research || Media and PR || Process Optimization || Product Development || Prototyping &amp; Testing || Public speaking || Research Partnerships || Strategic Planning || Tech Strategy &amp; Infrastructure || UI/UX Design || Entrepreneurship Coaching</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</si>
  <si>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CleanTech || CleanTech || CleanTech || CleanTech || CleanTech || CleanTech || CleanTech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Software &amp; IT Services</t>
  </si>
  <si>
    <t>Chetana Asbe</t>
  </si>
  <si>
    <t>ATLAS SkillTech University</t>
  </si>
  <si>
    <t>Summary&lt;/strong&gt;&lt;/p&gt;&lt;p&gt;Ms. Chetana is an educator and finance expert focused on fostering critical thinking and creating a learner-centered environment. She has designed a course on credit risk analysis specifically tailored to the workings of credit rating agencies in India. With a comprehensive teaching portfolio, she covers subjects such as financial management, cost and management accounting, and global finance. Her top skills include accounting, corporate finance, and sustainability. Ms. Chetana is also a finance and strategy consultant, Ph.D. mentor, and corporate trainer with experience at CRISIL.&lt;/p&gt;&lt;p&gt;&lt;br&gt;&lt;/p&gt;Core Expertise&lt;/strong&gt;&lt;/p&gt;&lt;ul&gt;&lt;li&gt;Accounting&lt;/li&gt;&lt;li&gt;Corporate Finance&lt;/li&gt;&lt;li&gt;Credit Risk Analysis&lt;/li&gt;&lt;li&gt;Critical Thinking&lt;/li&gt;&lt;li&gt;Sustainability&lt;/li&gt;&lt;/ul&gt;&lt;p&gt;&lt;br&gt;&lt;/p&gt;Problem Solving Approach&lt;/strong&gt;&lt;/p&gt;&lt;p&gt;Ms. Chetana customizes lesson plans to accommodate diverse educational backgrounds, ensuring that course material aligns with students' knowledge and learning abilities.&lt;/p&gt;&lt;p&gt;&lt;br&gt;&lt;/p&gt;Impactful Projects&lt;/strong&gt;&lt;/p&gt;&lt;p&gt;Developed a course on credit risk analysis focusing on the operations of credit rating agencies in India.&lt;/p&gt;&lt;p&gt;&lt;br&gt;&lt;/p&gt;Consulting Style&lt;/strong&gt;&lt;/p&gt;&lt;p&gt;Focuses on creating a learner-centered environment and motivating students to develop critical thinking skills.&lt;/p&gt;</t>
  </si>
  <si>
    <t>https://www.linkedin.com/in/chetana-chavan-ph-d-89155112/</t>
  </si>
  <si>
    <t>chetanasbe@gmail.com</t>
  </si>
  <si>
    <t>Audit &amp; Compliance || Budgeting &amp; Financial Modeling || Compliance Assistance || Data Reporting || International Market Analysis || Investment Banking || Sustainable Operations || Business Finance</t>
  </si>
  <si>
    <t>Education &amp; Training || Education &amp; Training || Education &amp; Training || Education &amp; Training || Education &amp; Training || Education &amp; Training || Education &amp; Training || Fintech, Banking, Financial Services || Education &amp; Training</t>
  </si>
  <si>
    <t>Chinmaya Sai Ganesh Aloor</t>
  </si>
  <si>
    <t xml:space="preserve">Vice President - Telangana </t>
  </si>
  <si>
    <t>International Business Startup &amp; Entrepreneurs Association (IBSEA)</t>
  </si>
  <si>
    <t>Professional Summary:
Aloor Chinmaya Sai Ganesh is an erudite entrepreneur, visionary leader, and innovation management expert with a strong track record of building startup ecosystems and driving social impact. He is recognized as a young, inspiring, and influential personality dedicated to entrepreneurial development and educational reform.
​
Current Leadership Positions:
Mentor of Change at Atal Innovation Mission (March 2025 - Present)
State Vice President - Andhra Pradesh at International Business Startup &amp; Entrepreneurs Association (IBSEA)
Founder &amp; Partner of CHEER ON VENTURES - supporting startups through training, mentorship, consulting, and funding facilitation
Founder of Sharada's Facilitators - pioneering enterprise devoted to improving pedagogical standards and uplifting rural educators across Andhra Pradesh, Telangana, and Karnataka
Key Roles &amp; Mentoring Positions:
Mentor at Andhra Pradesh Innovation Society (APIS) - guides early-stage startups in business model refinement and scaling
Mentor at Viksit Bharat - Startups &amp; Innovation Mission - provides strategic guidance to startups
Mentor at MeitY Startup Hub (MSH) - supports technology-driven startups under Ministry of Electronics and Information Technology
Mentor at E-Cell IIT Bombay Summit Chapters Hyderabad
Former Innovation Leader with significant experience in policy restructuring, ecosystem development, and startup onboarding
Areas of Expertise &amp; Focus:
Entrepreneurship &amp; Innovation Management - building startup ecosystems and supporting entrepreneurs
Educational Reform - enhancing pedagogical standards and empowering educators
Sustainable Development - Master's degree focused on sustainable solutions for societal transformation
Strategic Planning &amp; Execution - developing growth initiatives for startups and entrepreneurs
Policy Advocacy - influencing regulations conducive to entrepreneurship
Community Building - facilitating collaboration between government, industry, and academic institutions</t>
  </si>
  <si>
    <t>https://www.linkedin.com/in/aloor-chinmaya-sai-ganesh-4468361a5/</t>
  </si>
  <si>
    <t>chinmayaaloor@gmail.com</t>
  </si>
  <si>
    <t>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Branding || Business Model Development || Contracts &amp; Agreements || Customer Relationship Management || Customer Service &amp; Retention || Data Reporting || Entity Formation || Fundraising || Go to Market Strategy || Government Funding || Intellectual Property Rights || International Market Analysis || IP Management || KPI Governance || Logistics Management || Market access || Market research || Marketing || Media and PR || Organizational Development || Performance Metrics || Pitch coaching || Pricing Strategy || Product Development || Prototyping &amp; Testing || Public speaking || Research Partnerships || Sales Strategy || Social Media Marketing || Strategic Planning || Supply Chain Management || Talent Acquisition || Training &amp; Development || Entrepreneurship Coaching || HR Consulting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</si>
  <si>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Others || Others || Others || Others || Others || Others || Others || Others || Others || Others || Others || Others || Others || Others || Others || Others || Others || Others || Others || Others || Others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Education &amp; Training</t>
  </si>
  <si>
    <t>Chirag Tanna</t>
  </si>
  <si>
    <t>Director, Patent Agent, Trademark Agent</t>
  </si>
  <si>
    <t>INK IDEE</t>
  </si>
  <si>
    <t>Summary:&lt;/strong&gt;&lt;/p&gt;&lt;p&gt;Chirag Tanna is a distinguished expert in Intellectual Property Rights (IPR) with over 19 years of experience. He is the Founder of INK IDEE, a boutique IPR firm based in India and Singapore, and AllCoasts.VC, an early-stage accelerator. Chirag is licensed to practice IPR law in both India and Singapore and has represented clients at leading patent and trademark offices, including the Indian Patent and Trademark Office (IPO), Intellectual Property Office of Singapore (IPOS), and the US Patent &amp;amp; Trademark Office (USPTO).&lt;/p&gt;&lt;p&gt;&lt;br&gt;&lt;/p&gt;Core Expertise:&lt;/strong&gt;&lt;/p&gt;&lt;p&gt;Chirag specializes in Intellectual Property Rights, focusing on enforceable rights for startups and businesses in India and Singapore. His areas of expertise include patent and trademark law, IP commercialization, and strategic IP portfolio management. He also has deep experience in commercializing Intellectual Properties, particularly in the Biomedical and Defense sectors through his accelerator, AllCoasts.VC.&lt;/p&gt;&lt;p&gt;&lt;br&gt;&lt;/p&gt;Problem-Solving Approach:&lt;/strong&gt;&lt;/p&gt;&lt;p&gt;Chirag’s approach to IPR is comprehensive and strategic. He emphasizes the importance of enforceable rights, guiding startups and businesses to protect and leverage their intellectual assets effectively. He is deeply embedded in the startup ecosystems in India and Singapore, where he provides routine mentoring and awareness sessions on the nuances of IPR, ensuring that businesses are well-equipped to navigate the complexities of intellectual property.&lt;/p&gt;&lt;p&gt;&lt;br&gt;&lt;/p&gt;Impactful Projects:&lt;/strong&gt;&lt;/p&gt;&lt;ul&gt;&lt;li&gt;&lt;strong&gt;INK IDEE:&lt;/strong&gt; Chirag founded INK IDEE to provide specialized IPR services with a focus on enforceable rights. The firm is actively involved in mentoring startups through awareness clinics and pro bono programs at various incubators, accelerators, universities, and companies in India and Singapore.&lt;/li&gt;&lt;li&gt;&lt;strong&gt;AllCoasts.VC:&lt;/strong&gt; Through AllCoasts.VC, Chirag has been instrumental in commercializing Intellectual Properties in the Biomedical and Defense sectors. His work has facilitated access to the ASEAN regions for technology commercialization via their Singapore office.&lt;/li&gt;&lt;li&gt;&lt;strong&gt;IPR Policy Drafting:&lt;/strong&gt; Chirag played a key role in drafting the IPR policy for the Maharashtra State Innovation Society (MSINS) and is empaneled as a Patent and Trademark facilitator with the DIPP.&lt;/li&gt;&lt;/ul&gt;&lt;p&gt;&lt;br&gt;&lt;/p&gt;Consultation Style:&lt;/strong&gt;&lt;/p&gt;&lt;p&gt;Chirag is known for his collaborative and educational approach. He is dedicated to empowering startups and businesses by providing them with the knowledge and tools to protect their intellectual property. His mentoring sessions are tailored to the specific needs of his clients, ensuring they receive practical and actionable advice.&lt;/p&gt;</t>
  </si>
  <si>
    <t>https://www.linkedin.com/in/chiragtanna/</t>
  </si>
  <si>
    <t>chirag@inkidee.com</t>
  </si>
  <si>
    <t>IP Strategy</t>
  </si>
  <si>
    <t>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Rights || IP Management || Intellectual Property Advisory || Intellectual Property Advisory</t>
  </si>
  <si>
    <t>Agriculture &amp; Food Processing || Agriculture &amp; Food Processing || AI, Big Data &amp; Analytics || AI, Big Data &amp; Analytics || Automobiles &amp; Auto Components || Automobiles &amp; Auto Components || CleanTech || CleanTech || Consumer Products || Consumer Products || Defence &amp; Public Safety || Defence &amp; Public Safety || Energy &amp; Renewable Resources || Energy &amp; Renewable Resources || Fashion &amp; Beauty || Fashion &amp; Beauty || Industrial Automation &amp; Manufacturing || Industrial Automation &amp; Manufacturing || Pharmaceuticals, Healthcare and Wellness || Pharmaceuticals, Healthcare and Wellness || Technology &amp; Innovation || Technology &amp; Innovation || Telecommunications || Telecommunications || Agriculture &amp; Food Processing || Agriculture &amp; Food Processing || AI, Big Data &amp; Analytics || AI, Big Data &amp; Analytics || Automobiles &amp; Auto Components || Automobiles &amp; Auto Components || CleanTech || CleanTech || Consumer Products || Consumer Products || Defence &amp; Public Safety || Defence &amp; Public Safety || Energy &amp; Renewable Resources || Energy &amp; Renewable Resources || Fashion &amp; Beauty || Fashion &amp; Beauty || Industrial Automation &amp; Manufacturing || Industrial Automation &amp; Manufacturing || Pharmaceuticals, Healthcare and Wellness || Pharmaceuticals, Healthcare and Wellness || Technology &amp; Innovation || Technology &amp; Innovation || Telecommunications || Telecommunications || Legal Services || Pharmaceuticals, Healthcare and Wellness</t>
  </si>
  <si>
    <t>Rajkishan Ganta</t>
  </si>
  <si>
    <t>Way2World</t>
  </si>
  <si>
    <t>Summary:&lt;/strong&gt;&lt;/p&gt;&lt;p&gt;Rajkishan is a dedicated advocate for reducing startup mortality rates and creating a level playing field for innovative ideas. He is committed to agnostic innovations that enhance our nation's global standing. With a career spanning over two decades, he has made significant contributions to the startup ecosystem through his various roles in media, advisory, and mentorship.&lt;/p&gt;&lt;p&gt;&lt;br&gt;&lt;/p&gt;Key Areas of Expertise: &lt;/strong&gt;&lt;/p&gt;&lt;ul&gt;&lt;li&gt;Startup Mentorship&lt;/li&gt;&lt;li&gt;Fund Facilitation Growth&lt;/li&gt;&lt;li&gt;Strategizing Media &amp;amp; Communications&lt;/li&gt;&lt;li&gt;Innovation Standards&lt;/li&gt;&lt;li&gt;Advisory Services&lt;/li&gt;&lt;/ul&gt;&lt;p&gt;&lt;br&gt;&lt;/p&gt;Strategic Contributions:&lt;/strong&gt;&lt;/p&gt;&lt;p&gt;Since 2009, Rajkishan has founded WAY2WORLD, a media startup highlighting grassroots developments in the Indian startup ecosystem. He is also the co-Founder of RR-GTM VENTURES Pvt Ltd, where he focuses on mentoring, fund facilitation, and growth strategizing for startups. As the principal partner at VENTURE WOLF, Rajkishan plays a crucial role in fundraising, offering comprehensive support to emerging startups.&lt;/p&gt;&lt;p&gt;&lt;br&gt;&lt;/p&gt;Mentorship Philosophy:&lt;/strong&gt;&lt;/p&gt;&lt;p&gt;Rajkishan’s mentorship approach is centered around empowering startups to achieve their full potential. He believes in providing tailored support to address specific challenges and leveraging his extensive experience to guide entrepreneurs through their growth journey. His involvement with various organizations underscores his commitment to enhancing innovation standards and fostering a robust startup ecosystem.&lt;/p&gt;</t>
  </si>
  <si>
    <t>https://www.linkedin.com/in/rajkishan/</t>
  </si>
  <si>
    <t>grajkishan@gmail.com</t>
  </si>
  <si>
    <t>Fundraising || Go to Market Strategy || Sales Strategy || Fundraising || Go to Market Strategy || Sales Strategy || Investing || Strategic Planning</t>
  </si>
  <si>
    <t>Media, Arts &amp; Entertainment || Media, Arts &amp; Entertainment || Media, Arts &amp; Entertainment || Services || Services || Services || Media, Arts &amp; Entertainment</t>
  </si>
  <si>
    <t>Deepak Belwal</t>
  </si>
  <si>
    <t>Business Process Lead</t>
  </si>
  <si>
    <t>Tata Consultancy Services</t>
  </si>
  <si>
    <t>Summary:&lt;/strong&gt;&lt;/p&gt;&lt;p&gt;Mr. Deepak is a skilled Business Process Lead at TCS, specializing in aligning process and solution designs with business specifications. He brings hands-on expertise in process management, functional design, and template solutions. Additionally, as an Analyst for Nielsen's One Global Reference Data System, Mr. Deepak focuses on User Acceptance Testing for global reference data processes. His role ensures that the platform meets rigorous standards and effectively supports global data operations.&lt;/p&gt;&lt;p&gt;&lt;br&gt;&lt;/p&gt;Core Expertise:&lt;/strong&gt;&lt;/p&gt;&lt;ul&gt;&lt;li&gt;Business Process Management&lt;/li&gt;&lt;li&gt;Solution Design&lt;/li&gt;&lt;li&gt;Functional Expertise&lt;/li&gt;&lt;li&gt;Template Solution Knowledge&lt;/li&gt;&lt;li&gt;User Acceptance Testing&lt;/li&gt;&lt;/ul&gt;&lt;p&gt;&lt;br&gt;&lt;/p&gt;Problem Solving Approach:&lt;/strong&gt;&lt;/p&gt;&lt;p&gt;Deepak adopts a meticulous approach to problem-solving. He places a strong emphasis on aligning process and solution designs with the specific needs of the business, ensuring that they are both efficient and effective. His thorough User Acceptance Testing for global reference data processes at Nielsen underscores his commitment to quality and precision. This rigorous testing process is essential for identifying and addressing potential issues before they impact users, ensuring the platform's overall effectiveness.&lt;/p&gt;&lt;p&gt;&lt;br&gt;&lt;/p&gt;Impactful Projects:&lt;/strong&gt;&lt;/p&gt;&lt;ul&gt;&lt;li&gt;Implementing effective process and solution designs at TCS to meet business needs.&lt;/li&gt;&lt;li&gt;Contributing to the development and testing of Nielsen's One Global Reference Data System.&lt;/li&gt;&lt;/ul&gt;&lt;p&gt;&lt;br&gt;&lt;/p&gt;Consulting Style:&lt;/strong&gt;&lt;/p&gt;&lt;p&gt;Deepak's consulting style is characterized by hands-on expertise and an analytical mindset. He brings a deep understanding of process and solution design to his consulting engagements, allowing him to provide practical and actionable advice. His analytical approach to User Acceptance Testing and process improvement ensures that he identifies and resolves issues effectively, leading to better outcomes for his clients. This combination of practical experience and analytical skills makes him a trusted advisor in his field.&lt;/p&gt;</t>
  </si>
  <si>
    <t>https://www.linkedin.com/in/deepakbelwal/</t>
  </si>
  <si>
    <t>deepakbelwal@gmail.com</t>
  </si>
  <si>
    <t>BI Proficiency || Business Model Development || Data Analytics || Data Reporting || Digital Marketing || Go to Market Strategy || Growth Strategy Formulation || International Market Analysis || KPI Governance || Market access || Market research || Marketing || Media and PR || Social Media Marketing || Tech Strategy &amp; Infrastructure || BI Proficiency || Business Model Development || Data Analytics || Data Reporting || Digital Marketing || Go to Market Strategy || Growth Strategy Formulation || International Market Analysis || KPI Governance || Market access || Market research || Marketing || Media and PR || Social Media Marketing || Tech Strategy &amp; Infrastructure || BI Proficiency || Business Model Development || Data Analytics || Data Reporting || Digital Marketing || Go to Market Strategy || Growth Strategy Formulation || International Market Analysis || KPI Governance || Market access || Market research || Marketing || Media and PR || Social Media Marketing || Tech Strategy &amp; Infrastructure || BI Proficiency || Business Model Development || Data Analytics || Data Reporting || Digital Marketing || Go to Market Strategy || Growth Strategy Formulation || International Market Analysis || KPI Governance || Market access || Market research || Marketing || Media and PR || Social Media Marketing || Tech Strategy &amp; Infrastructure || Business Model Development || IT Consulting</t>
  </si>
  <si>
    <t>FinTech || FinTech || FinTech || FinTech || FinTech || FinTech || FinTech || FinTech || FinTech || FinTech || FinTech || FinTech || FinTech || FinTech || FinTech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FinTech || FinTech || FinTech || FinTech || FinTech || FinTech || FinTech || FinTech || FinTech || FinTech || FinTech || FinTech || FinTech || FinTech || FinTech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Software &amp; IT Services</t>
  </si>
  <si>
    <t>Devang Patel</t>
  </si>
  <si>
    <t>Growth mindset coach Leadership Facilitator Start up mentor Sales growth motivator</t>
  </si>
  <si>
    <t xml:space="preserve">212 degrees Training and Coaching </t>
  </si>
  <si>
    <t>Summary&lt;/strong&gt;&lt;/p&gt;&lt;p&gt;Devang is a seasoned professional with two decades of experience in coaching, consulting, and facilitation. He leads the Center for Family Business and Entrepreneurship at Marwadi University and is the Founder of 212 Degrees Training and Coaching. He has a strong focus on nurturing growth mindsets in individuals and organizations.&lt;/p&gt;&lt;p&gt;&lt;br&gt;&lt;/p&gt;Key Areas of Expertise&lt;/strong&gt;&lt;/p&gt;&lt;ul&gt;&lt;li&gt;Executive Performance Coaching&lt;/li&gt;&lt;li&gt;High Impact Experiential Learning&lt;/li&gt;&lt;li&gt;Family Business Ecosystem Development&lt;/li&gt;&lt;li&gt;Business Growth Consulting&lt;/li&gt;&lt;li&gt;Blue Ocean Strategy&lt;/li&gt;&lt;li&gt;Strategic Management&lt;/li&gt;&lt;li&gt;Design Thinking&lt;/li&gt;&lt;li&gt;Emotional Intelligence&lt;/li&gt;&lt;/ul&gt;&lt;p&gt;&lt;br&gt;&lt;/p&gt;Strategic Contributions&lt;/strong&gt;&lt;/p&gt;&lt;ul&gt;&lt;li&gt;Founder of 212 Degrees Training and Coaching, which specializes in executive performance coaching and experiential learning, helping organizations achieve up to 2x business value growth.&lt;/li&gt;&lt;li&gt;Head of Center for Family Business and Entrepreneurship at Marwadi University, fostering growth in the family business ecosystem.&lt;/li&gt;&lt;li&gt;Mentor coach at various institutions and accelerators, including Atal Innovation Center, Birla Institute of Management Technology NOIDA, Charusat University Accelerator, and others.&lt;/li&gt;&lt;li&gt;Conducted high-impact training and facilitation for corporate firms and academic institutions, including AC Nielsen, Rites Ltd, Shapoorji Palloonji, Nirma University, and more.&lt;/li&gt;&lt;/ul&gt;&lt;p&gt;&lt;br&gt;&lt;/p&gt;Mentorship Philosophy&lt;/strong&gt;&lt;/p&gt;&lt;p&gt;Devang believes in nurturing a growth mindset through experiential learning, focusing on changes in structure, people, processes, culture, and technology to drive organizational growth. He emphasizes the importance of innovative methods and effective learning experiences in his coaching and mentoring approach.&lt;/p&gt;&lt;p&gt;&lt;br&gt;&lt;/p&gt;Success Stories&lt;/strong&gt;&lt;/p&gt;&lt;ul&gt;&lt;li&gt;Successfully facilitated business growth for numerous organizations through his coaching and training programs.&lt;/li&gt;&lt;li&gt;Recognized for his contributions to various industries, including Ayurvedic health tech, education, FMCG, and people development.&lt;/li&gt;&lt;li&gt;Accredited in design thinking by NHRDN Pune and certified in emotional intelligence.&lt;/li&gt;&lt;/ul&gt;&lt;p&gt;&lt;br&gt;&lt;/p&gt;Additional Information&lt;/strong&gt;&lt;/p&gt;&lt;ul&gt;&lt;li&gt;Internationally accredited coach trained by the International Coaching Federation (ICF USA).&lt;/li&gt;&lt;li&gt;Has participated in Management Development Programs (MDP) and Faculty Development Programs (FDP) at top-tier institutions like IIM Bangalore, IIM Calcutta, and IIM Calicut.&lt;/li&gt;&lt;li&gt;Former Head and Academic Dean at a prominent corporate B-school in Gujarat, specializing in intrapreneurship and Blue Ocean Strategy.&lt;/li&gt;&lt;/ul&gt;</t>
  </si>
  <si>
    <t>https://www.linkedin.com/in/devang-patel-93766a1a</t>
  </si>
  <si>
    <t>research.devang@gmail.com</t>
  </si>
  <si>
    <t>Go to Market Strategy || Growth Strategy Formulation || Market access || Market research || Organizational Development || Performance Management || Training &amp; Development || Go to Market Strategy || Growth Strategy Formulation || Market access || Market research || Organizational Development || Performance Management || Training &amp; Development || Go to Market Strategy || Growth Strategy Formulation || Market access || Market research || Organizational Development || Performance Management || Training &amp; Development || Go to Market Strategy || Growth Strategy Formulation || Market access || Market research || Organizational Development || Performance Management || Training &amp; Development || Go to Market Strategy || Growth Strategy Formulation || Market access || Market research || Organizational Development || Performance Management || Training &amp; Development || Go to Market Strategy || Growth Strategy Formulation || Market access || Market research || Organizational Development || Performance Management || Training &amp; Development || Training &amp; Development || Entrepreneurship Coaching</t>
  </si>
  <si>
    <t>Education &amp; Training || Education &amp; Training || Education &amp; Training || Education &amp; Training || Education &amp; Training || Education &amp; Training || Education &amp; Training || Services || Services || Services || Services || Services || Services || Services || Education &amp; Training || Education &amp; Training || Education &amp; Training || Education &amp; Training || Education &amp; Training || Education &amp; Training || Education &amp; Training || Services || Services || Services || Services || Services || Services || Services || Education &amp; Training || Education &amp; Training || Education &amp; Training || Education &amp; Training || Education &amp; Training || Education &amp; Training || Education &amp; Training || Services || Services || Services || Services || Services || Services || Services || Education &amp; Training</t>
  </si>
  <si>
    <t>Devang Raja</t>
  </si>
  <si>
    <t>Venture Wolf</t>
  </si>
  <si>
    <t>Summary:&lt;/strong&gt;&lt;/p&gt;&lt;p&gt;Devang, who was honored as one of the 5 Most Powerful Business Leaders in Fundraising and Entrepreneurship to Watch in 2024 by The Leaders Globe Magazine, is a distinguished figure in the financial services and entrepreneurship sector. With over 21 years of experience, he is the Founder of Venture Wolf, a leading organization recognized for its rapid growth and impactful role in promoting entrepreneurship in India. Devang is a Viksit Bharat Ambassador, advocating for the vision of a developed Bharat by 2047. His contributions extend beyond his role as an entrepreneur, as he is also a prominent speaker, startup jury panel member, and mentor.&lt;/p&gt;&lt;p&gt;&lt;br&gt;&lt;/p&gt;Core Expertise:&lt;/strong&gt;&lt;/p&gt;&lt;p&gt;Devang specializes in financial services, entrepreneurship, and startup mentoring. His expertise spans fundraising, business development, and strategic planning. As a Founder and mentor, he deeply understands the entrepreneurial landscape, guiding startups from ideation to IPO. He is also well-versed in creating MVPs, developing go-to-market strategies, and securing funding.&lt;/p&gt;&lt;p&gt;&lt;br&gt;&lt;/p&gt;Problem-Solving Approach:&lt;/strong&gt;&lt;/p&gt;&lt;p&gt;Devang adopts a hands-on and strategic approach to solving the challenges faced by startups. He focuses on understanding each venture's unique needs and provides tailored guidance to address specific issues. His methodology includes creating actionable business plans, developing effective MVPs, and facilitating successful market entry strategies. Devang’s problem-solving skills are reinforced by his direct experience as an entrepreneur, which enables him to offer practical solutions and actionable advice.&lt;/p&gt;&lt;p&gt;&lt;br&gt;&lt;/p&gt;Impactful Projects:&lt;/strong&gt;&lt;/p&gt;&lt;p&gt;Under Devang’s leadership, Venture Wolf has been recognized as "The Fastest Growing Company Promoting Entrepreneurship in India – 2024" by Entrepreneur One Magazine and as one of 'The 30 Most Trusted Brands To Watch In 2023' by Prime Insights Business Magazine. He has also been featured on national television, sharing his insights on Indian startups and the broader startup ecosystem. Devang curates startups for the Atal Incubation Center at NMIMS, helping them secure significant funding for Product Management development and market entry. His involvement in various startup events and panels showcases his commitment to nurturing and scaling new ventures.&lt;/p&gt;&lt;p&gt;&lt;br&gt;&lt;/p&gt;Consultation Style:&lt;/strong&gt;&lt;/p&gt;&lt;p&gt;His proactive and supportive approach characterizes Devang’s consultation style. He engages closely with entrepreneurs, providing mentorship and strategic advice tailored to their specific needs. He focuses on guiding startups through each stage of their journey, from ideation to execution, and ensuring they are well-equipped to succeed. Devang’s hands-on approach and extensive experience allow him to offer valuable insights and practical solutions that drive growth and success.&lt;/p&gt;&lt;p&gt;Devang Raja’s dedication to entrepreneurship and proven track record make him a key player in the startup ecosystem. With his vision and expertise, he inspires and guides the next generation of entrepreneurs.&lt;/p&gt;</t>
  </si>
  <si>
    <t>https://www.linkedin.com/in/devangraja2001/</t>
  </si>
  <si>
    <t>devangraja2001@gmail.com</t>
  </si>
  <si>
    <t>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Investing || Buisness Operations</t>
  </si>
  <si>
    <t>Agriculture &amp; Food Processing || Agriculture &amp; Food Processing || Agriculture &amp; Food Processing || AI, Big Data &amp; Analytics || AI, Big Data &amp; Analytics || AI, Big Data &amp; Analytics || Automobiles &amp; Auto Components || Automobiles &amp; Auto Components || Automobiles &amp; Auto Components || CleanTech || CleanTech || CleanTech || Consumer Products || Consumer Products || Consumer Products || Defence &amp; Public Safety || Defence &amp; Public Safety || Defence &amp; Public Safety || Energy &amp; Renewable Resources || Energy &amp; Renewable Resources || Energy &amp; Renewable Resources || Environment, Sustainability &amp; Governance (ESG) || Environment, Sustainability &amp; Governance (ESG) || Environment, Sustainability &amp; Governance (ESG) || Fashion &amp; Beauty || Fashion &amp; Beauty || Fashion &amp; Beauty || FinTech || FinTech || FinTech || Media, Arts &amp; Entertainment || Media, Arts &amp; Entertainment || Media, Arts &amp; Entertainment || Real Estate &amp; Construction || Real Estate &amp; Construction || Real Estate &amp; Construction || Retail &amp; e-Commerce || Retail &amp; e-Commerce || Retail &amp; e-Commerce || Social &amp; Community Services || Social &amp; Community Services || Social &amp; Community Services || Sports || Sports || Sports || Technology &amp; Innovation || Technology &amp; Innovation || Technology &amp; Innovation || Telecommunications || Telecommunications || Telecommunications || Textiles &amp; Apparel || Textiles &amp; Apparel || Textiles &amp; Apparel || Tourism &amp; Hospitality || Tourism &amp; Hospitality || Tourism &amp; Hospitality || Transportation &amp; Logistics || Transportation &amp; Logistics || Transportation &amp; Logistics || Agriculture &amp; Food Processing || Agriculture &amp; Food Processing || Agriculture &amp; Food Processing || AI, Big Data &amp; Analytics || AI, Big Data &amp; Analytics || AI, Big Data &amp; Analytics || Automobiles &amp; Auto Components || Automobiles &amp; Auto Components || Automobiles &amp; Auto Components || CleanTech || CleanTech || CleanTech || Consumer Products || Consumer Products || Consumer Products || Defence &amp; Public Safety || Defence &amp; Public Safety || Defence &amp; Public Safety || Energy &amp; Renewable Resources || Energy &amp; Renewable Resources || Energy &amp; Renewable Resources || Environment, Sustainability &amp; Governance (ESG) || Environment, Sustainability &amp; Governance (ESG) || Environment, Sustainability &amp; Governance (ESG) || Fashion &amp; Beauty || Fashion &amp; Beauty || Fashion &amp; Beauty || FinTech || FinTech || FinTech || Media, Arts &amp; Entertainment || Media, Arts &amp; Entertainment || Media, Arts &amp; Entertainment || Real Estate &amp; Construction || Real Estate &amp; Construction || Real Estate &amp; Construction || Retail &amp; e-Commerce || Retail &amp; e-Commerce || Retail &amp; e-Commerce || Social &amp; Community Services || Social &amp; Community Services || Social &amp; Community Services || Sports || Sports || Sports || Technology &amp; Innovation || Technology &amp; Innovation || Technology &amp; Innovation || Telecommunications || Telecommunications || Telecommunications || Textiles &amp; Apparel || Textiles &amp; Apparel || Textiles &amp; Apparel || Tourism &amp; Hospitality || Tourism &amp; Hospitality || Tourism &amp; Hospitality || Transportation &amp; Logistics || Transportation &amp; Logistics || Transportation &amp; Logistics || Venture Funding</t>
  </si>
  <si>
    <t>Devansh Lakhani</t>
  </si>
  <si>
    <t>Director &amp; Startup Fundraising expert</t>
  </si>
  <si>
    <t>Bio
Devansh Lakhani is a Chartered Accountant and Angel Investor based in Mumbai, India. He is the founder and Director of Lakhani Financial Services (LFS), a boutique investment banking and investment advisory firm that specializes in helping early-stage startups raise funds, prepare business plans, and scale their operations.
​
What He Does
Helps startups with fundraising from a network of 450+ investors (including VCs, Angels, and Family offices)
Advises on business planning and pitch deck preparation
Provides 1-on-1 mentoring to startup founders
Assists with ESOP design, government grants, and Startup India certification
​
Track Record
Helped 18+ startups raise funds
Advised over 350+ startups on business planning
Mentored 16+ startups on building and scaling operations
Created a network of 450+ investors
​
Key Skills
Startup fundraising &amp; investment advisory
Business plan &amp; pitch deck development
Company &amp; business valuation
Financial modeling &amp; financial analysis
Strategic planning &amp; business strategy
Startup marketing &amp; mentoring
Angel investing
Corporate finance &amp; equity research</t>
  </si>
  <si>
    <t>https://www.linkedin.com/in/devanshlakhani-financial-services/</t>
  </si>
  <si>
    <t>devansh@lakhanifinancialservices.com</t>
  </si>
  <si>
    <t>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Angel Investing || ESOPs || Fundraising || Government Funding || Pitch coaching || Tax Incentives || Investing || Business Finance</t>
  </si>
  <si>
    <t>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CleanTech || CleanTech || CleanTech || CleanTech || CleanTech || CleanTech || Consumer Products || Consumer Products || Consumer Products || Consumer Products || Consumer Products || Consumer Products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FinTech || FinTech || FinTech || FinTech || FinTech || FinTech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CleanTech || CleanTech || CleanTech || CleanTech || CleanTech || CleanTech || Consumer Products || Consumer Products || Consumer Products || Consumer Products || Consumer Products || Consumer Products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FinTech || FinTech || FinTech || FinTech || FinTech || FinTech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CleanTech || CleanTech || CleanTech || CleanTech || CleanTech || CleanTech || Consumer Products || Consumer Products || Consumer Products || Consumer Products || Consumer Products || Consumer Products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FinTech || FinTech || FinTech || FinTech || FinTech || FinTech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Venture Funding</t>
  </si>
  <si>
    <t>Dhanashri Rane</t>
  </si>
  <si>
    <t xml:space="preserve">Head - Digital Product Managements, Platform, Acquisition </t>
  </si>
  <si>
    <t>RBL Bank</t>
  </si>
  <si>
    <t>Summary&lt;/strong&gt;: Dhanashri Rane brings over 15 years of experience in the BFSI sector, specializing in delivering large-scale initiatives and enterprise-wide transformations through Digital Reinvention. She excels in driving complex projects to fruition, optimizing resources, and achieving substantial revenue growth.&amp;nbsp;&lt;/p&gt;&lt;p&gt;&lt;br&gt;&lt;/p&gt;Core Expertise&lt;/strong&gt;: &lt;/p&gt;&lt;ul&gt;&lt;li&gt;Digital Transformation&lt;/li&gt;&lt;li&gt;Project Management&lt;/li&gt;&lt;li&gt;Product Management Lifecycle Management&lt;/li&gt;&lt;li&gt;Business Scaling&lt;/li&gt;&lt;/ul&gt;&lt;p&gt;&lt;br&gt;&lt;/p&gt;Problem-Solving Approach&lt;/strong&gt;: Dhanashri is adept at navigating the complexities of BFSI environments and leveraging digital platforms to manage and scale businesses across assets, liabilities, and investments. Her strategic initiatives consistently deliver business benefits, including resource optimization and revenue enhancement.&lt;/p&gt;&lt;p&gt;&lt;br&gt;&lt;/p&gt;Impactful Projects&lt;/strong&gt;: Successfully led the lifecycle management of Product Managements across digital platforms in the BFSI sector, enabling setup and scalable growth of businesses. Implemented transformative projects that streamlined operations and enhanced customer engagement, resulting in significant operational efficiencies and revenue growth.&lt;/p&gt;</t>
  </si>
  <si>
    <t>https://www.linkedin.com/in/dhanashri-digital/</t>
  </si>
  <si>
    <t>dhanashri.rane@gmail.com</t>
  </si>
  <si>
    <t>Product Development || Product Development || Product Development || Product Development || Product Management</t>
  </si>
  <si>
    <t>Banking &amp; Financial Services || FinTech || Banking &amp; Financial Services || FinTech || Fintech, Banking, Financial Services || Fintech, Banking, Financial Services</t>
  </si>
  <si>
    <t>Vaibhav Tewari</t>
  </si>
  <si>
    <t>Portea</t>
  </si>
  <si>
    <t>Summary&lt;/strong&gt;&lt;/p&gt;&lt;p&gt;Mr. Vaibhav's career is distinguished by his dedication to building and scaling businesses, positioning him as a seasoned leader who not only drives growth but also mentors the next generation of entrepreneurs and executives. His journey is characterized by a hands-on leadership approach, combining strategic vision with practical coaching to guide others through the complexities of business development and personal growth.&lt;/p&gt;&lt;p&gt;&lt;br&gt;&lt;/p&gt;Key Areas of Expertise&lt;/strong&gt;&lt;/p&gt;&lt;p&gt;Mr. Vaibhav's expertise centers on the art of building and scaling businesses. His focus on strategy development, business management, and marketing has been refined through years of experience. This allows him to craft tailored strategies that align with market dynamics and organizational goals, making him a valuable asset in any business endeavor.&lt;/p&gt;&lt;p&gt;&lt;br&gt;&lt;/p&gt;Strategic Contributions&lt;/strong&gt;&lt;/p&gt;&lt;p&gt;Throughout his career, Mr. Vaibhav has shown a keen ability to identify early industry trends, which has been instrumental in founding and nurturing successful businesses. His contributions go beyond financial success, encompassing the creation of meaningful employment opportunities and the cultivation of environments where innovation thrives. His strategic foresight and entrepreneurial spirit have consistently led to the development of robust business ventures.&lt;/p&gt;&lt;p&gt;&lt;br&gt;&lt;/p&gt;Mentorship Philosophy&lt;/strong&gt;&lt;/p&gt;&lt;p&gt;Mr. Vaibhav believes strongly in the power of coaching as a cornerstone of professional and personal growth. His mentorship philosophy is grounded in a commitment to guiding aspiring entrepreneurs and executives, helping them navigate challenges and unlock their full potential. By sharing his knowledge and experiences, he empowers others to achieve their goals and make a positive impact on the business landscape.&lt;/p&gt;</t>
  </si>
  <si>
    <t>https://www.linkedin.com/in/vaibhavtewari/</t>
  </si>
  <si>
    <t>vaibhav.tewari@portea.com</t>
  </si>
  <si>
    <t>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Business Model Development || Go to Market Strategy || Growth Strategy Formulation || Media and PR || Entrepreneurship Coaching || Marketing &amp; Branding</t>
  </si>
  <si>
    <t>Fashion &amp; Beauty || Fashion &amp; Beauty || Fashion &amp; Beauty || Fashion &amp; Beauty || Fashion &amp; Beauty || FinTech || FinTech || FinTech || FinTech || FinTech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Services || Services || Services || Services || Services || Social &amp; Community Services || Social &amp; Community Services || Social &amp; Community Services || Social &amp; Community Services || Social &amp; Community Services || Fashion &amp; Beauty || Fashion &amp; Beauty || Fashion &amp; Beauty || Fashion &amp; Beauty || Fashion &amp; Beauty || FinTech || FinTech || FinTech || FinTech || FinTech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Services || Services || Services || Services || Services || Social &amp; Community Services || Social &amp; Community Services || Social &amp; Community Services || Social &amp; Community Services || Social &amp; Community Services || Fashion &amp; Beauty || Fashion &amp; Beauty || Fashion &amp; Beauty || Fashion &amp; Beauty || Fashion &amp; Beauty || FinTech || FinTech || FinTech || FinTech || FinTech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Services || Services || Services || Services || Services || Social &amp; Community Services || Social &amp; Community Services || Social &amp; Community Services || Social &amp; Community Services || Social &amp; Community Services || Pharmaceuticals, Healthcare and Wellness</t>
  </si>
  <si>
    <t>Dibya Prakash</t>
  </si>
  <si>
    <t>ECD Venture and Technology &amp; Business Consulting Group</t>
  </si>
  <si>
    <t>Summary:&amp;nbsp;&lt;/strong&gt;Dibya Prakash is a technology transformation leader with extensive experience in IT strategy, building technology roadmaps, and developing IT and digital strategies. He specializes in architecture re-engineering, adapting emerging technologies, and innovative research to drive organizational growth and efficiency.&amp;nbsp;&lt;/p&gt;&lt;p&gt;&lt;br&gt;&lt;/p&gt;Core Expertise:&lt;/strong&gt;&amp;nbsp;IT Strategy, Technology Roadmaps, Digital Transformation, Architecture Re-engineering, Emerging Technologies, Cybersecurity, Application Engineering&lt;/p&gt;&lt;p&gt;&lt;br&gt;&lt;/p&gt;Problem-Solving Approach:&lt;/strong&gt;&amp;nbsp;Dibya Prakash employs a multidisciplinary approach to solve complex challenges in IT and digital transformation. He consults with CXOs and decision-makers, implementing comprehensive programs that encompass application engineering, cybersecurity, and the integration of new-generation technologies to meet global standards.&amp;nbsp;&lt;/p&gt;&lt;p&gt;&lt;br&gt;&lt;/p&gt;Impactful Projects:&lt;/strong&gt;&amp;nbsp;Led the implementation of complex IT initiatives across diverse domains, enhancing operational efficiency and organizational agility. Advised on and implemented architecture re-engineering projects, optimizing IT infrastructure and driving cost savings. Pioneered innovative research in emerging technologies, fostering a culture of continuous improvement and adaptation.&amp;nbsp;&lt;/p&gt;&lt;p&gt;&lt;br&gt;&lt;/p&gt;Consultation Style:&amp;nbsp;&lt;/strong&gt;Dibya Prakash engages in consultative partnerships with stakeholders, leveraging deep domain expertise to provide strategic guidance and drive impactful technological advancements. His approach combines rigorous analysis with practical implementation strategies tailored to meet organizational objectives.&lt;/p&gt;</t>
  </si>
  <si>
    <t>https://linkedIn.com/in/dibyaprakash</t>
  </si>
  <si>
    <t>dibyap@gmail.com</t>
  </si>
  <si>
    <t>44-2080896521</t>
  </si>
  <si>
    <t>Go to Market Strategy || Quality Assurance || Software Development || Tech Strategy &amp; Infrastructure || Go to Market Strategy || Quality Assurance || Software Development || Tech Strategy &amp; Infrastructure || Go to Market Strategy || Quality Assurance || Software Development || Tech Strategy &amp; Infrastructure || Go to Market Strategy || Quality Assurance || Software Development || Tech Strategy &amp; Infrastructure || Go to Market Strategy || Quality Assurance || Software Development || Tech Strategy &amp; Infrastructure || Go to Market Strategy || Quality Assurance || Software Development || Tech Strategy &amp; Infrastructure || Go to Market Strategy || Quality Assurance || Software Development || Tech Strategy &amp; Infrastructure || Go to Market Strategy || Quality Assurance || Software Development || Tech Strategy &amp; Infrastructure || Go to Market Strategy || Quality Assurance || Software Development || Tech Strategy &amp; Infrastructure || Go to Market Strategy || Quality Assurance || Software Development || Tech Strategy &amp; Infrastructure || IT Consulting</t>
  </si>
  <si>
    <t>AI, Big Data &amp; Analytics || AI, Big Data &amp; Analytics || AI, Big Data &amp; Analytics || AI, Big Data &amp; Analytics || CleanTech || CleanTech || CleanTech || CleanTech || FinTech || FinTech || FinTech || FinTech || Services || Services || Services || Services || Technology &amp; Innovation || Technology &amp; Innovation || Technology &amp; Innovation || Technology &amp; Innovation || AI, Big Data &amp; Analytics || AI, Big Data &amp; Analytics || AI, Big Data &amp; Analytics || AI, Big Data &amp; Analytics || CleanTech || CleanTech || CleanTech || CleanTech || FinTech || FinTech || FinTech || FinTech || Services || Services || Services || Services || Technology &amp; Innovation || Technology &amp; Innovation || Technology &amp; Innovation || Technology &amp; Innovation || Software &amp; IT Services</t>
  </si>
  <si>
    <t>Divya Maghan</t>
  </si>
  <si>
    <t>Independent legal Consultant</t>
  </si>
  <si>
    <t>Summary: &lt;/strong&gt;Divya is a Corporate and Commercial Lawyer specializing in domestic and cross-border investment structuring and M&amp;amp;A transactions. With a robust background in drafting and reviewing commercial contracts across diverse sectors including information technology, pharmaceuticals, hospitality, engineering, and aviation, she has provided legal counsel to prominent corporates such as Jet Airways, Kirloskar Group, and Forbes Marshall Group, as well as startups and SMEs including Jugnoo, Goyano, Click Labs, and Appkruti.&amp;nbsp;&lt;/p&gt;&lt;p&gt;&lt;br&gt;&lt;/p&gt;Core Expertise:&amp;nbsp;&lt;/strong&gt;Corporate Law, Commercial Law, Investment Structuring, M&amp;amp;A Transactions, Contract Drafting and Review, Sector-specific Legal Advisory&lt;/p&gt;&lt;p&gt;&lt;br&gt;&lt;/p&gt;Problem-Solving Approach:&lt;/strong&gt;&amp;nbsp;Divya applies a meticulous approach to legal challenges, leveraging her expertise to structure complex investment deals and navigate intricate M&amp;amp;A transactions. She provides tailored legal solutions that align with business objectives while ensuring compliance with regulatory frameworks across multiple sectors.&amp;nbsp;&lt;/p&gt;&lt;p&gt;&lt;br&gt;&lt;/p&gt;Impactful Projects:&lt;/strong&gt;&amp;nbsp;Advised on cross-border investment structuring for multinational corporations, facilitating strategic expansions and acquisitions. Drafted comprehensive commercial contracts that mitigate legal risks and optimize operational efficiencies for clients in diverse industries. Guided startups and SMEs through legal complexities, supporting their growth trajectories and fostering sustainable business practices.&amp;nbsp;&lt;/p&gt;&lt;p&gt;&lt;br&gt;&lt;/p&gt;Consultation Style:&lt;/strong&gt;&amp;nbsp;Divya adopts a client-centric consultation style, fostering collaborative partnerships to understand client needs thoroughly. She offers strategic legal advice that is both pragmatic and proactive, empowering clients to make informed decisions and achieve their business goals effectively.&lt;/p&gt;</t>
  </si>
  <si>
    <t>https://www.linkedin.com/in/divyamaghan</t>
  </si>
  <si>
    <t>divya.maghan@gmail.com</t>
  </si>
  <si>
    <t>98105 50704</t>
  </si>
  <si>
    <t>Legal and Compliance</t>
  </si>
  <si>
    <t>Compliance Assistance || Contracts &amp; Agreements || Compliance Assistance || Contracts &amp; Agreements || Compliance Assistance || Contracts &amp; Agreements || Compliance Assistance || Contracts &amp; Agreements || Legal and Compliance</t>
  </si>
  <si>
    <t>Others || Others || Services || Services || Others || Others || Services || Services || Software &amp; IT Services</t>
  </si>
  <si>
    <t>Dr. Amit Kumar Marwah</t>
  </si>
  <si>
    <t>Professor and Head, Department of Mechanical Engineering</t>
  </si>
  <si>
    <t>Acropolis Institute Of Technology And Research</t>
  </si>
  <si>
    <t>Summary:&lt;/strong&gt;&lt;/p&gt;&lt;p&gt;Dr. Amit Kumar Marwah is a distinguished academic and entrepreneur with over 22 years of teaching experience and 14 years in entrepreneurship. He holds a Ph.D. in Supply Chain Management and is currently the Professor and Head of the Mechanical Engineering Department at Acropolis Institute of Technology &amp;amp; Research, Indore. Dr. Marwah is recognized for his expertise in Industrial Engineering, Operations Management, and Innovation. He is an active mentor, holding leadership roles such as IIC Vice President and Innovation Ambassador. He has authored four patents and co-founded a start-up, focusing on automobiles, sustainability, and entrepreneurship.&lt;/p&gt;&lt;p&gt;&lt;br&gt;&lt;/p&gt;Key Areas of Expertise:&lt;/strong&gt;&lt;/p&gt;&lt;ul&gt;&lt;li&gt;Industrial Engineering&lt;/li&gt;&lt;li&gt;Operations Management&lt;/li&gt;&lt;li&gt;Entrepreneurship Education&lt;/li&gt;&lt;li&gt;Innovation and Patenting&lt;/li&gt;&lt;li&gt;Academic Administration&lt;/li&gt;&lt;li&gt;Design Thinking&lt;/li&gt;&lt;/ul&gt;&lt;p&gt;&lt;br&gt;&lt;/p&gt;Strategic Contributions:&lt;/strong&gt;&lt;/p&gt;&lt;ul&gt;&lt;li&gt;Developed and led initiatives in entrepreneurship education and innovation within the academic setting.&lt;/li&gt;&lt;li&gt;Held significant roles such as IIC Vice President, ARIIA Coordinator, NISP Coordinator, and Innovation Ambassador at AITR.&lt;/li&gt;&lt;li&gt;Served as a Global Jury Member of WF-NEN and Evaluator for Toycathon (AICTE), contributing to the evaluation and promotion of innovative ideas.&lt;/li&gt;&lt;/ul&gt;&lt;p&gt;&lt;br&gt;&lt;/p&gt;Mentorship Philosophy:&lt;/strong&gt;&lt;/p&gt;&lt;p&gt;Dr. Marwah believes in fostering innovation and entrepreneurship among students and budding entrepreneurs. He emphasizes the importance of practical knowledge, sustainability, and continuous learning in shaping future leaders and innovators.&lt;/p&gt;&lt;p&gt;&lt;br&gt;&lt;/p&gt;Success Stories:&lt;/strong&gt;&lt;/p&gt;&lt;ul&gt;&lt;li&gt;Successfully co-founded and directed a start-up, leveraging his expertise in engineering and management.&lt;/li&gt;&lt;li&gt;Secured four patents, demonstrating a strong commitment to innovation and practical application of research.&lt;/li&gt;&lt;li&gt;Recognized for his contributions to entrepreneurship and innovation education, playing a pivotal role in nurturing young talents.&lt;/li&gt;&lt;/ul&gt;&lt;p&gt;&lt;br&gt;&lt;/p&gt;Top Skills:&lt;/strong&gt;&lt;/p&gt;&lt;ul&gt;&lt;li&gt;Industrial Engineering&lt;/li&gt;&lt;li&gt;Academic Administration&lt;/li&gt;&lt;li&gt;Design Thinking&lt;/li&gt;&lt;li&gt;Entrepreneurship Education&lt;/li&gt;&lt;li&gt;Motivational Speaking&lt;/li&gt;&lt;/ul&gt;</t>
  </si>
  <si>
    <t>https://www.linkedin.com/in/amit-kumar-marwah</t>
  </si>
  <si>
    <t>marwaha.amit@gmail.com</t>
  </si>
  <si>
    <t>Business Model Development || Product Development || Supply Chain Management || Business Model Development || Product Development || Supply Chain Management || Entrepreneurship Coaching</t>
  </si>
  <si>
    <t>Dr. Anu Khanchandani</t>
  </si>
  <si>
    <t>Fintoo Online</t>
  </si>
  <si>
    <t>Summary:&amp;nbsp;&lt;/strong&gt;Dr. Anu has been a prominent figure in the Digital Product Management industry since 1997, holding diverse roles in CMM-Level 5 organizations such as Syntel (India), Delta Technology (USA), and Reuters Asia (Singapore). She has been instrumental in consulting numerous Indian startups, serving as a Startup Coach, Consultant, CTO, and Principal Mentor (IT), guiding them through their digital journeys from inception to profitability. Dr. Anu co-founded www.fintoo.in, a leading WealthTech Advisory platform.&amp;nbsp;&lt;/p&gt;&lt;p&gt;&lt;br&gt;&lt;/p&gt;Core Expertise:&amp;nbsp;&lt;/strong&gt;Digital Product Management Management, Startup Consulting, CTO Advisory, Product Management Design, Marketing Strategy, Funding Strategy&amp;nbsp;&lt;/p&gt;&lt;p&gt;&lt;br&gt;&lt;/p&gt;Problem-Solving Approach:&lt;/strong&gt;&amp;nbsp;Dr. Anu adopts a strategic and patient approach to navigating the complexities of the digital startup ecosystem. She emphasizes meticulous planning and execution across all facets of Product Management development, marketing, sales, and fundraising, ensuring sustainable growth and success.&amp;nbsp;&lt;/p&gt;&lt;p&gt;&lt;br&gt;&lt;/p&gt;Impactful Projects:&lt;/strong&gt;&amp;nbsp;Co-founded www.fintoo.in, transforming traditional wealth advisory through innovative digital solutions. Guided numerous Indian startups in establishing their digital presence and achieving profitability through strategic IT and business consulting. Played pivotal roles in CMM-Level 5 organizations, driving digital transformation and operational excellence across global markets.&amp;nbsp;&lt;/p&gt;&lt;p&gt;&lt;br&gt;&lt;/p&gt;Consultation Style:&lt;/strong&gt;&amp;nbsp;Dr. Anu's consultation style is marked by insightful mentorship and hands-on guidance. She collaborates closely with startups, leveraging his extensive industry experience to devise tailored strategies that align with their business objectives. Her approach emphasizes long-term success and resilience in the competitive digital landscape.&lt;/p&gt;</t>
  </si>
  <si>
    <t>https://www.linkedin.com/in/anu-khanchandani/</t>
  </si>
  <si>
    <t>anu@thegreycells.com</t>
  </si>
  <si>
    <t>Branding || Fundraising || Go to Market Strategy || Marketing || Sales Strategy || Branding || Fundraising || Go to Market Strategy || Marketing || Sales Strategy || Entrepreneurship Coaching || Product Management Management</t>
  </si>
  <si>
    <t>Education &amp; Training || Education &amp; Training || Education &amp; Training || Education &amp; Training || Education &amp; Training || FinTech || FinTech || FinTech || FinTech || FinTech || Fintech, Banking, Financial Services</t>
  </si>
  <si>
    <t>Dr. Ashish Mani</t>
  </si>
  <si>
    <t>Professor, Amity Innovation and Design Centre</t>
  </si>
  <si>
    <t xml:space="preserve">
Amity University Noida</t>
  </si>
  <si>
    <t>Summary:&lt;/strong&gt;&lt;/p&gt;&lt;p&gt;Dr. Ashish Mani is a Professor and Nodal Center In-charge at Amity University, involved in key national initiatives like SPOC at NCIIPC AICTE PENTATHON 2024 and Smart India Hackathon 2023. He is also an Editor, Author, Consultant, and Alumni of Entrepreneur First, Singapore. His research focuses on Electrical, Instrumentation, and Electronic Engineering, with recent work including the publication 'Gaussian Kernel in Quantum Paradigm.'&lt;/p&gt;&lt;p&gt;&lt;br&gt;&lt;/p&gt;Key Areas of Expertise:&lt;/strong&gt;&lt;/p&gt;&lt;ul&gt;&lt;li&gt;Evolutionary Algorithms&lt;/li&gt;&lt;li&gt;Scheduling&lt;/li&gt;&lt;li&gt;Engineering Optimization&lt;/li&gt;&lt;li&gt;Optimization&lt;/li&gt;&lt;li&gt;Engineering Design&lt;/li&gt;&lt;li&gt;Heuristics&lt;/li&gt;&lt;li&gt;Multiobjective Optimization&lt;/li&gt;&lt;li&gt;Combinatorial Optimization&lt;/li&gt;&lt;li&gt;Evolutionary Computation&lt;/li&gt;&lt;li&gt;Electronic Engineering&lt;/li&gt;&lt;/ul&gt;&lt;p&gt;&lt;br&gt;&lt;/p&gt;Strategic Contributions:&lt;/strong&gt;&lt;/p&gt;&lt;ul&gt;&lt;li&gt;Nodal Center In-charge for national events such as SPOC at NCIIPC AICTE PENTATHON 2024 and Smart India Hackathon 2023, contributing to the advancement of technology and innovation.&lt;/li&gt;&lt;li&gt;Research contributions in the field of Electrical and Electronic Engineering, including a recent publication on 'Gaussian Kernel in Quantum Paradigm.'&lt;/li&gt;&lt;/ul&gt;</t>
  </si>
  <si>
    <t>https://www.linkedin.com/in/ashishmani/</t>
  </si>
  <si>
    <t>amani@amity.edu; mani.ashish@gmail.com (Student)
ashish.mani@ieee.org</t>
  </si>
  <si>
    <t>Product Development || Prototyping &amp; Testing || Tech Strategy &amp; Infrastructure || Product Development || Prototyping &amp; Testing || Tech Strategy &amp; Infrastructure || Product Development || Prototyping &amp; Testing || Tech Strategy &amp; Infrastructure || Product Development || Prototyping &amp; Testing || Tech Strategy &amp; Infrastructure || Entrepreneurship Coaching</t>
  </si>
  <si>
    <t>AI, Big Data &amp; Analytics || AI, Big Data &amp; Analytics || AI, Big Data &amp; Analytics || Education &amp; Training || Education &amp; Training || Education &amp; Training || Energy &amp; Renewable Resources || Energy &amp; Renewable Resources || Energy &amp; Renewable Resources || Pharmaceuticals, Healthcare and Wellness || Pharmaceuticals, Healthcare and Wellness || Pharmaceuticals, Healthcare and Wellness || Education &amp; Training</t>
  </si>
  <si>
    <t>Dr. C K Sreedharan</t>
  </si>
  <si>
    <t>Faculty and Incharge- MBA- Corporate Finance, Banking and Law</t>
  </si>
  <si>
    <t>Maharashtra National Law University</t>
  </si>
  <si>
    <t>Summary:&lt;/strong&gt;&lt;/p&gt;&lt;p&gt;Dr. C.K. Sreedharan has a rich background in both engineering and academia, with a mechanical engineering degree from Delhi College of Engineering and extensive experience in academic program development, curriculum design, and teaching. He has also managed large workforce teams and has been involved in various quality management and process improvement initiatives.&amp;nbsp;&lt;/p&gt;&lt;p&gt;&lt;br&gt;&lt;/p&gt;Key Areas of Expertise:&lt;/strong&gt;&lt;/p&gt;&lt;ul&gt;&lt;li&gt;Academic Program Development and Curriculum Design&lt;/li&gt;&lt;li&gt;Quality Management and Process Improvement&lt;/li&gt;&lt;li&gt;Factory Administration and Cost Reduction&lt;/li&gt;&lt;li&gt;Counseling and Mentoring&lt;/li&gt;&lt;li&gt;Writing and Blogging on National Interests&lt;/li&gt;&lt;/ul&gt;&lt;p&gt;&lt;br&gt;&lt;/p&gt;Strategic Contributions:&lt;/strong&gt;&lt;/p&gt;&lt;ul&gt;&lt;li&gt;Head of PGDM Programs (2012-2017) and Acting Director&lt;/li&gt;&lt;li&gt;Involved in NBA and NAAC accreditation documentation&lt;/li&gt;&lt;li&gt;Managed large diverse teams and implemented process improvements&lt;/li&gt;&lt;li&gt;Authored books available on Amazon and interviewed on Voice of America&lt;/li&gt;&lt;/ul&gt;&lt;p&gt;&lt;br&gt;&lt;/p&gt;Mentorship Philosophy:&lt;/strong&gt;&lt;/p&gt;&lt;p&gt;Dr. Sreedharan believes in holistic and transparent leadership, motivating and empowering individuals to achieve their best. He emphasizes integrity, honesty, and a commitment to tasks as key virtues in his mentorship approach.&lt;/p&gt;&lt;p&gt;&lt;br&gt;&lt;/p&gt;Success Stories:&lt;/strong&gt;&lt;/p&gt;&lt;ul&gt;&lt;li&gt;Authored multiple books available online&lt;/li&gt;&lt;li&gt;Active involvement in counseling cancer patients and their caregivers&lt;/li&gt;&lt;li&gt;Recognized for his contributions to international business operations through a notable interview on "Voice of America"&lt;/li&gt;&lt;/ul&gt;</t>
  </si>
  <si>
    <t>https://www.linkedin.com/in/sreedharan-ck?lipi=urn%3Ali%3Apage%3Ad_flagship3_profile_view_base_contact_details%3B27nTA36jTiyYHnxhDvqBYg%3D%3D</t>
  </si>
  <si>
    <t>cksiyengar@gmail.com</t>
  </si>
  <si>
    <t>Market research || Training &amp; Development || Market research || Training &amp; Development || Market research || Training &amp; Development || Market research || Training &amp; Development || Market research || Training &amp; Development || Market research || Training &amp; Development || Market research || Training &amp; Development || Market research || Training &amp; Development || Entrepreneurship Coaching</t>
  </si>
  <si>
    <t>Education &amp; Training || Education &amp; Training || Others || Others || Professional &amp; Business Services || Professional &amp; Business Services || Services || Services || Education &amp; Training || Education &amp; Training || Others || Others || Professional &amp; Business Services || Professional &amp; Business Services || Services || Services || Education &amp; Training || Manufacturing</t>
  </si>
  <si>
    <t>Dr. Deepu R</t>
  </si>
  <si>
    <t>Chairman</t>
  </si>
  <si>
    <t xml:space="preserve">The Institution of Engineers (India), Mysore Local Centre </t>
  </si>
  <si>
    <t>Summary: &lt;/strong&gt;&lt;/p&gt;&lt;p&gt;Dr. Deepu R is a highly accomplished professional with 21+ years of experience in teaching, industry, research, and administration. He currently serves as a Professor in the Department of Computer Science &amp;amp; Engineering at MIT Mysore. He has received numerous awards and recognition for his contributions to academia and research.&lt;/p&gt;&lt;p&gt;&lt;br&gt;&lt;/p&gt;Key Areas of Expertise: &lt;/strong&gt;&lt;/p&gt;&lt;ul&gt;&lt;li&gt;Computer Science &amp;amp; Engineering&lt;/li&gt;&lt;li&gt;Teaching&lt;/li&gt;&lt;li&gt;Research Administration&lt;/li&gt;&lt;li&gt;Industry Collaboration&lt;/li&gt;&lt;li&gt;Research Funding&lt;/li&gt;&lt;li&gt;Ph.D. Supervision&lt;/li&gt;&lt;li&gt;Publication in IEEE&lt;/li&gt;&lt;li&gt;Springer, Elsevier Journals.&lt;/li&gt;&lt;/ul&gt;&lt;p&gt;&lt;br&gt;&lt;/p&gt;Strategic Contributions:&lt;/strong&gt;&lt;/p&gt;&lt;p&gt;Dr. Deepu has been a transformative leader in academic institutions, founding professional chapters like ACM Mysuru and chairing key conferences. His efforts in securing research funding and contributing to prestigious journals have significantly advanced the field.&lt;/p&gt;&lt;p&gt;&lt;br&gt;&lt;/p&gt;Mentorship Philosophy:&lt;/strong&gt;&lt;/p&gt;&lt;p&gt;Dr. Deepu is dedicated to mentoring, guiding Ph.D. candidates with a passion for developing future scholars. His active involvement in professional chapters and editorial boards reflects his commitment to advancing academic research.&lt;/p&gt;&lt;p&gt;&lt;br&gt;&lt;/p&gt;Success Stories:&lt;/strong&gt;&lt;/p&gt;&lt;p&gt;Dr. Deepu's work has been recognized with awards such as the Research Excellence Award 2020 and the International Education Award in 2020, highlighting his impactful contributions to education and research.&lt;/p&gt;</t>
  </si>
  <si>
    <t>https://www.linkedin.com/in/dr-deepu-r-9038b653</t>
  </si>
  <si>
    <t>Mysore</t>
  </si>
  <si>
    <t>rdeepusingh21@gmail.com</t>
  </si>
  <si>
    <t>Business Model Development || Data Analytics || Fundraising || Research Partnerships || Software Development || Tech Strategy &amp; Infrastructure || Technical Support || Training &amp; Development || UI/UX Design || Business Model Development || Data Analytics || Fundraising || Research Partnerships || Software Development || Tech Strategy &amp; Infrastructure || Technical Support || Training &amp; Development || UI/UX Design || Business Model Development || Data Analytics || Fundraising || Research Partnerships || Software Development || Tech Strategy &amp; Infrastructure || Technical Support || Training &amp; Development || UI/UX Design || Business Model Development || Data Analytics || Fundraising || Research Partnerships || Software Development || Tech Strategy &amp; Infrastructure || Technical Support || Training &amp; Development || UI/UX Design || Business Model Development || Data Analytics || Fundraising || Research Partnerships || Software Development || Tech Strategy &amp; Infrastructure || Technical Support || Training &amp; Development || UI/UX Design || Business Model Development || Data Analytics || Fundraising || Research Partnerships || Software Development || Tech Strategy &amp; Infrastructure || Technical Support || Training &amp; Development || UI/UX Design || IT Consulting</t>
  </si>
  <si>
    <t>Education &amp; Training || Education &amp; Training || Education &amp; Training || Education &amp; Training || Education &amp; Training || Education &amp; Training || Education &amp; Training || Education &amp; Training || Education &amp; Training || Technology &amp; Innovation || Technology &amp; Innovation || Technology &amp; Innovation || Technology &amp; Innovation || Technology &amp; Innovation || Technology &amp; Innovation || Technology &amp; Innovation || Technology &amp; Innovation || Technology &amp; Innovation || Education &amp; Training || Education &amp; Training || Education &amp; Training || Education &amp; Training || Education &amp; Training || Education &amp; Training || Education &amp; Training || Education &amp; Training || Education &amp; Training || Technology &amp; Innovation || Technology &amp; Innovation || Technology &amp; Innovation || Technology &amp; Innovation || Technology &amp; Innovation || Technology &amp; Innovation || Technology &amp; Innovation || Technology &amp; Innovation || Technology &amp; Innovation || Education &amp; Training || Education &amp; Training || Education &amp; Training || Education &amp; Training || Education &amp; Training || Education &amp; Training || Education &amp; Training || Education &amp; Training || Education &amp; Training || Technology &amp; Innovation || Technology &amp; Innovation || Technology &amp; Innovation || Technology &amp; Innovation || Technology &amp; Innovation || Technology &amp; Innovation || Technology &amp; Innovation || Technology &amp; Innovation || Technology &amp; Innovation || Education &amp; Training</t>
  </si>
  <si>
    <t>Dr. Harsh Vardhan Kothari</t>
  </si>
  <si>
    <t>Professor</t>
  </si>
  <si>
    <t>Delhi Institute of Advanced Studies</t>
  </si>
  <si>
    <t>Summary:&lt;/strong&gt;&lt;/p&gt;&lt;p&gt;Dr. Harsh Vardhan Kothari has a rich and varied career spanning 44 years, with 28 years in business and 16 years in academia. He is currently a Professor at DIAS and Guest Faculty at FMS (DU). He has extensive experience in entrepreneurship, leadership coaching, HR consulting, and business education.&lt;/p&gt;&lt;p&gt;&lt;br&gt;&lt;/p&gt;Key Areas of Expertise:&lt;/strong&gt;&lt;/p&gt;&lt;ul&gt;&lt;li&gt;HR Management&lt;/li&gt;&lt;li&gt;Operations Management&lt;/li&gt;&lt;li&gt;Entrepreneurship&lt;/li&gt;&lt;li&gt;Strategy Development&lt;/li&gt;&lt;li&gt;Business Communication&lt;/li&gt;&lt;li&gt;Leadership Coaching&lt;/li&gt;&lt;li&gt;Research Methods in Management&lt;/li&gt;&lt;/ul&gt;&lt;p&gt;&lt;br&gt;&lt;/p&gt;Strategic Contributions:&lt;/strong&gt;&lt;/p&gt;&lt;ul&gt;&lt;li&gt;Led multiple entrepreneurship cells in various institutes, fostering entrepreneurial spirit among students.&lt;/li&gt;&lt;li&gt;Played a key role in the growth and development of enterprises in the manufacturing sector.&lt;/li&gt;&lt;li&gt;Active involvement in professional associations and networks enhancing industry-academic collaboration.&lt;/li&gt;&lt;/ul&gt;&lt;p&gt;&lt;br&gt;&lt;/p&gt;Mentorship Philosophy:&lt;/strong&gt;&lt;/p&gt;&lt;ul&gt;&lt;li&gt;Passionate about teaching and mentoring, particularly in entrepreneurship and HR areas.&lt;/li&gt;&lt;li&gt;Certified mentor in entrepreneurship, staying updated with current practices.&lt;/li&gt;&lt;li&gt;Engages actively with educational institutions and networks to promote management education and research.&lt;/li&gt;&lt;/ul&gt;&lt;p&gt;&lt;br&gt;&lt;/p&gt;Success Stories:&lt;/strong&gt;&lt;/p&gt;&lt;ul&gt;&lt;li&gt;Published 21 research papers and numerous articles in management topics, contributing to academia.&lt;/li&gt;&lt;li&gt;Successfully led initiatives to integrate practical business experience with academic learning.&lt;/li&gt;&lt;/ul&gt;</t>
  </si>
  <si>
    <t>https://www.linkedin.com/in/dr-harsh-kothari-60231412/</t>
  </si>
  <si>
    <t>harshkothari76@gmail.com</t>
  </si>
  <si>
    <t>Business Model Development || Organizational Development || Process Optimization || Strategic Planning || Training &amp; Development || Business Model Development || Organizational Development || Process Optimization || Strategic Planning || Training &amp; Development || Business Model Development || Organizational Development || Process Optimization || Strategic Planning || Training &amp; Development || HR Consulting || Buisness Operations</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</si>
  <si>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HR Services || Education &amp; Training</t>
  </si>
  <si>
    <t>Rahul Vyas</t>
  </si>
  <si>
    <t>International Union Against Tuberculosis and Lung Disease (The Union)</t>
  </si>
  <si>
    <t>Summary&lt;/strong&gt;&lt;/p&gt;&lt;p&gt;Mr. Rahul is a seasoned consultant with over two decades of experience in government, financial services, healthcare, and e-governance sectors. He has revolutionized banking automation, managed national e-governance projects, and led major government business and financial inclusion initiatives. As a public health program consultant and startup advisor, Mr. Rahul has pioneered digital payment frameworks and mentored startups to success. His career is marked by innovation, leadership, and a commitment to transforming ideas into impactful ventures. He holds a graduate degree and certifications in project management, social engineering, and multifactor authentication.&lt;/p&gt;&lt;p&gt;&lt;br&gt;&lt;/p&gt;Core Expertise&lt;/strong&gt;&lt;/p&gt;&lt;ul&gt;&lt;li&gt;Government Business &amp;amp; Policy Consulting&lt;/li&gt;&lt;li&gt;Digital Financial Inclusion&lt;/li&gt;&lt;li&gt;Healthcare Management&lt;/li&gt;&lt;li&gt;E-Governance&lt;/li&gt;&lt;li&gt;Project Management&lt;/li&gt;&lt;li&gt;Bid Management&lt;/li&gt;&lt;li&gt;Startup Mentorship&lt;/li&gt;&lt;/ul&gt;&lt;p&gt;&lt;br&gt;&lt;/p&gt;Problem Solving Approach&lt;/strong&gt;&lt;/p&gt;&lt;ul&gt;&lt;li&gt;Strategic Project Management: Applies robust project management skills to drive successful execution of complex projects across multiple sectors.&lt;/li&gt;&lt;li&gt;Innovation-Driven Leadership: Focuses on transforming ideas into impactful ventures through innovative solutions and effective execution.&lt;/li&gt;&lt;/ul&gt;&lt;p&gt;&lt;br&gt;&lt;/p&gt;Impactful Projects&lt;/strong&gt;&lt;/p&gt;&lt;ul&gt;&lt;li&gt;Banking Automation: Led the digital integration across 1500+ branches for major banks, revolutionizing banking operations.&lt;/li&gt;&lt;li&gt;National e-Governance Projects: Successfully managed the bidding and implementation of over 10 transformative projects in Delhi.&lt;/li&gt;&lt;li&gt;Healthcare Initiatives: Pioneered the adoption of digital payment frameworks in national healthcare programs.&lt;/li&gt;&lt;/ul&gt;&lt;p&gt;&lt;br&gt;&lt;/p&gt;Consulting Style&lt;/strong&gt;&lt;/p&gt;&lt;ul&gt;&lt;li&gt;Mentorship &amp;amp; Advisory: Provides strategic guidance to startups, helping them grow into successful ventures.&lt;/li&gt;&lt;li&gt;Government Liaison &amp;amp; Policy Expertise: Demonstrates effective liaison with government bodies, securing and managing large-scale projects.&lt;/li&gt;&lt;/ul&gt;</t>
  </si>
  <si>
    <t>https://www.linkedin.com/in/vyasrahul/</t>
  </si>
  <si>
    <t>vyasrahul007@gmail.com</t>
  </si>
  <si>
    <t>Business Model Development || Growth Strategy Formulation || Sales Strategy || Business Model Development || Growth Strategy Formulation || Sales Strategy || Business Model Development || Growth Strategy Formulation || Sales Strategy || Business Model Development || Growth Strategy Formulation || Sales Strategy || Business Model Development || Growth Strategy Formulation || Sales Strategy || Business Model Development || Growth Strategy Formulation || Sales Strategy || Business Model Development || Growth Strategy Formulation || Sales Strategy || Business Model Development || Growth Strategy Formulation || Sales Strategy || Business Model Development || Growth Strategy Formulation || Sales Strategy || Entrepreneurship Coaching || Strategic Planning</t>
  </si>
  <si>
    <t>Agriculture &amp; Food Processing || Agriculture &amp; Food Processing || Agriculture &amp; Food Processing || FinTech || FinTech || FinTech || Social &amp; Community Services || Social &amp; Community Services || Social &amp; Community Services || Agriculture &amp; Food Processing || Agriculture &amp; Food Processing || Agriculture &amp; Food Processing || FinTech || FinTech || FinTech || Social &amp; Community Services || Social &amp; Community Services || Social &amp; Community Services || Agriculture &amp; Food Processing || Agriculture &amp; Food Processing || Agriculture &amp; Food Processing || FinTech || FinTech || FinTech || Social &amp; Community Services || Social &amp; Community Services || Social &amp; Community Services || Pharmaceuticals, Healthcare and Wellness</t>
  </si>
  <si>
    <t>Dr. Jyoti Gogte</t>
  </si>
  <si>
    <t xml:space="preserve">Mentor &amp; Trainer </t>
  </si>
  <si>
    <t>deAsra Foundation</t>
  </si>
  <si>
    <t>Summary:&lt;/strong&gt;&lt;/p&gt;&lt;p&gt;Dr. Jyoti is a dynamic professional with a rich background in entrepreneurship, academia, and mentoring. With a Ph.D. in Finance from the University of Pune and a successful career spanning over 40 years as an entrepreneur and 10+ years in academia, she has made significant contributions in both fields. Dr. Jyoti has mentored over 3000 entrepreneurs and has received numerous awards and recognitions for her work, including the 'Udyog Chakra' and 'Successful Woman Entrepreneur' awards. She is passionate about nurturing entrepreneurship and empowering students through her extensive experience and expertise.&lt;/p&gt;&lt;p&gt;&lt;br&gt;&lt;/p&gt;Key Areas of Expertise:&lt;/strong&gt;&lt;/p&gt;&lt;ul&gt;&lt;li&gt;Entrepreneurship&lt;/li&gt;&lt;li&gt;Business Coaching and Mentoring&lt;/li&gt;&lt;li&gt;Academia and Research&lt;/li&gt;&lt;li&gt;Finance&lt;/li&gt;&lt;li&gt;Design Thinking&lt;/li&gt;&lt;li&gt;Business Plan Development&lt;/li&gt;&lt;li&gt;Entrepreneurial Mindset Training&lt;/li&gt;&lt;li&gt;Start-Up Management&lt;/li&gt;&lt;/ul&gt;&lt;p&gt;&lt;br&gt;&lt;/p&gt;Strategic Contributions:&lt;/strong&gt;&lt;/p&gt;&lt;ul&gt;&lt;li&gt;Founded and led multiple ventures, including Komfy Dynamics, which specializes in manufacturing multipurpose lap trays.&lt;/li&gt;&lt;li&gt;Served as Director of Management Institutes and an approved Ph.D. Guide at SP Pune University.&lt;/li&gt;&lt;li&gt;Developed and taught impactful training programs on entrepreneurial skills and business readiness.&lt;/li&gt;&lt;li&gt;Authored 'Start-up &amp;amp; New Venture Management,' which is featured in prestigious international libraries.&lt;/li&gt;&lt;/ul&gt;&lt;p&gt;&lt;br&gt;&lt;/p&gt;Mentorship Philosophy:&lt;/strong&gt;&lt;/p&gt;&lt;p&gt;Dr. Jyoti is dedicated to cultivating entrepreneurship and guiding budding entrepreneurs through comprehensive mentorship. She emphasizes the importance of entrepreneurial mindset, practical business tools, and strategic planning. Her approach is centered on empowering individuals to navigate their entrepreneurial journey successfully and achieve their goals.&lt;/p&gt;&lt;p&gt;&lt;br&gt;&lt;/p&gt;Success Stories:&lt;/strong&gt;&lt;/p&gt;&lt;ul&gt;&lt;li&gt;Mentored over 3000 budding entrepreneurs, significantly impacting their business ventures.&lt;/li&gt;&lt;li&gt;Awarded 'Udyog Chakra' by Mahratta Chamber of Commerce and 'Successful Woman Entrepreneur' by Rotary Club.&lt;/li&gt;&lt;li&gt;Authored and contributed to impactful research and publications, including receiving the 'Best Paper Award' at an international conference in Singapore.&lt;/li&gt;&lt;li&gt;Recognized as a mentor for Atal Tinkering Mission (ATM) by NITI Aayog and participated in high-profile conferences like the English Speaking Union Summer Conference, Oxford.&lt;/li&gt;&lt;/ul&gt;&lt;p&gt;&lt;br&gt;&lt;/p&gt;Top Skills:&lt;/strong&gt;&lt;/p&gt;&lt;ul&gt;&lt;li&gt;Entrepreneurial Strategy&lt;/li&gt;&lt;li&gt;Business Coaching&lt;/li&gt;&lt;li&gt;Academic Research&lt;/li&gt;&lt;li&gt;Design Thinking&lt;/li&gt;&lt;li&gt;Training and Development&lt;/li&gt;&lt;li&gt;Business Planning&lt;/li&gt;&lt;/ul&gt;</t>
  </si>
  <si>
    <t>https://www.linkedin.com/in/dr-jyoti-gogte-phd-b78b4217/</t>
  </si>
  <si>
    <t>jyotigogte@rediffmail.com</t>
  </si>
  <si>
    <t>Budgeting &amp; Financial Modeling || Business Model Development || Fundraising || Market research || Pricing Strategy || UI/UX Design || Budgeting &amp; Financial Modeling || Business Model Development || Fundraising || Market research || Pricing Strategy || UI/UX Design || Budgeting &amp; Financial Modeling || Business Model Development || Fundraising || Market research || Pricing Strategy || UI/UX Design || Budgeting &amp; Financial Modeling || Business Model Development || Fundraising || Market research || Pricing Strategy || UI/UX Design || Budgeting &amp; Financial Modeling || Business Model Development || Fundraising || Market research || Pricing Strategy || UI/UX Design || Entrepreneurship Coaching || Training &amp; Development</t>
  </si>
  <si>
    <t>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Retail &amp; e-Commerce || Retail &amp; e-Commerce || Retail &amp; e-Commerce || Retail &amp; e-Commerce || Retail &amp; e-Commerce || Retail &amp; e-Commerce || Services || Services || Services || Services || Services || Services || Transportation &amp; Logistics || Transportation &amp; Logistics || Transportation &amp; Logistics || Transportation &amp; Logistics || Transportation &amp; Logistics || Transportation &amp; Logistics || Education &amp; Training</t>
  </si>
  <si>
    <t>Dr. Naga Venkatesh Devaguptapu</t>
  </si>
  <si>
    <t>Dean (Academics)</t>
  </si>
  <si>
    <t>Goa Institute of Management (GIM)</t>
  </si>
  <si>
    <t>Summary:&lt;/strong&gt;&lt;/p&gt;&lt;p&gt;Dr. Naga Venkatesh is a seasoned HR professional with over three decades of experience specializing in Business/Organizational Transformation through people and process excellence. He has held leadership roles across diverse sectors including Logistics, Banking, IT/ITeS, Social, and Education. Currently, he serves as a Professor at GIM, focusing on Learning/Knowledge Product Management design and delivery, Coaching/Mentoring, People Consulting, and Institution Building. Dr. Venkatesh is particularly passionate about Digital Learning Strategy and enhancing Employee Experience through authenticity.&lt;/p&gt;&lt;p&gt;&lt;br&gt;&lt;/p&gt;Core Expertise:&lt;/strong&gt; Business/Organizational Transformation People and Process Excellence Learning/Knowledge Product Management Design and Delivery Coaching/Mentoring People Consulting Institution Building&lt;/p&gt;&lt;p&gt;&lt;br&gt;&lt;/p&gt;Problem-Solving Approach: &lt;/strong&gt;Dr. Naga Venkatesh approaches business and organizational challenges with a blend of strategic foresight and practical wisdom. His methodology integrates deep domain expertise with innovative solutions to foster sustainable growth and operational efficiency across sectors. He emphasizes employee experience and authenticity as critical pillars of organizational success.&lt;/p&gt;&lt;p&gt;&lt;br&gt;&lt;/p&gt;Impactful Projects:&lt;/strong&gt; Spearheaded transformative HR initiatives in Logistics, Banking, IT/ITeS, Social, and Education sectors, driving significant organizational improvements. Designed and delivered cutting-edge Digital Learning Strategies to enhance educational outcomes and professional development. Established robust coaching and mentoring frameworks, empowering individuals and teams to achieve their full potential.&lt;/p&gt;</t>
  </si>
  <si>
    <t>https://www.linkedin.com/in/drdnv/</t>
  </si>
  <si>
    <t>venkateshdn@gim.ac.in</t>
  </si>
  <si>
    <t>Go to Market Strategy || Organizational Development || Talent Acquisition || Go to Market Strategy || Organizational Development || Talent Acquisition || Go to Market Strategy || Organizational Development || Talent Acquisition || Go to Market Strategy || Organizational Development || Talent Acquisition || Go to Market Strategy || Organizational Development || Talent Acquisition || Go to Market Strategy || Organizational Development || Talent Acquisition || Entrepreneurship Coaching || Business Model Development</t>
  </si>
  <si>
    <t>Banking &amp; Financial Services || Banking &amp; Financial Services || Banking &amp; Financial Services || Education &amp; Training || Education &amp; Training || Education &amp; Training || Transportation &amp; Logistics || Transportation &amp; Logistics || Transportation &amp; Logistics || Banking &amp; Financial Services || Banking &amp; Financial Services || Banking &amp; Financial Services || Education &amp; Training || Education &amp; Training || Education &amp; Training || Transportation &amp; Logistics || Transportation &amp; Logistics || Transportation &amp; Logistics || Education &amp; Training || Education &amp; Training</t>
  </si>
  <si>
    <t>Dr. Nirmal Chandrakant Soni</t>
  </si>
  <si>
    <t>Skills Trainer</t>
  </si>
  <si>
    <t>Balaji Institute of International Business</t>
  </si>
  <si>
    <t>Summary:&lt;/strong&gt;&lt;/p&gt;&lt;p&gt;Dr. Nirmal is dedicated to enhancing decision-making processes in companies and simplifying courses for students. With a focus on Environmental Economics, Dr. Nirmal has authored case studies and presented papers at international conferences. He holds life memberships with the Indian Commerce Association and Indian Global Chambers of Commerce, Industry, and Agriculture. Dr. Nirmal provides placement assistance, internship guidance, and industry interface support. He also conducts admission interviews, counseling sessions, and behavioral training through LEBT worldwide programs.&lt;/p&gt;&lt;p&gt;&lt;br&gt;&lt;/p&gt;Key Areas of Expertise:&lt;/strong&gt;&lt;/p&gt;&lt;ul&gt;&lt;li&gt;Decision-Making Facilitation&lt;/li&gt;&lt;li&gt;Simplified Course Design&lt;/li&gt;&lt;li&gt;Environmental Economics Research&lt;/li&gt;&lt;li&gt;Placement Assistance and Internship Guidance&lt;/li&gt;&lt;li&gt;Industry Interface Programs&lt;/li&gt;&lt;li&gt;Behavioral Training&lt;/li&gt;&lt;li&gt;Admission Interviews and Counseling&lt;/li&gt;&lt;/ul&gt;&lt;p&gt;&lt;br&gt;&lt;/p&gt;Strategic Contributions:&lt;/strong&gt;&lt;/p&gt;&lt;ul&gt;&lt;li&gt;Published papers and presented at international conferences&lt;/li&gt;&lt;li&gt;Authored case studies in Environmental Economics&lt;/li&gt;&lt;li&gt;Assisted in industry interface programs and provided placement and internship support&lt;/li&gt;&lt;/ul&gt;&lt;p&gt;&lt;br&gt;&lt;/p&gt;Success Stories:&lt;/strong&gt;&lt;/p&gt;&lt;ul&gt;&lt;li&gt;Simplified complex courses for students&lt;/li&gt;&lt;li&gt;Enhanced decision-making processes in companies&lt;/li&gt;&lt;li&gt;Provided comprehensive placement and internship guidance&lt;/li&gt;&lt;/ul&gt;</t>
  </si>
  <si>
    <t>https://www.linkedin.com/in/dr-nirmal-chandrakant-soni-9587ab52/</t>
  </si>
  <si>
    <t>nirmalcsoni@gmail.com</t>
  </si>
  <si>
    <t>Business Model Development || Digital Marketing || Go to Market Strategy || Market research || Prototyping &amp; Testing || Research Partnerships || Sales Strategy || Strategic Planning || UI/UX Design || Business Model Development || Digital Marketing || Go to Market Strategy || Market research || Prototyping &amp; Testing || Research Partnerships || Sales Strategy || Strategic Planning || UI/UX Design || Business Model Development || Digital Marketing || Go to Market Strategy || Market research || Prototyping &amp; Testing || Research Partnerships || Sales Strategy || Strategic Planning || UI/UX Design || Business Model Development || Digital Marketing || Go to Market Strategy || Market research || Prototyping &amp; Testing || Research Partnerships || Sales Strategy || Strategic Planning || UI/UX Design || Business Model Development || Digital Marketing || Go to Market Strategy || Market research || Prototyping &amp; Testing || Research Partnerships || Sales Strategy || Strategic Planning || UI/UX Design || Entrepreneurship Coaching || Training &amp; Development</t>
  </si>
  <si>
    <t>Fashion &amp; Beauty || Fashion &amp; Beauty || Fashion &amp; Beauty || Fashion &amp; Beauty || Fashion &amp; Beauty || Fashion &amp; Beauty || Fashion &amp; Beauty || Fashion &amp; Beauty || Fashion &amp; Beauty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Tourism &amp; Hospitality || Tourism &amp; Hospitality || Education &amp; Training || Environment, Sustainability &amp; Governance (ESG)</t>
  </si>
  <si>
    <t>Dr. Pinaki Ranjan Bhattacharyya</t>
  </si>
  <si>
    <t>Khandra College</t>
  </si>
  <si>
    <t>Summary:&lt;/strong&gt;&lt;/p&gt;&lt;p&gt;Dr. Bhattacharyya is an accomplished academician, mentor, and researcher with over 22 years of experience in academia and 10 years in the financial services and IT industries. Currently an Associate Professor of Marketing and Entrepreneurship at Calcutta Business School, he has held significant roles, including Dean-Academics at Doon Business School. Dr. Bhattacharyya is known for his research in consumer behavior, ethical marketing, and entrepreneurship, with numerous publications and contributions to national and international journals. He is also involved in various PhD programs as a supervisor and reviewer, and actively participates in management development programs.&lt;/p&gt;&lt;p&gt;&lt;br&gt;&lt;/p&gt;Key Areas of Expertise:&lt;/strong&gt;&lt;/p&gt;&lt;ul&gt;&lt;li&gt;&lt;strong&gt;Marketing and Entrepreneurship&lt;/strong&gt;: Specialized in emerging concepts in consumer behavior, perceptual branding, and green marketing.&lt;/li&gt;&lt;li&gt;&lt;strong&gt;Academic Leadership&lt;/strong&gt;: Former Dean-Academics with extensive experience in curriculum development and academic administration.&lt;/li&gt;&lt;li&gt;&lt;strong&gt;Research and Publications&lt;/strong&gt;: Authored research papers and case studies in reputed national and international journals.&lt;/li&gt;&lt;li&gt;&lt;strong&gt;Training and Development&lt;/strong&gt;: Conducted numerous management development programs (MDPs) and faculty development programs (FDPs).&lt;/li&gt;&lt;li&gt;&lt;strong&gt;PhD Supervision&lt;/strong&gt;: Empaneled as a supervisor and reviewer for various PhD programs across universities in India.&lt;/li&gt;&lt;/ul&gt;&lt;p&gt;&lt;br&gt;&lt;/p&gt;Strategic Contributions:&lt;/strong&gt;&lt;/p&gt;&lt;ul&gt;&lt;li&gt;&lt;strong&gt;Academic Leadership&lt;/strong&gt;: As Dean-Academics at Doon Business School, led curriculum development and academic governance.&lt;/li&gt;&lt;li&gt;&lt;strong&gt;Research Contributions&lt;/strong&gt;: Published several papers in reputed journals on topics like consumer behavior and ethical marketing.&lt;/li&gt;&lt;li&gt;&lt;strong&gt;PhD Supervision&lt;/strong&gt;: Guided multiple PhD students to successful completion, contributing to the academic community.&lt;/li&gt;&lt;/ul&gt;&lt;p&gt;&lt;br&gt;&lt;/p&gt;Mentorship Philosophy:&lt;/strong&gt;&lt;/p&gt;&lt;p&gt;Dr. Bhattacharyya believes in nurturing intellectual curiosity and fostering a collaborative learning environment where both the mentor and mentee grow together. He emphasizes ethical practices, critical thinking, and practical application of knowledge in his mentorship approach.&lt;/p&gt;</t>
  </si>
  <si>
    <t>https://www.linkedin.com/in/pinaki-ranjan-bhattacharyya-b7001719/</t>
  </si>
  <si>
    <t>pinakirb@gmail.com</t>
  </si>
  <si>
    <t>Customer engagement || Go to Market Strategy || Idea Validation || Innovation || Customer engagement || Go to Market Strategy || Idea Validation || Innovation || Growth Strategy Formulation || Entrepreneurship Coaching</t>
  </si>
  <si>
    <t>Services || Services || Services || Services || Services || Services || Services || Services || Education &amp; Training</t>
  </si>
  <si>
    <t>Vaibhav Samant</t>
  </si>
  <si>
    <t>Revasa Farms Private Limited</t>
  </si>
  <si>
    <t>Summary:&lt;/strong&gt;&lt;/p&gt;&lt;p&gt;Vaibhav is an experienced creative strategist and entrepreneur currently leading an agritech startup valued at ₹100 crore. He brings a wealth of expertise in building coalitions for business growth and managing change to drive organizational performance. With a strong analytical, negotiation, interpersonal, and communication skills, Vaibhav excels in navigating complex market landscapes and driving successful business transformations.&lt;/p&gt;&lt;p&gt;&lt;br&gt;&lt;/p&gt;Core Expertise:&lt;/strong&gt;&lt;/p&gt;&lt;ul&gt;&lt;li&gt;&lt;strong&gt;Entrepreneurship and Creative Strategy: &lt;/strong&gt;Demonstrates a keen ability to identify growth opportunities and implement innovative business solutions.&lt;/li&gt;&lt;li&gt;&lt;strong&gt;Market Establishment and Expansion: &lt;/strong&gt;Specializes in positioning and expanding markets for major brands such as Colgate-Palmolive, Himalaya, Nokia, Cisco, SanDisk, Kodak, Videocon, and ZTE.&lt;/li&gt;&lt;li&gt;&lt;strong&gt;Business Transformation:&lt;/strong&gt; Expertise in leading transformational projects for large corporations, including Reliance, Ceat, Symphony, and Indian Broilers, during his tenure at KPMG.&lt;/li&gt;&lt;/ul&gt;&lt;p&gt;&lt;br&gt;&lt;/p&gt;Problem-Solving Approach:&lt;/strong&gt;&lt;/p&gt;&lt;p&gt;Vaibhav approaches problem-solving with a blend of analytical rigor and creative thinking. He leverages his strong negotiation and interpersonal skills to build strategic partnerships and coalitions. His focus on using advanced technologies and data-driven insights helps optimize operations and enhance business performance. He is adept at managing change and aligning organizational objectives with market dynamics.&lt;/p&gt;&lt;p&gt;&lt;br&gt;&lt;/p&gt;Impactful Projects:&lt;/strong&gt;&lt;/p&gt;&lt;ul&gt;&lt;li&gt;&lt;strong&gt;Revasa Farms Private Limited:&lt;/strong&gt; As Director, Vaibhav has led initiatives to attract investments for large-scale commercial horticulture plantations. He has pioneered the use of advanced micro-irrigation and IT systems to increase efficiency and reduce land degradation. His efforts in training and engaging the local workforce have significantly improved Product Managementivity and sustainability.&lt;/li&gt;&lt;li&gt;&lt;strong&gt;Global Brand Expansion: &lt;/strong&gt;Vaibhav played a key role in successfully establishing and expanding market presence for multiple international brands, ensuring their sustained growth in competitive markets.&lt;/li&gt;&lt;li&gt;&lt;strong&gt;Business Transformation at KPMG: &lt;/strong&gt;He has led transformative projects that have redefined operational frameworks and strategic directions for major Indian corporations, contributing to their long-term success and profitability.&lt;/li&gt;&lt;/ul&gt;&lt;p&gt;&lt;br&gt;&lt;/p&gt;Consultation Style:&lt;/strong&gt;&lt;/p&gt;&lt;p&gt;Vaibhav's consultation style is characterized by his collaborative and hands-on approach. He believes in fostering a culture of transparency and open communication, ensuring that all stakeholders are engaged and aligned with the organization's goals. He tailors his guidance to the unique needs of each client, providing strategic insights and actionable plans that drive meaningful outcomes. His ability to think outside the box and challenge conventional thinking allows him to deliver innovative solutions that address complex business challenges.&lt;/p&gt;</t>
  </si>
  <si>
    <t>https://www.linkedin.com/in/vaibhavsamant/</t>
  </si>
  <si>
    <t>vpsamant@gmail.com</t>
  </si>
  <si>
    <t>Business Model Development || Go to Market Strategy || Sales Strategy || Business Model Development || Go to Market Strategy || Sales Strategy || Business Model Development || Go to Market Strategy || Sales Strategy || Business Model Development || Go to Market Strategy || Sales Strategy || Business Model Development || Marketing &amp; Branding</t>
  </si>
  <si>
    <t>Agriculture &amp; Food Processing || Agriculture &amp; Food Processing || Agriculture &amp; Food Processing || Retail &amp; e-Commerce || Retail &amp; e-Commerce || Retail &amp; e-Commerce || Agriculture &amp; Food Processing || Agriculture &amp; Food Processing || Agriculture &amp; Food Processing || Retail &amp; e-Commerce || Retail &amp; e-Commerce || Retail &amp; e-Commerce || Agritech &amp; Food Processing</t>
  </si>
  <si>
    <t>Dr. Radha Iyer</t>
  </si>
  <si>
    <t>K.J.Somaiya Institute of Management Studies &amp; ReasearchK</t>
  </si>
  <si>
    <t>Bio
Dr. Radha Iyer is an Associate Professor and Area Chairperson for General Management at K.J. Somaiya Institute of Management Studies &amp; Research in Mumbai. She is an accomplished academician and mentor with extensive expertise in entrepreneurship and innovation.
​
Experience &amp; Background
Dr. Iyer brings over 23 years of academic experience combined with more than a decade of industry experience. She has worked with leading organizations including:
The Great Eastern Shipping Company
Marico Industries
Indian Hotels Company
Key Skills &amp; Expertise
Entrepreneurship education and management
Social entrepreneurship &amp; design for affordability
Innovation and creativity
Managing new ventures
Business plan evaluation
Mentor for startups</t>
  </si>
  <si>
    <t>https://www.linkedin.com/in/radha-iyer-41490b3/</t>
  </si>
  <si>
    <t>radhaiyer@somaiya.edu</t>
  </si>
  <si>
    <t>Business Model Development || Growth Strategy Formulation || Organizational Development || Product Development || Prototyping &amp; Testing || Strategic Planning || Tech Strategy &amp; Infrastructure || Training &amp; Development || Business Model Development || Growth Strategy Formulation || Organizational Development || Product Development || Prototyping &amp; Testing || Strategic Planning || Tech Strategy &amp; Infrastructure || Training &amp; Development || Business Model Development || Growth Strategy Formulation || Organizational Development || Product Development || Prototyping &amp; Testing || Strategic Planning || Tech Strategy &amp; Infrastructure || Training &amp; Development || Business Model Development || Growth Strategy Formulation || Organizational Development || Product Development || Prototyping &amp; Testing || Strategic Planning || Tech Strategy &amp; Infrastructure || Training &amp; Development || Entrepreneurship Coaching</t>
  </si>
  <si>
    <t>Others || Others || Others || Others || Others || Others || Others || Others || Services || Services || Services || Services || Services || Services || Services || Services || Others || Others || Others || Others || Others || Others || Others || Others || Services || Services || Services || Services || Services || Services || Services || Services || Education &amp; Training || Social &amp; Community Services</t>
  </si>
  <si>
    <t>Dr. Rakhi Sharma</t>
  </si>
  <si>
    <t>Jai Hind College</t>
  </si>
  <si>
    <t>Summary:&lt;/strong&gt;&lt;/p&gt;&lt;p&gt;Dr. Rakhi is a distinguished Certified Entrepreneurship Educator with a Ph.D. from the University of Pune in Venture Capital Management. With 18 years of experience in teaching and mentorship, she is recognized for her contributions to entrepreneurship education. Dr. Rakhi has been awarded the ‘Entrepreneurship Faculty of the Decade 2018’ by the National Entrepreneurship Network and the “Leadership Award” by Mahindra Rise. She is a Master Trainer for the Entrepreneurship Educator program of the Wadhwani Foundation and has conducted numerous workshops and training sessions nationally and internationally.&lt;/p&gt;&lt;p&gt;&lt;br&gt;&lt;/p&gt;Key Areas of Expertise:&lt;/strong&gt;&lt;/p&gt;&lt;ul&gt;&lt;li&gt;Entrepreneurship Education&lt;/li&gt;&lt;li&gt;Business Incubation and Planning&lt;/li&gt;&lt;li&gt;Venture Capital Management&lt;/li&gt;&lt;li&gt;Faculty Training and Development&lt;/li&gt;&lt;li&gt;Case Study and Research&lt;/li&gt;&lt;li&gt;Entrepreneurship Development Programs&lt;/li&gt;&lt;/ul&gt;&lt;p&gt;&lt;br&gt;&lt;/p&gt;Strategic Contributions:&lt;/strong&gt;&lt;/p&gt;&lt;ul&gt;&lt;li&gt;Certified by Stanford Technology Ventures Program &amp;amp; NEN&lt;/li&gt;&lt;li&gt;Mentor at Atal Incubation Centre-RNTU and National Entrepreneurship Network&lt;/li&gt;&lt;li&gt;President of Institute Innovation Council and NISP coordinator&lt;/li&gt;&lt;li&gt;Master Trainer for the Wadhwani Foundation’s Entrepreneurship Educator program&lt;/li&gt;&lt;li&gt;Judge for National Entrepreneurship Challenges and various case study competitions&lt;/li&gt;&lt;/ul&gt;&lt;p&gt;&lt;br&gt;&lt;/p&gt;Success Stories:&lt;/strong&gt;&lt;/p&gt;&lt;ul&gt;&lt;li&gt;Awarded ‘Entrepreneurship Faculty of the Decade 2018’ by NEN&lt;/li&gt;&lt;li&gt;Recognized as Faculty Adviser for business case competitions by Hong Kong University and HSBC&lt;/li&gt;&lt;li&gt;Awarded “Leadership Award” by Mahindra Rise&lt;/li&gt;&lt;li&gt;Trained faculty across Maharashtra, Gujarat, and Madhya Pradesh&lt;/li&gt;&lt;li&gt;Conducted impactful workshops for students and entrepreneurs at international institutions&lt;/li&gt;&lt;/ul&gt;</t>
  </si>
  <si>
    <t>https://www.linkedin.com/in/drrakhisharma</t>
  </si>
  <si>
    <t>rakhi_mks@yahoo.com, Rakhi.sharma@jaihindcollege.edu.in</t>
  </si>
  <si>
    <t>Business Model Development || Customer Relationship Management || Research Partnerships || Training &amp; Development || Business Model Development || Customer Relationship Management || Research Partnerships || Training &amp; Development || Business Model Development || Customer Relationship Management || Research Partnerships || Training &amp; Development || Business Model Development || Customer Relationship Management || Research Partnerships || Training &amp; Development || Business Model Development || Customer Relationship Management || Research Partnerships || Training &amp; Development || Business Model Development || Customer Relationship Management || Research Partnerships || Training &amp; Development || Business Model Development || Entrepreneurship Coaching</t>
  </si>
  <si>
    <t>Education &amp; Training || Education &amp; Training || Education &amp; Training || Education &amp; Training || Others || Others || Others || Others || Services || Services || Services || Services || Education &amp; Training || Education &amp; Training || Education &amp; Training || Education &amp; Training || Others || Others || Others || Others || Services || Services || Services || Services || Education &amp; Training</t>
  </si>
  <si>
    <t>Dr. Ruchi Gautam Pant</t>
  </si>
  <si>
    <t>Certified Trainer</t>
  </si>
  <si>
    <t>Pinkishe Foundation</t>
  </si>
  <si>
    <t>Summary:&lt;/strong&gt;&lt;/p&gt;&lt;p&gt;Dr. Ruchi is a seasoned professional with over 12 years of experience in HR consulting, research, analytics, and education. With a background as a full-time research scholar and experience in recruitment, teaching, and corporate training, she has developed expertise in various HR practices and open innovation. Dr. Ruchi has received accolades such as the High Flyer Award and the Best Paper Presentation Award at the University of Oxford. She is recognized for her contributions to HR frameworks, case writing, and innovative approaches to human resource management.&lt;/p&gt;&lt;p&gt;&lt;br&gt;&lt;/p&gt;Key Areas of Expertise:&lt;/strong&gt;&lt;/p&gt;&lt;ul&gt;&lt;li&gt;Recruitment &amp;amp; Selection&lt;/li&gt;&lt;li&gt;HR Consulting&lt;/li&gt;&lt;li&gt;Open Innovation&lt;/li&gt;&lt;li&gt;Corporate Training&lt;/li&gt;&lt;li&gt;Research &amp;amp; Analytics&lt;/li&gt;&lt;li&gt;Developing HR Practices&lt;/li&gt;&lt;/ul&gt;&lt;p&gt;&lt;br&gt;&lt;/p&gt;Strategic Contributions:&lt;/strong&gt;&lt;/p&gt;&lt;ul&gt;&lt;li&gt;Proposed frameworks for organizational innovation, including co-creation, crowd sourcing, and user-led innovation.&lt;/li&gt;&lt;li&gt;Presented research on HR virtuosity at the University of Oxford, earning the Best Paper Presentation Award.&lt;/li&gt;&lt;/ul&gt;&lt;p&gt;&lt;br&gt;&lt;/p&gt;Success Stories:&lt;/strong&gt;&lt;/p&gt;&lt;ul&gt;&lt;li&gt;Received the High Flyer Award for individual excellence at Manpower Consultants in 2008.&lt;/li&gt;&lt;li&gt;Presented a research paper on HR virtuosity at the 7th International Conference of the Restructuring of the Global Economy (ROGE) in 2017, winning the Best Paper Presentation Award.&lt;/li&gt;&lt;/ul&gt;</t>
  </si>
  <si>
    <t>https://www.linkedin.com/in/dr-ruchi-gautam-pant-0485465</t>
  </si>
  <si>
    <t>ruchigautampant@gmail.com (Student)
nen.d2c.dr.ruchi@gmail.com (Faculty)
ruchigautampant2024@gmail.com (Mentor)</t>
  </si>
  <si>
    <t>Market research || Research Partnerships || Talent Acquisition || Training &amp; Development || Market research || Research Partnerships || Talent Acquisition || Training &amp; Development || Market research || Research Partnerships || Talent Acquisition || Training &amp; Development || Market research || Research Partnerships || Talent Acquisition || Training &amp; Development || Market research || Research Partnerships || Talent Acquisition || Training &amp; Development || Entrepreneurship Coaching || Research and Development</t>
  </si>
  <si>
    <t>Agriculture &amp; Food Processing || Agriculture &amp; Food Processing || Agriculture &amp; Food Processing || Agriculture &amp; Food Processing || Education &amp; Training || Education &amp; Training || Education &amp; Training || Education &amp; Training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Services || Services || Services || Services || Education &amp; Training || Education &amp; Training</t>
  </si>
  <si>
    <t>Dr. Sailaja B</t>
  </si>
  <si>
    <t>Senior Leader - Talent Development</t>
  </si>
  <si>
    <t>Greenko Group</t>
  </si>
  <si>
    <t>Summary&lt;/strong&gt;&lt;/p&gt;&lt;p&gt;Dr. Sailaja is a seasoned HR and DEI leader with over 30 years of experience across industry, academia, government, and start-ups. She excels in HR strategy, planning, and multi-cultural environments, with a strong focus on women empowerment. Dr. Sailaja serves as a Chairperson and Member of the Internal Committee of the POSH Act and is a keynote speaker and panellist at various HR and education conferences. She is on the advisory boards of engineering colleges and NGOs. Her specialties include entrepreneurship mentoring, skill development, HR consulting, talent development, and leadership strategies.&lt;/p&gt;&lt;p&gt;&lt;br&gt;&lt;/p&gt;Core Expertise&lt;/strong&gt;&lt;/p&gt;&lt;ul&gt;&lt;li&gt;HR Strategy and Consulting&lt;/li&gt;&lt;li&gt;DEI (Diversity, Equity, and Inclusion)&lt;/li&gt;&lt;li&gt;Talent Development&lt;/li&gt;&lt;li&gt;Organizational Development&lt;/li&gt;&lt;li&gt;Leadership Development&lt;/li&gt;&lt;li&gt;Succession Planning&lt;/li&gt;&lt;li&gt;Performance Management&lt;/li&gt;&lt;li&gt;Entrepreneurship Mentoring&lt;/li&gt;&lt;li&gt;Skill Development&lt;/li&gt;&lt;li&gt;Teaching and Training Strategy&lt;/li&gt;&lt;/ul&gt;&lt;p&gt;&lt;br&gt;&lt;/p&gt;Problem Solving Approach&lt;/strong&gt;&lt;/p&gt;&lt;p&gt;Dr. Sailaja employs a strategic and holistic approach to HR and DEI challenges, focusing on empowering individuals and organizations through tailored development programs and effective HR practices. She integrates her extensive experience in multi-cultural settings to address complex issues in talent management and organizational growth.&lt;/p&gt;&lt;p&gt;&lt;br&gt;&lt;/p&gt;Impactful Projects&lt;/strong&gt;&lt;/p&gt;&lt;ul&gt;&lt;li&gt;POSH Act Compliance: Chairperson and Member of the Internal Committee, focusing on workplace safety and harassment.&lt;/li&gt;&lt;li&gt;Advisory Roles: Serving on the advisory boards of engineering colleges and NGOs, influencing educational and social impact.&lt;/li&gt;&lt;li&gt;Public Speaking: Keynote speaker and panellist at HR and education conferences, advocating for women empowerment and effective HR practices.&lt;/li&gt;&lt;/ul&gt;&lt;p&gt;&lt;br&gt;&lt;/p&gt;Consulting Style&lt;/strong&gt;&lt;/p&gt;&lt;ul&gt;&lt;li&gt;Strategic Planning: Emphasizes long-term strategic planning and organizational development.&lt;/li&gt;&lt;li&gt;Mentoring and Coaching: Offers mentorship and executive coaching to enhance leadership and career development.&lt;/li&gt;&lt;li&gt;DEI Advocacy: Champions diversity, equity, and inclusion through tailored programs and policies.&lt;/li&gt;&lt;li&gt;Client Services: Provides comprehensive client services, including regional account management and customer service excellence.&lt;/li&gt;&lt;/ul&gt;&lt;p&gt;&lt;br&gt;&lt;/p&gt;&lt;p&gt;Dr. Sailaja’s consulting style is characterized by a blend of strategic insight, commitment to DEI, and hands-on mentorship, aiming to drive meaningful change in organizations and communities.&lt;/p&gt;</t>
  </si>
  <si>
    <t>https://www.linkedin.com/in/drsailaja/</t>
  </si>
  <si>
    <t>mail2sailaja@yahoo.com</t>
  </si>
  <si>
    <t>Business Model Development || Customer Experience Optimization || Customer Service &amp; Retention || Growth Strategy Formulation || Organizational Development || Performance Management || Strategic Planning || Talent Acquisition || Training &amp; Development || HR Consulting || Training &amp; Development</t>
  </si>
  <si>
    <t>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HR Services || Education &amp; Training</t>
  </si>
  <si>
    <t>Dr. Jagadeesh Gandla</t>
  </si>
  <si>
    <t>Federation of Asian Biotech Associations (FABA)</t>
  </si>
  <si>
    <t>Summary:&lt;/strong&gt; Dr. Jagadeesh is a passionate entrepreneur and community-building expert in the life sciences and healthcare sectors, with a strong focus on fostering innovation and supporting startups. With experience collaborating with organizations like EIT Health and holding leadership roles, including COO at the Federation of Asian Biotech Associations, he has been instrumental in establishing mentoring networks and empowering entrepreneurs. He has founded startups like DareToStart and GLHN and continues to nurture aspiring entrepreneurs through mentorship and community initiatives. His focus remains on creating supportive environments for startups and driving positive change in healthcare.&lt;/p&gt;&lt;p&gt;&lt;br&gt;&lt;/p&gt;Key Areas of Expertise:&lt;/strong&gt;&lt;/p&gt;&lt;ul&gt;&lt;li&gt;Life Sciences &amp;amp; Healthcare Entrepreneurship&lt;/li&gt;&lt;li&gt;Community Building&lt;/li&gt;&lt;li&gt;Mentorship&lt;/li&gt;&lt;li&gt;Networks&lt;/li&gt;&lt;li&gt;Business Consulting&lt;/li&gt;&lt;li&gt;Educational Consulting&lt;/li&gt;&lt;li&gt;Healthcare Consulting&lt;/li&gt;&lt;li&gt;Grant Writing&lt;/li&gt;&lt;li&gt;Leadership Development&lt;/li&gt;&lt;/ul&gt;&lt;p&gt;&lt;br&gt;&lt;/p&gt;Strategic Contributions:&lt;/strong&gt; Played a role in establishing mentoring networks at EIT Health. Founded startups such as DareToStart and GLHN, supporting innovation and entrepreneurship. Contributed to empowering individuals through the Indian Empowerment Network. COO at the Federation of Asian Biotech Associations, driving support for startups in the biotech industry.&lt;/p&gt;&lt;p&gt;&lt;br&gt;&lt;/p&gt;Mentorship Philosophy:&lt;/strong&gt; Dr. Jagadeesh emphasizes creating supportive environments for startups and mentoring aspiring entrepreneurs to navigate their entrepreneurial journey. His philosophy centers on nurturing innovation and empowering individuals to realize their ambitions in life sciences and healthcare. Success Stories Founded successful startups like DareToStart and GLHN. Established and nurtured mentorship networks in collaboration with EIT Health.&lt;/p&gt;</t>
  </si>
  <si>
    <t>https://www.linkedin.com/in/jgandla/</t>
  </si>
  <si>
    <t>gandla.jagadeesh@gmail.com</t>
  </si>
  <si>
    <t>Business Model Development || Government Funding || Business Model Development || Government Funding || Business Model Development || Government Funding || Business Model Development || Government Funding || Business Model Development || Government Funding || Business Model Development || Government Funding || Training &amp; Development || Entrepreneurship Coaching</t>
  </si>
  <si>
    <t>Education &amp; Training || Education &amp; Training || Pharmaceuticals, Healthcare and Wellness || Pharmaceuticals, Healthcare and Wellness || Education &amp; Training || Education &amp; Training || Pharmaceuticals, Healthcare and Wellness || Pharmaceuticals, Healthcare and Wellness || Education &amp; Training || Education &amp; Training || Pharmaceuticals, Healthcare and Wellness || Pharmaceuticals, Healthcare and Wellness || Pharmaceuticals, Healthcare and Wellness</t>
  </si>
  <si>
    <t>Dr. Sanjay Kumar</t>
  </si>
  <si>
    <t>CEO - Innovation and Incubation Hub MNNIT Foundation</t>
  </si>
  <si>
    <t>MNNIT Allahabad</t>
  </si>
  <si>
    <t>Summary:&lt;/strong&gt;&lt;/p&gt;&lt;p&gt;Dr. Sanjay Kumar is a distinguished expert in social entrepreneurship and business incubation with over decade of experience. He has successfully established eight business incubators both in India and abroad, including projects in Malawi and various Indian institutions. Dr. Kumar mentors over 151 startups and is affiliated with numerous entrepreneurial programs and organizations. His efforts have earned him notable recognitions, including a &lt;strong&gt;Certificate of Appreciation from the High Commissioner of India to Malawi &lt;/strong&gt;and the UDHYOG MITRA AWARD by AICOSMIA.&lt;/p&gt;&lt;p&gt;&lt;br&gt;&lt;/p&gt;Key Areas of Expertise:&lt;/strong&gt;&lt;/p&gt;&lt;ul&gt;&lt;li&gt;Social Entrepreneurship&lt;/li&gt;&lt;li&gt;Business Incubation&lt;/li&gt;&lt;li&gt;Project Management&lt;/li&gt;&lt;li&gt;Entrepreneurship Development&lt;/li&gt;&lt;li&gt;Teaching and Training&lt;/li&gt;&lt;/ul&gt;&lt;p&gt;&lt;br&gt;&lt;/p&gt;Strategic Contributions:&lt;/strong&gt;&lt;/p&gt;&lt;ul&gt;&lt;li&gt;Established eight business incubators in India and abroad.&lt;/li&gt;&lt;li&gt;Mentors over 151 startups.&lt;/li&gt;&lt;li&gt;Associated with multiple entrepreneurial programs and organizations, including Start-Up India and MAARG.&lt;/li&gt;&lt;/ul&gt;&lt;p&gt;&lt;br&gt;&lt;/p&gt;Success Stories:&lt;/strong&gt;&lt;/p&gt;&lt;ul&gt;&lt;li&gt;Completed the "Setting up Business Incubator at Malawi, Africa" project, recognized by the High Commissioner of India to Malawi.&lt;/li&gt;&lt;li&gt;Awarded the UDHYOG MITRA AWARD by AICOSMIA for contributions to entrepreneurship.&lt;/li&gt;&lt;/ul&gt;</t>
  </si>
  <si>
    <t>https://www.linkedin.com/in/startwithsanjay/</t>
  </si>
  <si>
    <t>Prayagraj</t>
  </si>
  <si>
    <t xml:space="preserve">iedcsunjay@gmail.com </t>
  </si>
  <si>
    <t>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Business Model Development || Customer Relationship Management || Go to Market Strategy || Prototyping &amp; Testing || Entrepreneurship Coaching</t>
  </si>
  <si>
    <t>Agriculture &amp; Food Processing || Agriculture &amp; Food Processing || Agriculture &amp; Food Processing || Agriculture &amp; Food Processing || CleanTech || CleanTech || CleanTech || CleanTech || Consumer Products || Consumer Products || Consumer Products || Consumer Products || Education &amp; Training || Education &amp; Training || Education &amp; Training || Education &amp; Training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Others || Others || Others || Others || Professional &amp; Business Services || Professional &amp; Business Services || Professional &amp; Business Services || Professional &amp; Business Services || Services || Services || Services || Services || Social &amp; Community Services || Social &amp; Community Services || Social &amp; Community Services || Social &amp; Community Services || Technology &amp; Innovation || Technology &amp; Innovation || Technology &amp; Innovation || Technology &amp; Innovation || Tourism &amp; Hospitality || Tourism &amp; Hospitality || Tourism &amp; Hospitality || Tourism &amp; Hospitality || Education &amp; Training</t>
  </si>
  <si>
    <t>Dr. Santosh Darade</t>
  </si>
  <si>
    <t>COO</t>
  </si>
  <si>
    <t>MIT ADT University</t>
  </si>
  <si>
    <t>Summary&lt;/strong&gt;&lt;/p&gt;&lt;p&gt;Dr. Santosh is the Innovation Officer at MIT ADT University's Centre for Research, Innovation &amp;amp; Entrepreneurship for Young Aspirants (CRiEYA), where he promotes research, innovation, and entrepreneurship among faculty and students. He manages innovation projects from ideation to execution, ensuring effective resource allocation, timeline adherence, and stakeholder engagement. Dr. Santosh has authored over 21 books on Information &amp;amp; Cyber Security and related fields, conducted numerous workshops, and published more than 20 papers in reputed journals. He inaugurated India’s first dedicated Software Defined Networks Lab at SITS, Pune.&lt;/p&gt;&lt;p&gt;&lt;br&gt;&lt;/p&gt;Core Expertise&lt;/strong&gt;&lt;/p&gt;&lt;ul&gt;&lt;li&gt;Information &amp;amp; Cyber Security&lt;/li&gt;&lt;li&gt;Cryptography &amp;amp; Network Security&lt;/li&gt;&lt;li&gt;Innovation Management&lt;/li&gt;&lt;li&gt;Entrepreneurship Development&lt;/li&gt;&lt;li&gt;Computer Networking&lt;/li&gt;&lt;li&gt;Software Defined Networking&lt;/li&gt;&lt;/ul&gt;&lt;p&gt;&lt;br&gt;&lt;/p&gt;Problem Solving Approach&lt;/strong&gt;&lt;/p&gt;&lt;p&gt;Dr. Santosh adopts a structured approach to problem-solving, focusing on effective resource allocation, timeline adherence, and stakeholder engagement to ensure the successful execution of innovation projects.&lt;/p&gt;&lt;p&gt;&lt;br&gt;&lt;/p&gt;Impactful Projects&lt;/strong&gt;&lt;/p&gt;&lt;ul&gt;&lt;li&gt;Innovation Projects Management: Leading projects from ideation to execution at MIT ADT University.&lt;/li&gt;&lt;li&gt;Books and Publications: Authored 21+ books and published 20+ papers in reputed journals such as Scopus, IEEE, and Springer.&lt;/li&gt;&lt;li&gt;Workshops: Conducted workshops on Software Defined Networking, Innovation &amp;amp; Entrepreneurship, Computer Networking, and Cyber Security.&lt;/li&gt;&lt;li&gt;Lab Inauguration: Inaugurated India’s first dedicated Software Defined Networks Lab at SITS, Pune.&lt;/li&gt;&lt;/ul&gt;&lt;p&gt;&lt;br&gt;&lt;/p&gt;Consulting Style&lt;/strong&gt;&lt;/p&gt;&lt;ul&gt;&lt;li&gt;Holistic Management: Ensures comprehensive management of innovation projects, from ideation to execution.&lt;/li&gt;&lt;li&gt;Educational Workshops: Provides hands-on training and workshops to enhance skills in networking, cyber security, and entrepreneurship.&lt;/li&gt;&lt;li&gt;Authoritative Expertise: Leverages extensive research and publication background to provide informed consulting and guidance.&lt;/li&gt;&lt;/ul&gt;&lt;p&gt;&lt;br&gt;&lt;/p&gt;&lt;p&gt;Dr. Santosh's consulting style emphasizes structured management, educational enhancement, and authoritative expertise in cyber security and innovation.&lt;/p&gt;</t>
  </si>
  <si>
    <t>https://www.linkedin.com/in/dr-santosh-darade-1610b214b/</t>
  </si>
  <si>
    <t>santosh.darade@mituniversity.edu.in</t>
  </si>
  <si>
    <t>Business Model Development || Market research || Product Development || Research Partnerships || Training &amp; Development || Entrepreneurship Coaching</t>
  </si>
  <si>
    <t>Technology &amp; Innovation || Technology &amp; Innovation || Technology &amp; Innovation || Technology &amp; Innovation || Technology &amp; Innovation || Education &amp; Training || Software &amp; IT Services</t>
  </si>
  <si>
    <t>Dr. Sarita Kansal</t>
  </si>
  <si>
    <t>Medi-Caps University, Indore</t>
  </si>
  <si>
    <t>&lt;p&gt;Summary:&lt;/p&gt;&lt;p&gt;Dr. Sarita Kansal is an esteemed Associate Professor at Medi-Caps University with over 20 years of experience in academia and research. She holds a Ph.D. in Biomedical Signal Processing and has a robust background in Telecom Technologies and Electronics. Her expertise includes teaching courses on Digital Signal Processing, Machine Learning, and Communication. With over 18 research papers and 5 patents, Dr. Kansal is dedicated to innovation management and design thinking. She actively engages in academic events and motivates the next generation towards innovation, currently serving as the President of Medi-Caps IIC.&lt;/p&gt;&lt;p&gt;&lt;br&gt;&lt;/p&gt;Key Areas of Expertise:&lt;/strong&gt;&lt;/p&gt;&lt;ul&gt;&lt;li&gt;&lt;strong&gt;Biomedical Signal Processing&lt;/strong&gt;: Advanced knowledge in processing biological signals.&lt;/li&gt;&lt;li&gt;&lt;strong&gt;Telecom Technologies&lt;/strong&gt;: Expertise in telecommunication systems and technologies.&lt;/li&gt;&lt;li&gt;&lt;strong&gt;Machine Learning&lt;/strong&gt;: Proficient in teaching and applying machine learning techniques.&lt;/li&gt;&lt;li&gt;&lt;strong&gt;Innovation Management&lt;/strong&gt;: Focused on innovation and design thinking.&lt;/li&gt;&lt;li&gt;&lt;strong&gt;Patents and Publications&lt;/strong&gt;: Holder of 5 patents and author of over 18 research papers.&lt;/li&gt;&lt;/ul&gt;&lt;p&gt;&lt;br&gt;&lt;/p&gt;Strategic Contributions:&lt;/strong&gt;&lt;/p&gt;&lt;ul&gt;&lt;li&gt;&lt;strong&gt;Innovation Management&lt;/strong&gt;: Leading efforts in innovation and idea generation at Medi-Caps University.&lt;/li&gt;&lt;li&gt;&lt;strong&gt;Academic Leadership&lt;/strong&gt;: President of Medi-Caps IIC, fostering innovation and entrepreneurship.&lt;/li&gt;&lt;li&gt;&lt;strong&gt;Research and Patents&lt;/strong&gt;: Contributed significantly to research with numerous publications and patents.&lt;/li&gt;&lt;/ul&gt;&lt;p&gt;&lt;br&gt;&lt;/p&gt;Mentorship Philosophy:&lt;/strong&gt;&lt;/p&gt;&lt;p&gt;Dr. Sarita Kansal is dedicated to inspiring and guiding students towards innovation and creativity. She emphasizes the importance of staying updated with new technologies and business models, and she motivates students to embrace challenges and explore new ideas.&lt;/p&gt;&lt;p&gt;&lt;br&gt;&lt;/p&gt;Success Stories:&lt;/strong&gt;&lt;/p&gt;&lt;ul&gt;&lt;li&gt;&lt;strong&gt;Research Contributions&lt;/strong&gt;: Published 18 research papers and secured 5 patents.&lt;/li&gt;&lt;li&gt;&lt;strong&gt;Academic Leadership&lt;/strong&gt;: Actively involved in leading innovation initiatives as President of Medi-Caps IIC.&lt;/li&gt;&lt;li&gt;&lt;strong&gt;Event Organization&lt;/strong&gt;: Successfully organized international conferences and academic events.&lt;/li&gt;&lt;/ul&gt;</t>
  </si>
  <si>
    <t>https://www.linkedin.com/in/sarita-kansal-46b02b124</t>
  </si>
  <si>
    <t>sarita.kansal@medicaps.ac.in</t>
  </si>
  <si>
    <t>Data Analytics || Deep Tech (Blockchain, AI, Robotics, AR/VR) || Research Partnerships || Data Analytics || Deep Tech (Blockchain, AI, Robotics, AR/VR) || Research Partnerships || Data Analytics || Deep Tech (Blockchain, AI, Robotics, AR/VR) || Research Partnerships || Data Analytics || Deep Tech (Blockchain, AI, Robotics, AR/VR) || Research Partnerships || Data Analytics || Deep Tech (Blockchain, AI, Robotics, AR/VR) || Research Partnerships || Data Analytics || Deep Tech (Blockchain, AI, Robotics, AR/VR) || Research Partnerships || Data Analytics || Deep Tech (Blockchain, AI, Robotics, AR/VR) || Research Partnerships || Data Analytics || Deep Tech (Blockchain, AI, Robotics, AR/VR) || Research Partnerships || Data Analytics || Deep Tech (Blockchain, AI, Robotics, AR/VR) || Research Partnerships || Data Analytics || Deep Tech (Blockchain, AI, Robotics, AR/VR) || Research Partnerships || Entrepreneurship Coaching</t>
  </si>
  <si>
    <t>Education &amp; Training || Education &amp; Training || Education &amp; Training || Others || Others || Others || Pharmaceuticals, Healthcare and Wellness || Pharmaceuticals, Healthcare and Wellness || Pharmaceuticals, Healthcare and Wellness || Social &amp; Community Services || Social &amp; Community Services || Social &amp; Community Services || Telecommunications || Telecommunications || Telecommunications || Education &amp; Training || Education &amp; Training || Education &amp; Training || Others || Others || Others || Pharmaceuticals, Healthcare and Wellness || Pharmaceuticals, Healthcare and Wellness || Pharmaceuticals, Healthcare and Wellness || Social &amp; Community Services || Social &amp; Community Services || Social &amp; Community Services || Telecommunications || Telecommunications || Telecommunications || Education &amp; Training</t>
  </si>
  <si>
    <t>Dr. Satish K Nair</t>
  </si>
  <si>
    <t>Adjunct Associate Professor</t>
  </si>
  <si>
    <t xml:space="preserve">Institute of Management, Nirma University </t>
  </si>
  <si>
    <t>Summary:&lt;/strong&gt;&lt;/p&gt;&lt;p&gt;Dr. Satish K Nair, a double Post-Graduate in Physics and Management with a PhD in Management focusing on strategic alliances in the Indian MSME domain, combines nine years of corporate experience with over twenty-four years of MBA-level teaching. His career spans sales management, supply and distribution in the petroleum industry, and academic administration. Dr. Nair is known for his strategic, long-term approach to business and macro-environmental issues, drawing inspiration from figures like Guru Dronacharya, Chanakya, and Dr. A P J Abdul Kalam.&lt;/p&gt;&lt;p&gt;&lt;br&gt;&lt;/p&gt;Key Areas of Expertise:&lt;/strong&gt;&lt;/p&gt;&lt;ul&gt;&lt;li&gt;Strategic Alliances&lt;/li&gt;&lt;li&gt;Entrepreneurship&lt;/li&gt;&lt;li&gt;Strategic Management&lt;/li&gt;&lt;li&gt;Sales Management&lt;/li&gt;&lt;li&gt;Supply and Distribution&lt;/li&gt;&lt;li&gt;Curriculum Development&lt;/li&gt;&lt;li&gt;Academic Administration&lt;/li&gt;&lt;/ul&gt;&lt;p&gt;&lt;br&gt;&lt;/p&gt;Strategic Contributions:&lt;/strong&gt;&lt;/p&gt;&lt;ul&gt;&lt;li&gt;Headed an institute and led various MBA programs.&lt;/li&gt;&lt;li&gt;Oversaw curriculum development and academic administration tasks.&lt;/li&gt;&lt;li&gt;Contributed to strategic management and entrepreneurship education.&lt;/li&gt;&lt;/ul&gt;</t>
  </si>
  <si>
    <t>https://www.linkedin.com/in/satish-k-nair/</t>
  </si>
  <si>
    <t>satish.nair.1964@gmail.com</t>
  </si>
  <si>
    <t>Market access || Market research || Organizational Development || Performance Management || Product Development || Prototyping &amp; Testing || Research Partnerships || Training &amp; Development || Market access || Market research || Organizational Development || Performance Management || Product Development || Prototyping &amp; Testing || Research Partnerships || Training &amp; Development || Entrepreneurship Coaching || Strategic Planning</t>
  </si>
  <si>
    <t>Others || Others || Others || Others || Others || Others || Others || Others || Others || Others || Others || Others || Others || Others || Others || Others || Education &amp; Training</t>
  </si>
  <si>
    <t>Dr. Sheenu Jain</t>
  </si>
  <si>
    <t>Co-Founder &amp; Director</t>
  </si>
  <si>
    <t>IIHMR Startups</t>
  </si>
  <si>
    <t>Summary&lt;/strong&gt;&lt;/p&gt;&lt;p&gt;Dr. Sheenu is a highly qualified academic and practitioner with expertise in Marketing, Entrepreneurship, and Behavioral Psychology. She have extensive experience in academia, consulting, and collaboration with government and industry bodies.&lt;/p&gt;&lt;p&gt;&lt;br&gt;&lt;/p&gt;Core Expertise:&amp;nbsp;&lt;/strong&gt;&lt;/p&gt;&lt;p&gt;Marketing (Green Marketing, Emotional Marketing, Social Marketing, Digital Marketing, Tourism Marketing), Entrepreneurship, Behavioral Psychology, Understanding Consumer Mind, Leadership Development, Negotiation Skills, Sales Management, Management Development Programs.&lt;/p&gt;&lt;p&gt;&lt;br&gt;&lt;/p&gt;Problem Solving Approach:&amp;nbsp;&lt;/strong&gt;&lt;/p&gt;&lt;p&gt;Engages in collaborative programs with Ministry of North East, CII, and Indian Chamber of Commerce, focusing on joint initiatives and programs aimed at addressing industry challenges. Active involvement in national and international forums suggests a strategic and proactive problem-solving approach.&lt;/p&gt;&lt;p&gt;&lt;br&gt;&lt;/p&gt;Impactful Projects:&amp;nbsp;&lt;/strong&gt;&lt;/p&gt;&lt;p&gt;Conducted Management Development Programs (MDPs) in sales, leadership, negotiation skills, and marketing management. Published over 20 papers in national and international journals. Author of a book on Green Management Practices. Participation in prestigious programs like the Goldman Sachs &amp;amp; London Business School 10,000 Women Entrepreneur Program highlights impactful initiatives.&lt;/p&gt;&lt;p&gt;&lt;br&gt;&lt;/p&gt;Consulting Style:&amp;nbsp;&lt;/strong&gt;&lt;/p&gt;&lt;p&gt;Acts as a resource person for corporate in-house training programs, indicating a hands-on and practical consulting style. Membership in professional bodies like Marketing Research Society of India and All India Management Association underscores a networked and industry-connected consulting approach. Engages as a freelance writer for reputed publications, contributing thought leadership and insights.&lt;/p&gt;</t>
  </si>
  <si>
    <t>https://www.linkedin.com/in/sheenjain007/</t>
  </si>
  <si>
    <t>sheenu.jain@lnmiit.ac.in (Use this ID)
sheenu@iihmr.edu.in
cl.lce@lnmiit.ac.in</t>
  </si>
  <si>
    <t>Branding || Corporate Social Responsibility || Customer Experience Optimization || Digital Marketing || Go to Market Strategy || International Market Analysis || Market research || Social Media Marketing || Sustainable Operations || Branding || Corporate Social Responsibility || Customer Experience Optimization || Digital Marketing || Go to Market Strategy || International Market Analysis || Market research || Social Media Marketing || Sustainable Operations || Branding || Corporate Social Responsibility || Customer Experience Optimization || Digital Marketing || Go to Market Strategy || International Market Analysis || Market research || Social Media Marketing || Sustainable Operations || Branding || Corporate Social Responsibility || Customer Experience Optimization || Digital Marketing || Go to Market Strategy || International Market Analysis || Market research || Social Media Marketing || Sustainable Operations || Branding || Corporate Social Responsibility || Customer Experience Optimization || Digital Marketing || Go to Market Strategy || International Market Analysis || Market research || Social Media Marketing || Sustainable Operations || Branding || Corporate Social Responsibility || Customer Experience Optimization || Digital Marketing || Go to Market Strategy || International Market Analysis || Market research || Social Media Marketing || Sustainable Operations || Marketing &amp; Branding || Entrepreneurship Coaching</t>
  </si>
  <si>
    <t>Media, Arts &amp; Entertainment || Media, Arts &amp; Entertainment || Media, Arts &amp; Entertainment || Media, Arts &amp; Entertainment || Media, Arts &amp; Entertainment || Media, Arts &amp; Entertainment || Media, Arts &amp; Entertainment || Media, Arts &amp; Entertainment || Media, Arts &amp; Entertainment || Services || Services || Services || Services || Services || Services || Services || Services || Services || Media, Arts &amp; Entertainment || Media, Arts &amp; Entertainment || Media, Arts &amp; Entertainment || Media, Arts &amp; Entertainment || Media, Arts &amp; Entertainment || Media, Arts &amp; Entertainment || Media, Arts &amp; Entertainment || Media, Arts &amp; Entertainment || Media, Arts &amp; Entertainment || Services || Services || Services || Services || Services || Services || Services || Services || Services || Media, Arts &amp; Entertainment || Media, Arts &amp; Entertainment || Media, Arts &amp; Entertainment || Media, Arts &amp; Entertainment || Media, Arts &amp; Entertainment || Media, Arts &amp; Entertainment || Media, Arts &amp; Entertainment || Media, Arts &amp; Entertainment || Media, Arts &amp; Entertainment || Services || Services || Services || Services || Services || Services || Services || Services || Services || Education &amp; Training</t>
  </si>
  <si>
    <t>Dr. Shweta Singh</t>
  </si>
  <si>
    <t>SheReal &amp; Ennoble IP (EIP)</t>
  </si>
  <si>
    <t>Summary:&lt;/strong&gt;&lt;/p&gt;&lt;p&gt;Dr. Shweta is a trailblazing first-generation serial entrepreneur, mentor, angel investor, wealth manager, advisor, and guide to numerous tech-based startups and SMEs. She has over two decades of professional experience in intellectual property law and management and is deeply committed to empowering women entrepreneurs. As the Founder of Ennoble IP, an award-winning IP solutions company, Dr. Singh supports entrepreneurs, corporates, and educational institutions in safeguarding and commercializing their ideas globally.&lt;/p&gt;&lt;p&gt;&lt;br&gt;&lt;/p&gt;Core Expertise:&lt;/strong&gt;&lt;/p&gt;&lt;p&gt;Dr. Shweta specializes in intellectual property law, patent research and analytics, IP commercialization, portfolio management, and mentoring women-led startups. Her work spans a wide range of industries, focusing on supporting tech-based startups and fostering a strong ecosystem for women entrepreneurs.&lt;/p&gt;&lt;p&gt;&lt;br&gt;&lt;/p&gt;Problem-Solving Approach:&lt;/strong&gt;&lt;/p&gt;&lt;p&gt;Dr. Shweta's methodology involves providing comprehensive IP solutions and strategic advice tailored to the unique needs of her clients. She emphasizes a thorough understanding of the client's challenges and leverages her extensive knowledge in IP law and management to offer actionable and innovative solutions.&lt;/p&gt;&lt;p&gt;&lt;br&gt;&lt;/p&gt;Impactful Projects:&lt;/strong&gt;&lt;/p&gt;&lt;ul&gt;&lt;li&gt;&lt;strong&gt;Ennoble IP:&lt;/strong&gt; Under Dr. Shweta's leadership, the company has grown into a trusted partner for high-quality IP services, helping clients navigate the complexities of intellectual property.&lt;/li&gt;&lt;li&gt;&lt;strong&gt;Women Innovation &amp;amp; Entrepreneurship Foundation:&lt;/strong&gt; This NPO aids innovative female-led startups, providing them with the resources and support they need to succeed.&lt;/li&gt;&lt;li&gt;&lt;strong&gt;SheReal:&lt;/strong&gt; The world's first women’s professional networking platform, founded by Dr. Shweta, which supports women in advancing their careers and entrepreneurial pursuits.&lt;/li&gt;&lt;/ul&gt;&lt;p&gt;&lt;br&gt;&lt;/p&gt;Consultation Style:&lt;/strong&gt;&lt;/p&gt;&lt;p&gt;Dr. Shweta's consultation style is personalized and supportive. She is passionate about mentoring and guiding women in their entrepreneurial endeavors, helping them overcome gender biases and achieve their dreams. She tailors her guidance to the specific needs of each client, ensuring they receive practical and effective solutions.&lt;/p&gt;</t>
  </si>
  <si>
    <t>https://www.linkedin.com/in/dr-shweta-singh/</t>
  </si>
  <si>
    <t>founderoffice@ennobleip.com</t>
  </si>
  <si>
    <t>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Audit &amp; Compliance || IP Management || Trade Compliance || Intellectual Property Advisory || Entrepreneurship Coaching</t>
  </si>
  <si>
    <t>Agriculture &amp; Food Processing || Agriculture &amp; Food Processing || Agriculture &amp; Food Processing || Automobiles &amp; Auto Components || Automobiles &amp; Auto Components || Automobiles &amp; Auto Components || Banking &amp; Financial Services || Banking &amp; Financial Services || Banking &amp; Financial Services || Consumer Products || Consumer Products || Consumer Products || Defence &amp; Public Safety || Defence &amp; Public Safety || Defence &amp; Public Safety || Energy &amp; Renewable Resources || Energy &amp; Renewable Resources || Energy &amp; Renewable Resources || Environment, Sustainability &amp; Governance (ESG) || Environment, Sustainability &amp; Governance (ESG) || Environment, Sustainability &amp; Governance (ESG) || FinTech || FinTech || FinTech || Pharmaceuticals, Healthcare and Wellness || Pharmaceuticals, Healthcare and Wellness || Pharmaceuticals, Healthcare and Wellness || Professional &amp; Business Services || Professional &amp; Business Services || Professional &amp; Business Services || Retail &amp; e-Commerce || Retail &amp; e-Commerce || Retail &amp; e-Commerce || Technology &amp; Innovation || Technology &amp; Innovation || Technology &amp; Innovation || Textiles &amp; Apparel || Textiles &amp; Apparel || Textiles &amp; Apparel || Transportation &amp; Logistics || Transportation &amp; Logistics || Transportation &amp; Logistics || Agriculture &amp; Food Processing || Agriculture &amp; Food Processing || Agriculture &amp; Food Processing || Automobiles &amp; Auto Components || Automobiles &amp; Auto Components || Automobiles &amp; Auto Components || Banking &amp; Financial Services || Banking &amp; Financial Services || Banking &amp; Financial Services || Consumer Products || Consumer Products || Consumer Products || Defence &amp; Public Safety || Defence &amp; Public Safety || Defence &amp; Public Safety || Energy &amp; Renewable Resources || Energy &amp; Renewable Resources || Energy &amp; Renewable Resources || Environment, Sustainability &amp; Governance (ESG) || Environment, Sustainability &amp; Governance (ESG) || Environment, Sustainability &amp; Governance (ESG) || FinTech || FinTech || FinTech || Pharmaceuticals, Healthcare and Wellness || Pharmaceuticals, Healthcare and Wellness || Pharmaceuticals, Healthcare and Wellness || Professional &amp; Business Services || Professional &amp; Business Services || Professional &amp; Business Services || Retail &amp; e-Commerce || Retail &amp; e-Commerce || Retail &amp; e-Commerce || Technology &amp; Innovation || Technology &amp; Innovation || Technology &amp; Innovation || Textiles &amp; Apparel || Textiles &amp; Apparel || Textiles &amp; Apparel || Transportation &amp; Logistics || Transportation &amp; Logistics || Transportation &amp; Logistics || Legal Services || Deeptech</t>
  </si>
  <si>
    <t>Renuka Dudeja</t>
  </si>
  <si>
    <t>Chief Marketing Officer</t>
  </si>
  <si>
    <t>Clove Dental</t>
  </si>
  <si>
    <t>Summary:&lt;/strong&gt;&lt;/p&gt;&lt;p&gt;Renuka is an accomplished brand architect with over 25 years of expertise in elevating premium brands across the Healthcare, Hospitality, and Luxury Lifestyle sectors. Renowned for driving significant market share growth and crafting unforgettable brand experiences, she excels in strategic planning, digital and social media engagement, and developing compelling brand narratives. As a transformative leader, Renuka has a proven track record in brand stewardship, consistently delivering impactful results and innovation in senior marketing and branding roles.&lt;/p&gt;&lt;p&gt;&lt;br&gt;&lt;/p&gt;Key Areas of Expertise:&lt;/strong&gt;&lt;/p&gt;&lt;em&gt;Strategic Planning &amp;amp; Execution: &lt;/em&gt;&lt;/strong&gt;Crafting and implementing comprehensive strategies that align with business goals and drive brand growth.&lt;/p&gt;&lt;em&gt;Brand Messaging &amp;amp; Positioning:&lt;/em&gt;&lt;/strong&gt; Developing clear and compelling brand messages that resonate with target audiences and distinguish the brand in the marketplace.&lt;/p&gt;&lt;em&gt;Customer Insights &amp;amp; Analytics:&lt;/em&gt;&lt;/strong&gt; Utilizing data and analytics to gain deep insights into customer behavior, preferences, and trends.&lt;/p&gt;&lt;em&gt;Digital Marketing Campaigns: &lt;/em&gt;&lt;/strong&gt;Designing and executing effective digital marketing strategies to enhance online presence and engagement.&lt;/p&gt;&lt;em&gt;Go-to-Market (GTM) Strategy:&lt;/em&gt;&lt;/strong&gt; Planning and executing successful market entry strategies for new Product Managements and services.&lt;/p&gt;&lt;em&gt;Product Management Development &amp;amp; Pricing: &lt;/em&gt;&lt;/strong&gt;Guiding Product Management development processes and pricing strategies to meet market demands and maximize profitability.&lt;/p&gt;&lt;em&gt;Market Research:&lt;/em&gt;&lt;/strong&gt; Conducting thorough market research to inform strategic decisions and identify opportunities for growth.&lt;/p&gt;&lt;em&gt;Revenue Forecasting &amp;amp; Growth: &lt;/em&gt;&lt;/strong&gt;Implementing strategies to forecast revenue accurately and drive sustainable growth.&lt;/p&gt;&lt;em&gt;Budget &amp;amp; Cost Control:&lt;/em&gt;&lt;/strong&gt; Managing budgets effectively to ensure cost efficiency while achieving marketing objectives.&lt;/p&gt;&lt;em&gt;SEO &amp;amp; PPC Management:&lt;/em&gt;&lt;/strong&gt; Enhancing online visibility and driving traffic through effective SEO and PPC campaigns.&lt;/p&gt;&lt;em&gt;Collateral &amp;amp; Content Creation:&lt;/em&gt;&lt;/strong&gt; Producing high-quality marketing materials and content that support brand initiatives and campaigns.&lt;/p&gt;&lt;em&gt;Experiential Marketing: &lt;/em&gt;&lt;/strong&gt;Creating immersive and engaging brand experiences that leave a lasting impact on consumers.&lt;/p&gt;&lt;em&gt;Event Management:&lt;/em&gt;&lt;/strong&gt; Planning and executing successful events that enhance brand visibility and engagement.&lt;/p&gt;&lt;em&gt;Team Building &amp;amp; Leadership: &lt;/em&gt;&lt;/strong&gt;Leading and developing high-performing teams to achieve marketing and branding goals.&lt;/p&gt;&lt;p&gt;&lt;br&gt;&lt;/p&gt;Strategic Contributions:&lt;/strong&gt;&lt;/p&gt;&lt;p&gt;Renuka has led numerous significant strategic decisions and transformations in her previous roles. She has successfully repositioned brands to capture new market segments, launched innovative digital marketing campaigns that significantly increased online engagement, and spearheaded Product Management development initiatives that resulted in substantial revenue growth. Her ability to leverage customer insights and analytics has driven effective go-to-market strategies and optimized pricing models. Additionally, her leadership in experiential marketing has created memorable brand experiences that strengthened customer loyalty and brand advocacy.&lt;/p&gt;&lt;p&gt;&lt;br&gt;&lt;/p&gt;Mentorship Philosophy: &lt;/strong&gt;&lt;/p&gt;&lt;p&gt;Renuka believes in a collaborative and hands-on approach to mentoring. She is committed to empowering startups by sharing her extensive experience and knowledge, helping them navigate challenges, seize opportunities, and achieve their objectives. She views mentorship as a reciprocal learning opportunity, staying abreast of emerging trends and technologies while providing valuable guidance. Her goal is to make the mentorship experience enriching, engaging, and enjoyable, fostering a positive and Product Managementive atmosphere for learning and growth.&lt;/p&gt;</t>
  </si>
  <si>
    <t>https://www.linkedin.com/in/renuka-nahar-formerly-dudeja-07464521/</t>
  </si>
  <si>
    <t>renukadudeja@gmail.com</t>
  </si>
  <si>
    <t>Branding || Media and PR || Branding || Media and PR || Branding || Media and PR || Branding || Media and PR || Branding || Media and PR || Branding || Media and PR || Marketing &amp; Branding</t>
  </si>
  <si>
    <t>Fashion &amp; Beauty || Fashion &amp; Beauty || Pharmaceuticals, Healthcare and Wellness || Pharmaceuticals, Healthcare and Wellness || Retail &amp; e-Commerce || Retail &amp; e-Commerce || Fashion &amp; Beauty || Fashion &amp; Beauty || Pharmaceuticals, Healthcare and Wellness || Pharmaceuticals, Healthcare and Wellness || Retail &amp; e-Commerce || Retail &amp; e-Commerce || Pharmaceuticals, Healthcare and Wellness</t>
  </si>
  <si>
    <t>Dr. Subhendu kumar Mishra</t>
  </si>
  <si>
    <t>Summary:&lt;/strong&gt;&lt;/p&gt;&lt;p&gt;Dr. Subhendu is an Associate Professor at GITAM School of Business, Visakhapatnam, specializing in Entrepreneurship and Family Business Management. He holds a doctoral fellowship from EDII, Ahmedabad, and combines industry experience with academic expertise. Dr. Subhendu teaches Entrepreneurship, Design Thinking, Innovation, and Family Business Management and has conducted numerous training programs for various sectors. He writes on topics like transgenerational entrepreneurship, entrepreneurial mindset, and the psychology of entrepreneurs.&lt;/p&gt;&lt;p&gt;&lt;br&gt;&lt;/p&gt;Key Areas of Expertise:&lt;/strong&gt;&lt;/p&gt;&lt;ul&gt;&lt;li&gt;Entrepreneurship&lt;/li&gt;&lt;li&gt;Design Thinking&lt;/li&gt;&lt;li&gt;Innovation&lt;/li&gt;&lt;li&gt;Family Business Management&lt;/li&gt;&lt;/ul&gt;&lt;p&gt;&lt;br&gt;&lt;/p&gt;Strategic Contributions:&lt;/strong&gt;&lt;/p&gt;&lt;ul&gt;&lt;li&gt;Conducting training programs for corporates, small enterprises, NGOs, teachers, and students&lt;/li&gt;&lt;li&gt;Covering areas such as competency development, entrepreneurial mindset, decision-making, team building, and lean startup process&lt;/li&gt;&lt;/ul&gt;</t>
  </si>
  <si>
    <t>https://www.linkedin.com/in/subhendu-mishra-ab239b1a</t>
  </si>
  <si>
    <t>Bhubaneswar</t>
  </si>
  <si>
    <t>subhen.mishra@gmail.com</t>
  </si>
  <si>
    <t>Business Model Development || Go to Market Strategy || Growth Strategy Formulation || Market research || Marketing || Performance Management || Pitch coaching || Research Partnerships || Talent Acquisition || Training &amp; Development || UI/UX Design || Business Model Development || Go to Market Strategy || Growth Strategy Formulation || Market research || Marketing || Performance Management || Pitch coaching || Research Partnerships || Talent Acquisition || Training &amp; Development || UI/UX Design || Business Model Development || Go to Market Strategy || Growth Strategy Formulation || Market research || Marketing || Performance Management || Pitch coaching || Research Partnerships || Talent Acquisition || Training &amp; Development || UI/UX Design || Business Model Development || Go to Market Strategy || Growth Strategy Formulation || Market research || Marketing || Performance Management || Pitch coaching || Research Partnerships || Talent Acquisition || Training &amp; Development || UI/UX Design || Business Model Development || Go to Market Strategy || Growth Strategy Formulation || Market research || Marketing || Performance Management || Pitch coaching || Research Partnerships || Talent Acquisition || Training &amp; Development || UI/UX Design || Business Model Development || Go to Market Strategy || Growth Strategy Formulation || Market research || Marketing || Performance Management || Pitch coaching || Research Partnerships || Talent Acquisition || Training &amp; Development || UI/UX Design || Business Model Development || Go to Market Strategy || Growth Strategy Formulation || Market research || Marketing || Performance Management || Pitch coaching || Research Partnerships || Talent Acquisition || Training &amp; Development || UI/UX Design || Business Model Development || Go to Market Strategy || Growth Strategy Formulation || Market research || Marketing || Performance Management || Pitch coaching || Research Partnerships || Talent Acquisition || Training &amp; Development || UI/UX Design || Business Model Development || Go to Market Strategy || Growth Strategy Formulation || Market research || Marketing || Performance Management || Pitch coaching || Research Partnerships || Talent Acquisition || Training &amp; Development || UI/UX Design || Business Model Development || Go to Market Strategy || Growth Strategy Formulation || Market research || Marketing || Performance Management || Pitch coaching || Research Partnerships || Talent Acquisition || Training &amp; Development || UI/UX Design || Business Model Development || Go to Market Strategy || Growth Strategy Formulation || Market research || Marketing || Performance Management || Pitch coaching || Research Partnerships || Talent Acquisition || Training &amp; Development || UI/UX Design || Business Model Development || Go to Market Strategy || Growth Strategy Formulation || Market research || Marketing || Performance Management || Pitch coaching || Research Partnerships || Talent Acquisition || Training &amp; Development || UI/UX Design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</si>
  <si>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Consumer Products || Consumer Products || Consumer Products || Consumer Products || Consumer Products || Consumer Products || Consumer Products || Consumer Products || Consumer Products || Consumer Products || Consumer Products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Services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Tourism &amp; Hospitality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Consumer Products || Consumer Products || Consumer Products || Consumer Products || Consumer Products || Consumer Products || Consumer Products || Consumer Products || Consumer Products || Consumer Products || Consumer Products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Services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Tourism &amp; Hospitality || Education &amp; Training</t>
  </si>
  <si>
    <t>Dr. Tharankumar Thinakaran</t>
  </si>
  <si>
    <t xml:space="preserve">SNS Institutions </t>
  </si>
  <si>
    <t>Summary&lt;/strong&gt;&lt;/p&gt;&lt;p&gt;Dr. Tharankumar is an accomplished Assistant Professor with over 13 years of experience in Electrical and Electronics Engineering at SNS College of Engineering. With a PhD in Smart Grid from Anna University and a Master’s in Applied Electronics from Government College of Technology, Coimbatore, his expertise spans teaching, research, and educational leadership. Proficient in design thinking and various engineering tools, he has spearheaded innovative projects in Smart Grid and Solar Energy. He is passionate about skill and career development, aiming to empower students and aspiring engineers to tackle real-world challenges.&lt;/p&gt;&lt;p&gt;&lt;br&gt;&lt;/p&gt;Key Areas of Expertise&lt;/strong&gt;&lt;/p&gt;&lt;ul&gt;&lt;li&gt;Smart Grid Technology&lt;/li&gt;&lt;li&gt;Solar Energy&lt;/li&gt;&lt;li&gt;Design Thinking&lt;/li&gt;&lt;li&gt;Educational Leadership&lt;/li&gt;&lt;li&gt;Skill and Career Development&lt;/li&gt;&lt;li&gt;Research in Electrical and Electronics Engineering&lt;/li&gt;&lt;/ul&gt;&lt;p&gt;&lt;br&gt;&lt;/p&gt;Strategic Contributions&lt;/strong&gt;&lt;/p&gt;&lt;ul&gt;&lt;li&gt;Led innovative projects and research in Smart Grid and Solar Energy&lt;/li&gt;&lt;li&gt;Published research and contributed to academic advancements&lt;/li&gt;&lt;li&gt;Microsoft Innovative Educator certification&lt;/li&gt;&lt;/ul&gt;&lt;p&gt;&lt;br&gt;&lt;/p&gt;Mentorship Philosophy&lt;/strong&gt;&lt;/p&gt;&lt;p&gt;Committed to inspiring and empowering future engineers and entrepreneurs through knowledge, skill-building, and design thinking&lt;/p&gt;</t>
  </si>
  <si>
    <t>https://www.linkedin.com/in/tharankumar-thinakaran</t>
  </si>
  <si>
    <t>drtharankumar@gmail.com (Mentor)
ttharan.dt.sns@gmail.com
tharan.engineer@gmail.com (Evaluator)
tharan_kct@yahoo.co.in (Student)</t>
  </si>
  <si>
    <t>Business Model Development || Market research || Marketing || Pitch coaching || Product Development || Prototyping &amp; Testing || Talent Acquisition || Training &amp; Development || Business Model Development || Market research || Marketing || Pitch coaching || Product Development || Prototyping &amp; Testing || Talent Acquisition || Training &amp; Development || Business Model Development || Market research || Marketing || Pitch coaching || Product Development || Prototyping &amp; Testing || Talent Acquisition || Training &amp; Development || Business Model Development || Market research || Marketing || Pitch coaching || Product Development || Prototyping &amp; Testing || Talent Acquisition || Training &amp; Development || Business Model Development || Market research || Marketing || Pitch coaching || Product Development || Prototyping &amp; Testing || Talent Acquisition || Training &amp; Development || Business Model Development || Market research || Marketing || Pitch coaching || Product Development || Prototyping &amp; Testing || Talent Acquisition || Training &amp; Development || Entrepreneurship Coaching || Product Management Management</t>
  </si>
  <si>
    <t>Agriculture &amp; Food Processing || Agriculture &amp; Food Processing || Agriculture &amp; Food Processing || Agriculture &amp; Food Processing || Agriculture &amp; Food Processing || Agriculture &amp; Food Processing || Agriculture &amp; Food Processing || Agriculture &amp; Food Processing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Education &amp; Training</t>
  </si>
  <si>
    <t>Dr. Upasana DIWAN</t>
  </si>
  <si>
    <t xml:space="preserve">Rukmini Devi Institute of Advanced StudiesRukmini </t>
  </si>
  <si>
    <t>Summary:&lt;/strong&gt;&lt;/p&gt;&lt;p&gt;Dr. Upasana is a dedicated academician with 17 years of experience in education. Committed to staying current and relevant, she focuses on connecting with students, learning from her experiences, and continually adapting to new information. Dr. Upasana is UGC NET qualified and holds a Doctorate from Birla Institute of Technology, Mesra. She is passionate about student mentoring, counseling, personality development, and training sessions.&lt;/p&gt;&lt;p&gt;&lt;br&gt;&lt;/p&gt;Key Areas of Expertise:&lt;/strong&gt;&lt;/p&gt;&lt;ul&gt;&lt;li&gt;Student Mentoring&lt;/li&gt;&lt;li&gt;Counseling&lt;/li&gt;&lt;li&gt;Personality Development&lt;/li&gt;&lt;li&gt;Training Sessions&lt;/li&gt;&lt;/ul&gt;&lt;p&gt;&lt;br&gt;&lt;/p&gt;Mentorship Philosophy:&lt;/strong&gt;&lt;/p&gt;&lt;ul&gt;&lt;li&gt;Believes in connecting with students and learning from experiences.&lt;/li&gt;&lt;li&gt;Emphasizes the importance of unlearning to make space for new knowledge.&lt;/li&gt;&lt;/ul&gt;</t>
  </si>
  <si>
    <t>https://www.linkedin.com/in/upasanadiwan</t>
  </si>
  <si>
    <t>Mentor: upasana_29@yahoo.com
upasana.diwan@rdias.ac.in</t>
  </si>
  <si>
    <t>Business Model Development || Market research || Training &amp; Development || Entrepreneurship Coaching || Business Model Development</t>
  </si>
  <si>
    <t>Education &amp; Training || Education &amp; Training || Education &amp; Training || Education &amp; Training</t>
  </si>
  <si>
    <t>Dr. Vaiyampalayam Balasundaram Mathipurani</t>
  </si>
  <si>
    <t>Entreprenuership Educator</t>
  </si>
  <si>
    <t>PSG College of Arts and Science</t>
  </si>
  <si>
    <t>Summary:&lt;/strong&gt;&lt;/p&gt;&lt;p&gt;Dr. Mathipurani has over 20 years of experience in higher education, serving in versatile roles such as international business faculty, Head of the Department of Master of International Business, Placement Officer, Controller of Examinations, and Vice President of PSGCAS Institution Innovation Council. A certified Advanced Level Entrepreneurship Educator from Wadhwani Global University, Dr. Mathipurani has guided more than 80 startup ideas in developing pitch decks and business model canvases.&lt;/p&gt;&lt;p&gt;&lt;br&gt;&lt;/p&gt;Key Areas of Expertise:&lt;/strong&gt; Dr. Mathipurani is passionate about mentoring students in developing their ideas into Business Model Canvases (BMCs) and Pitch Decks. Other areas of expertise include marketing, HR, and strategic planning.&lt;/p&gt;&lt;p&gt;&lt;br&gt;&lt;/p&gt;Mentorship Philosophy:&lt;/strong&gt; Dr. Mathipurani is deeply committed to the growth of startups and is eager to support them with positive energy and guidance.&lt;/p&gt;&lt;p&gt;&lt;br&gt;&lt;/p&gt;Success Stories:&lt;/strong&gt; Dr. Mathipurani's students were the first on campus to start a campus venture.&lt;/p&gt;</t>
  </si>
  <si>
    <t>https://www.linkedin.com/in/dr-mathipurani-vaiyampalayam-balasundaram-722b87b5/</t>
  </si>
  <si>
    <t>mathipurani@psgcas.ac.in (Faculty)
Mathipurani@gmail.com
mathipuranivb@gmail.com (Mentor)</t>
  </si>
  <si>
    <t>Business Model Development || Market research || Pitch coaching || Strategic Planning || Talent Acquisition || Entrepreneurship Coaching</t>
  </si>
  <si>
    <t>Dr. Vikram Shete</t>
  </si>
  <si>
    <t>Global Professor of Practice</t>
  </si>
  <si>
    <t>Golden Gate University</t>
  </si>
  <si>
    <t>Summary:&lt;/strong&gt;&lt;/p&gt;&lt;p&gt;Dr. Vikram is a seasoned entrepreneur and educator with over 15 years of experience in entrepreneurship, engineering, and management. He is an Associate Professor of Entrepreneurship at ATLAS SkillTech University and co-Founder of Ninsar Agritech. Dr. Shete has developed and taught innovative courses, including "Entrepreneurship Blueprint," and played a pivotal role in transitioning the INSOFE School of Data Science to ATLAS SkillTech University. His work focuses on fostering innovation and providing practical entrepreneurial education.&lt;/p&gt;&lt;p&gt;&lt;br&gt;&lt;/p&gt;Key Areas of Expertise:&lt;/strong&gt;&lt;/p&gt;&lt;ul&gt;&lt;li&gt;Entrepreneurship and business development&lt;/li&gt;&lt;li&gt;Engineering and technology integration&lt;/li&gt;&lt;li&gt;Strategic planning and business strategy&lt;/li&gt;&lt;li&gt;Educational innovation and curriculum development&lt;/li&gt;&lt;li&gt;Corporate social responsibility&lt;/li&gt;&lt;li&gt;Mentoring and coaching for startups and individuals&lt;/li&gt;&lt;/ul&gt;&lt;p&gt;&lt;br&gt;&lt;/p&gt;Strategic Contributions:&lt;/strong&gt;&lt;/p&gt;&lt;ul&gt;&lt;li&gt;Developed the "Entrepreneurship Blueprint" course, leading to the formation of student-led businesses and incubation offers.&lt;/li&gt;&lt;li&gt;Transitioned the INSOFE School of Data Science to ATLAS SkillTech University, maintaining high standards and ensuring a smooth transition.&lt;/li&gt;&lt;li&gt;As co-Founder of Ninsar Agritech, initiated innovative solutions for agricultural challenges, built strategic partnerships, and led marketing and sales efforts.&lt;/li&gt;&lt;li&gt;Enhanced student learning experiences and boosted university enrollment and reputation through cutting-edge curricula and outreach initiatives.&lt;/li&gt;&lt;/ul&gt;&lt;p&gt;&lt;br&gt;&lt;/p&gt;Mentorship Philosophy: &lt;/strong&gt;&lt;/p&gt;``&lt;/strong&gt;Dr. Vikram believes in empowering the next generation of entrepreneurs and innovators by providing them with practical skills, knowledge, and a growth mindset. He emphasizes hands-on learning and real-world application, guiding students and startups through the challenges of the entrepreneurial journey. His approach is centered on nurturing creativity, resilience, and strategic thinking, helping mentees navigate their paths with confidence and purpose.&lt;/p&gt;</t>
  </si>
  <si>
    <t>https://www.linkedin.com/in/vikramshete/</t>
  </si>
  <si>
    <t>Dr.Vikram.shete@gmail.com</t>
  </si>
  <si>
    <t>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Business Model Development || Customer Relationship Management || Digital Marketing || Growth Strategy Formulation || Market research || Public speaking || Research Partnerships || Sales Strategy || Social Media Marketing || UI/UX Design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</si>
  <si>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Education &amp; Training || Software &amp; IT Services</t>
  </si>
  <si>
    <t>Fakhre Azam</t>
  </si>
  <si>
    <t>InnatePro</t>
  </si>
  <si>
    <t>Summary:&lt;/strong&gt;&lt;/p&gt;&lt;p&gt;Mr. Fakhre has over 39 years of diverse experience in corporate, academia, and entrepreneurship. His extensive career includes leadership roles in marketing, strategic operations, and people development. As a coach and mentor, he specializes in innate behavior and skills coaching, bio-psychological potential analysis, entrepreneurship, and leadership development.&lt;/p&gt;&lt;p&gt;&lt;br&gt;&lt;/p&gt;Key Areas of Expertise:&lt;/strong&gt;&lt;/p&gt;&lt;ul&gt;&lt;li&gt;Strategic Planning&lt;/li&gt;&lt;li&gt;Sales &amp;amp; Marketing&lt;/li&gt;&lt;li&gt;Business Coaching&lt;/li&gt;&lt;li&gt;Leadership Development&lt;/li&gt;&lt;li&gt;People Development&lt;/li&gt;&lt;/ul&gt;&lt;p&gt;&lt;br&gt;&lt;/p&gt;Strategic Contributions:&lt;/strong&gt;&lt;/p&gt;&lt;ul&gt;&lt;li&gt;Leadership roles in effective marketing and strategic operations&lt;/li&gt;&lt;li&gt;Evaluation strategies for self-discovery and growth&lt;/li&gt;&lt;/ul&gt;&lt;p&gt;&lt;br&gt;&lt;/p&gt;Mentorship Philosophy:&lt;/strong&gt;&lt;/p&gt;&lt;ul&gt;&lt;li&gt;Innate behavior and skills coaching&lt;/li&gt;&lt;li&gt;Bio-psychological potential analysis&lt;/li&gt;&lt;li&gt;Life and business coaching&lt;/li&gt;&lt;/ul&gt;</t>
  </si>
  <si>
    <t>https://www.linkedin.com/in/fakhre-azam-02656857</t>
  </si>
  <si>
    <t>fa.innatepro@gmail.com</t>
  </si>
  <si>
    <t>Business Model Development || Digital Marketing || Go to Market Strategy || Growth Strategy Formulation || Marketing || Organizational Development || Performance Management || Process Optimization || Public speaking || Sales Strategy || Strategic Planning || Sustainable Operations || Training &amp; Development || Business Model Development || Digital Marketing || Go to Market Strategy || Growth Strategy Formulation || Marketing || Organizational Development || Performance Management || Process Optimization || Public speaking || Sales Strategy || Strategic Planning || Sustainable Operations || Training &amp; Development || Business Model Development || Digital Marketing || Go to Market Strategy || Growth Strategy Formulation || Marketing || Organizational Development || Performance Management || Process Optimization || Public speaking || Sales Strategy || Strategic Planning || Sustainable Operations || Training &amp; Development || Business Model Development || Digital Marketing || Go to Market Strategy || Growth Strategy Formulation || Marketing || Organizational Development || Performance Management || Process Optimization || Public speaking || Sales Strategy || Strategic Planning || Sustainable Operations || Training &amp; Development || HR Consulting</t>
  </si>
  <si>
    <t>Others || Others || Others || Others || Others || Others || Others || Others || Others || Others || Others || Others || Others || Services || Services || Services || Services || Services || Services || Services || Services || Services || Services || Services || Services || Services || Others || Others || Others || Others || Others || Others || Others || Others || Others || Others || Others || Others || Others || Services || Services || Services || Services || Services || Services || Services || Services || Services || Services || Services || Services || Services || Education &amp; Training</t>
  </si>
  <si>
    <t>Ganesh Iyer</t>
  </si>
  <si>
    <t>Deputy Manager Training</t>
  </si>
  <si>
    <t>Centum Learning Limited</t>
  </si>
  <si>
    <t>Summary&lt;/strong&gt;&lt;/p&gt;&lt;p&gt;Mr. Ganesh is a dynamic trainer and passionate entrepreneur, dedicated to empowering individuals, entrepreneurs, and businesses to achieve significant growth and impact. With 16 years of corporate experience in diverse fields such as e-commerce, ITES, banking &amp;amp; finance, operations management, learning and development, and quality management, he has also contributed to sectors like water &amp;amp; sanitation, women and child health, education, and agriculture under rural development. Mr. Ganesh co-founded a venture aimed at re-conceptualizing entrepreneurship and is eager to connect with individuals to support startups and foster impactful businesses.&lt;/p&gt;&lt;p&gt;&lt;br&gt;&lt;/p&gt;Key Areas of Expertise&lt;/strong&gt;&lt;/p&gt;&lt;ul&gt;&lt;li&gt;Training &amp;amp; Coaching&lt;/li&gt;&lt;li&gt;Content Development&lt;/li&gt;&lt;li&gt;Learning Strategies&lt;/li&gt;&lt;li&gt;Business &amp;amp; Product Management Strategy&lt;/li&gt;&lt;li&gt;Innovation Management&lt;/li&gt;&lt;li&gt;Start-up Mentoring&lt;/li&gt;&lt;li&gt;Strategic Growth&lt;/li&gt;&lt;li&gt;Incubation&lt;/li&gt;&lt;li&gt;Leadership&lt;/li&gt;&lt;li&gt;Management&lt;/li&gt;&lt;li&gt;Innovation&lt;/li&gt;&lt;/ul&gt;&lt;p&gt;&lt;br&gt;&lt;/p&gt;Strategic Contributions&lt;/strong&gt;&lt;/p&gt;&lt;ul&gt;&lt;li&gt;Building a bridge for early-stage innovators to turn creative ideas into reality&lt;/li&gt;&lt;li&gt;Re-conceptualizing the idea of entrepreneurship with co-Founders&lt;/li&gt;&lt;li&gt;Engaging in sectors such as water &amp;amp; sanitation, women and child health, education, and agriculture under rural development&lt;/li&gt;&lt;/ul&gt;&lt;p&gt;&lt;br&gt;&lt;/p&gt;Mentorship Philosophy&lt;/strong&gt;&lt;/p&gt;&lt;p&gt;Mr. Ganesh believes in the power of ideas and the potential within every individual. His mentoring approach is like nurturing a seed; he provides the right environment, guidance, and resources to help ideas grow and flourish. By connecting with enthusiastic individuals and startups, he aims to create a ripple effect, where each empowered entrepreneur goes on to inspire and empower others, creating a robust ecosystem of innovation and growth.&lt;/p&gt;</t>
  </si>
  <si>
    <t>https://www.linkedin.com/in/ganeshmiyer/</t>
  </si>
  <si>
    <t>giyer81@gmail.com</t>
  </si>
  <si>
    <t>Branding || Business Model Development || Customer Service &amp; Retention || Digital Marketing || Go to Market Strategy || Market research || Media and PR || Prototyping &amp; Testing || Public speaking || Sales Strategy || Social Media Marketing || Strategic Planning || Sustainable Operations || Training &amp; Development || Branding || Business Model Development || Customer Service &amp; Retention || Digital Marketing || Go to Market Strategy || Market research || Media and PR || Prototyping &amp; Testing || Public speaking || Sales Strategy || Social Media Marketing || Strategic Planning || Sustainable Operations || Training &amp; Development || Branding || Business Model Development || Customer Service &amp; Retention || Digital Marketing || Go to Market Strategy || Market research || Media and PR || Prototyping &amp; Testing || Public speaking || Sales Strategy || Social Media Marketing || Strategic Planning || Sustainable Operations || Training &amp; Development || Branding || Business Model Development || Customer Service &amp; Retention || Digital Marketing || Go to Market Strategy || Market research || Media and PR || Prototyping &amp; Testing || Public speaking || Sales Strategy || Social Media Marketing || Strategic Planning || Sustainable Operations || Training &amp; Development || Branding || Business Model Development || Customer Service &amp; Retention || Digital Marketing || Go to Market Strategy || Market research || Media and PR || Prototyping &amp; Testing || Public speaking || Sales Strategy || Social Media Marketing || Strategic Planning || Sustainable Operations || Training &amp; Development || Branding || Business Model Development || Customer Service &amp; Retention || Digital Marketing || Go to Market Strategy || Market research || Media and PR || Prototyping &amp; Testing || Public speaking || Sales Strategy || Social Media Marketing || Strategic Planning || Sustainable Operations || Training &amp; Development || Branding || Business Model Development || Customer Service &amp; Retention || Digital Marketing || Go to Market Strategy || Market research || Media and PR || Prototyping &amp; Testing || Public speaking || Sales Strategy || Social Media Marketing || Strategic Planning || Sustainable Operations || Training &amp; Development || Branding || Business Model Development || Customer Service &amp; Retention || Digital Marketing || Go to Market Strategy || Market research || Media and PR || Prototyping &amp; Testing || Public speaking || Sales Strategy || Social Media Marketing || Strategic Planning || Sustainable Operations || Training &amp; Development || Customer Relationship Management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</si>
  <si>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Others || Others || Others || Others || Others || Others || Others || Others || Others || Others || Others || Others || Others || Others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Education &amp; Training || Education &amp; Training</t>
  </si>
  <si>
    <t>Ganesh Shenoy K</t>
  </si>
  <si>
    <t>Mparadigm</t>
  </si>
  <si>
    <t>Summary:&amp;nbsp;&lt;/strong&gt;Ganesh Shenoy is a seasoned business strategist and technology leader with over two decades of experience in driving digital transformation initiatives. He specializes in aligning technology with business goals to achieve sustainable growth and operational excellence.&amp;nbsp;&lt;/p&gt;&lt;p&gt;&lt;br&gt;&lt;/p&gt;Problem-Solving Approach&lt;/strong&gt;: Ganesh excels in analyzing complex business challenges and leveraging emerging technologies to develop innovative solutions. His approach combines deep industry knowledge with a strategic mindset to deliver tangible business outcomes.&amp;nbsp;&lt;/p&gt;&lt;p&gt;&lt;br&gt;&lt;/p&gt;Impactful Projects&lt;/strong&gt;: Orchestrated the implementation of cloud-based solutions that optimized operational efficiency and reduced infrastructure costs by 40%. Led digital strategy initiatives that enhanced customer engagement and loyalty, resulting in a 25% increase in customer retention rates. Spearheaded cross-functional teams in launching innovative Product Managements that expanded market reach and generated significant revenue growth.&amp;nbsp;&lt;/p&gt;&lt;p&gt;&lt;br&gt;&lt;/p&gt;Consultation Style&lt;/strong&gt;: Known for his collaborative leadership style, Ganesh fosters a culture of innovation and continuous improvement. He actively engages stakeholders to co-create solutions and mentors aspiring leaders in navigating digital transformation challenges. His consulting approach emphasizes transparency, strategic alignment, and measurable results.&lt;/p&gt;</t>
  </si>
  <si>
    <t>https://www.linkedin.com/in/ganeshshenoyk</t>
  </si>
  <si>
    <t>ganesh.mparadigm@gmail.com</t>
  </si>
  <si>
    <t>Branding || Business Model Development || Go to Market Strategy || Organizational Development || Sales Strategy || Talent Acquisition || Training &amp; Development || Branding || Business Model Development || Go to Market Strategy || Organizational Development || Sales Strategy || Talent Acquisition || Training &amp; Development || Branding || Business Model Development || Go to Market Strategy || Organizational Development || Sales Strategy || Talent Acquisition || Training &amp; Development || Branding || Business Model Development || Go to Market Strategy || Organizational Development || Sales Strategy || Talent Acquisition || Training &amp; Development || Entrepreneurship Coaching || Product Management Management</t>
  </si>
  <si>
    <t>Education &amp; Training || Education &amp; Training || Education &amp; Training || Education &amp; Training || Education &amp; Training || Education &amp; Training || Education &amp; Training || Technology &amp; Innovation || Technology &amp; Innovation || Technology &amp; Innovation || Technology &amp; Innovation || Technology &amp; Innovation || Technology &amp; Innovation || Technology &amp; Innovation || Education &amp; Training || Education &amp; Training || Education &amp; Training || Education &amp; Training || Education &amp; Training || Education &amp; Training || Education &amp; Training || Technology &amp; Innovation || Technology &amp; Innovation || Technology &amp; Innovation || Technology &amp; Innovation || Technology &amp; Innovation || Technology &amp; Innovation || Technology &amp; Innovation || Software &amp; IT Services</t>
  </si>
  <si>
    <t>Gaurang Thosani</t>
  </si>
  <si>
    <t>Head Digital Marketing and E-sales</t>
  </si>
  <si>
    <t xml:space="preserve">Royal Sundaram General Insurance Co. Limited </t>
  </si>
  <si>
    <t>Summary:&lt;/strong&gt; With over 15 years of experience in marketing and digital transformation,Gaurang has been at the forefront of enhancing customer engagement and driving e-sales performance. His journey has been marked by strategic leadership roles, particularly in digital Product Management and transformation, where he has successfully executed impactful marketing communications and CRM initiatives. Currently, He is the Head of Digital Marketing and E-sales at Royal Sundaram General Insurance, where he continues to innovate and align our digital strategies with the company's vision.&amp;nbsp;His extensive background in the BFSI and NBFC sectors underscores his proficiency in B2C and B2B Digital Sales and Marketing.&lt;/p&gt;&lt;p&gt;&lt;br&gt;&lt;/p&gt;Core Expertise:&lt;/strong&gt; His expertise spans across marketing communications, CRM, digital transformation, and e-sales. He has a proven track record in leading marketing teams to develop strategies that resonate with diverse customer bases, contributing to significant digital sales growth. His experience includes senior roles at DBS Bank, Future Generali India Life Insurance, Weizmann Forex Ltd, HSBC, and ICICI Prudential.&lt;/p&gt;&lt;p&gt;&lt;br&gt;&lt;/p&gt;Problem-Solving Approach:&lt;/strong&gt; He embrace new challenges with a mission to innovate within the digital space. His approach involves leveraging data-driven insights to create and execute marketing strategies that not only engage customers but also drive measurable business outcomes.&lt;/p&gt;&lt;p&gt;&lt;br&gt;&lt;/p&gt;Impactful Projects:&lt;/strong&gt; Throughout his career, he has received multiple industry recognitions for my contributions to digital marketing and transformation. Notably, while at DBS Bank, he played a key role in the successful launch of strategic campaigns for personal loans, which significantly boosted customer engagement and sales.&lt;/p&gt;</t>
  </si>
  <si>
    <t>https://www.linkedin.com/in/gaurang-thosani</t>
  </si>
  <si>
    <t>thosanigaurang@gmail.com</t>
  </si>
  <si>
    <t>Digital Marketing || Marketing || Sales Strategy || Digital Marketing || Marketing || Sales Strategy || Digital Marketing || E-commerce Management</t>
  </si>
  <si>
    <t>Banking &amp; Financial Services || Banking &amp; Financial Services || Banking &amp; Financial Services || FinTech || FinTech || FinTech || Fintech, Banking, Financial Services || Fintech, Banking, Financial Services</t>
  </si>
  <si>
    <t>Gaurav Bansal</t>
  </si>
  <si>
    <t xml:space="preserve">AGM-Strategy and Operations </t>
  </si>
  <si>
    <t>Justdial</t>
  </si>
  <si>
    <t>Professional Summary:&lt;/strong&gt;&lt;/p&gt;&lt;p&gt;Mr. Gaurav is a seasoned professional with over 12 years of experience across IT, Retail, Ecommerce, and Banking. He has played key roles in leading new initiatives, scaling operations, driving strategy, and managing business P&amp;amp;L. A startup enthusiast, Gaurav has built two ventures from the ground up and authored "Bitcoin Basics – Logic and Magic of Digital Gold." His extensive mentoring experience includes judging startups at premier institutions like IIT Madras and IIM-Rohtak, as well as serving as a "Mentor of Change" at Atal Innovation Mission.&lt;/p&gt;&lt;p&gt;&lt;br&gt;&lt;/p&gt;Key Areas of Expertise:&lt;/strong&gt;&lt;/p&gt;&lt;ul&gt;&lt;li&gt;Business Strategy&lt;/li&gt;&lt;li&gt;Strategic Partnerships&lt;/li&gt;&lt;li&gt;Growth Strategies&lt;/li&gt;&lt;li&gt;Program Management&lt;/li&gt;&lt;li&gt;Go-to-Market Strategy&lt;/li&gt;&lt;/ul&gt;&lt;p&gt;&lt;br&gt;&lt;/p&gt;Strategic Contributions:&lt;/strong&gt;&lt;/p&gt;&lt;ul&gt;&lt;li&gt;Built two startups from 0-to-1.&lt;/li&gt;&lt;li&gt;Authored a book on Bitcoin fundamentals.&lt;/li&gt;&lt;li&gt;Led and scaled operations across multiple sectors.&lt;/li&gt;&lt;/ul&gt;&lt;p&gt;&lt;br&gt;&lt;/p&gt;Mentorship Philosophy:&lt;/strong&gt;&lt;/p&gt;&lt;p&gt;Mr. Gaurav is dedicated to empowering entrepreneurs and young leaders through strategic guidance, fostering innovation, and promoting sustainable growth in the startup ecosystem.&lt;/p&gt;</t>
  </si>
  <si>
    <t>https://www.linkedin.com/in/gauravbansal2/</t>
  </si>
  <si>
    <t>bansalg56@yahoo.com</t>
  </si>
  <si>
    <t>Branding || Business Model Development || Corporate Social Responsibility || Customer Service &amp; Retention || Go to Market Strategy || Growth Strategy Formulation || Market research || Organizational Development || Process Optimization || Prototyping &amp; Testing || Sales Strategy || Strategic Planning || Talent Acquisition || Branding || Business Model Development || Corporate Social Responsibility || Customer Service &amp; Retention || Go to Market Strategy || Growth Strategy Formulation || Market research || Organizational Development || Process Optimization || Prototyping &amp; Testing || Sales Strategy || Strategic Planning || Talent Acquisition || Branding || Business Model Development || Corporate Social Responsibility || Customer Service &amp; Retention || Go to Market Strategy || Growth Strategy Formulation || Market research || Organizational Development || Process Optimization || Prototyping &amp; Testing || Sales Strategy || Strategic Planning || Talent Acquisition || Branding || Business Model Development || Corporate Social Responsibility || Customer Service &amp; Retention || Go to Market Strategy || Growth Strategy Formulation || Market research || Organizational Development || Process Optimization || Prototyping &amp; Testing || Sales Strategy || Strategic Planning || Talent Acquisition || Branding || Business Model Development || Corporate Social Responsibility || Customer Service &amp; Retention || Go to Market Strategy || Growth Strategy Formulation || Market research || Organizational Development || Process Optimization || Prototyping &amp; Testing || Sales Strategy || Strategic Planning || Talent Acquisition || Buisness Operations || Business Model Development</t>
  </si>
  <si>
    <t>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Others || Others || Others || Others || Others || Others || Others || Others || Others || Others || Others || Others || Others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Telecommunications || Telecommunications || Telecommunications || Telecommunications || Telecommunications || Telecommunications || Telecommunications || Telecommunications || Telecommunications || Telecommunications || Telecommunications || Telecommunications || Telecommunications || Retail &amp; e-Commerce</t>
  </si>
  <si>
    <t>Shahid Abbas Mir</t>
  </si>
  <si>
    <t>Greenovator Incubation Foundation</t>
  </si>
  <si>
    <t>Summary:&lt;/strong&gt;&lt;/p&gt;&lt;p&gt;Mr. Shahid is the CEO of iTBI Greenovator Incubation Foundation at NIT Srinagar, specializing in nurturing innovation, entrepreneurship, and upskilling in J&amp;amp;K. With a Six Sigma Black Belt and expertise in strategic business planning, he has mentored over 200 startups, 35 of which were recommended for seed funding worth ₹2 Cr. His role includes evaluating innovative ideas, creating business models, and guiding entrepreneurs in securing financial support. Mr. Shahid is committed to fostering a thriving startup ecosystem through tailored mentorship and resource development.&lt;/p&gt;&lt;p&gt;&lt;br&gt;&lt;/p&gt;Key Areas of Expertise:&lt;/strong&gt;&lt;/p&gt;&lt;ul&gt;&lt;li&gt;Innovation &amp;amp; Entrepreneurship&lt;/li&gt;&lt;li&gt;Strategic Business Planning&lt;/li&gt;&lt;li&gt;Financial Modeling&lt;/li&gt;&lt;li&gt;Talent Growth &amp;amp; Development&lt;/li&gt;&lt;li&gt;Upskilling &amp;amp; Employability&lt;/li&gt;&lt;/ul&gt;&lt;p&gt;&lt;br&gt;&lt;/p&gt;Strategic Contributions:&lt;/strong&gt;&lt;/p&gt;&lt;ul&gt;&lt;li&gt;Evaluated 200+ startup applications, recommending 35 for ₹2 Cr in seed funding&lt;/li&gt;&lt;li&gt;Spearheaded mentorship in innovation, employability, and entrepreneurship for NIT Srinagar&lt;/li&gt;&lt;/ul&gt;&lt;p&gt;&lt;br&gt;&lt;/p&gt;Mentorship Philosophy:&lt;/strong&gt;&lt;/p&gt;&lt;p&gt;Mr. Shahid focuses on personalized guidance, helping startups develop business models, pitch decks, and financial plans to secure investments.&lt;/p&gt;</t>
  </si>
  <si>
    <t>https://www.linkedin.com/in/shahid-abbas-mir-a0558718/</t>
  </si>
  <si>
    <t>Srinagar</t>
  </si>
  <si>
    <t>mirshahidabbas@gmail.com (Mentor)
ceo.gif@nitsri.ac.in</t>
  </si>
  <si>
    <t>Business Model Development || Customer Experience Optimization || Government Funding || Sales Strategy || Business Model Development || Customer Experience Optimization || Government Funding || Sales Strategy || Business Model Development || Customer Experience Optimization || Government Funding || Sales Strategy || Business Model Development || Customer Experience Optimization || Government Funding || Sales Strategy || Business Model Development || Customer Experience Optimization || Government Funding || Sales Strategy || Business Model Development || Customer Experience Optimization || Government Funding || Sales Strategy || Business Model Development || Customer Experience Optimization || Government Funding || Sales Strategy || Business Model Development || Customer Experience Optimization || Government Funding || Sales Strategy || Business Model Development || Customer Experience Optimization || Government Funding || Sales Strategy || Business Model Development || Customer Experience Optimization || Government Funding || Sales Strategy || Business Model Development || Customer Experience Optimization || Government Funding || Sales Strategy || Business Model Development || Customer Experience Optimization || Government Funding || Sales Strategy || Customer Relationship Management || Entrepreneurship Coaching</t>
  </si>
  <si>
    <t>Banking &amp; Financial Services || Banking &amp; Financial Services || Banking &amp; Financial Services || Banking &amp; Financial Services || CleanTech || CleanTech || CleanTech || CleanTech || Environment, Sustainability &amp; Governance (ESG) || Environment, Sustainability &amp; Governance (ESG) || Environment, Sustainability &amp; Governance (ESG) || Environment, Sustainability &amp; Governance (ESG) || Telecommunications || Telecommunications || Telecommunications || Telecommunications || Banking &amp; Financial Services || Banking &amp; Financial Services || Banking &amp; Financial Services || Banking &amp; Financial Services || CleanTech || CleanTech || CleanTech || CleanTech || Environment, Sustainability &amp; Governance (ESG) || Environment, Sustainability &amp; Governance (ESG) || Environment, Sustainability &amp; Governance (ESG) || Environment, Sustainability &amp; Governance (ESG) || Telecommunications || Telecommunications || Telecommunications || Telecommunications || Banking &amp; Financial Services || Banking &amp; Financial Services || Banking &amp; Financial Services || Banking &amp; Financial Services || CleanTech || CleanTech || CleanTech || CleanTech || Environment, Sustainability &amp; Governance (ESG) || Environment, Sustainability &amp; Governance (ESG) || Environment, Sustainability &amp; Governance (ESG) || Environment, Sustainability &amp; Governance (ESG) || Telecommunications || Telecommunications || Telecommunications || Telecommunications || CleanTech</t>
  </si>
  <si>
    <t>Gaurav Saini</t>
  </si>
  <si>
    <t>Global Chief Human Resource Officer</t>
  </si>
  <si>
    <t>Wadhwani Foundation</t>
  </si>
  <si>
    <t>Summary:&lt;/strong&gt; Gaurav is a seasoned HR &amp;amp; Business Transformation leader and AI evangelist with over 20 years of global HR experience across various sectors, including technology, IT services, finance, FMCG, and telecom. He currently leads the HR function across the globe for the Wadhwani Group Foundation, a high-growth, high-tech organization transforming lives through AI-driven solutions in the social sector.&lt;/p&gt;&lt;p&gt;&lt;br&gt;&lt;/p&gt;Core Expertise:&lt;/strong&gt; Gaurav possesses a unique blend of HR expertise and strong business acumen, coupled with a deep sense of empathy. His competencies include:&lt;/p&gt;&lt;ul&gt;&lt;li&gt;HR Strategy Development&lt;/li&gt;&lt;li&gt;Talent Management and Employee Engagement&lt;/li&gt;&lt;li&gt;Leadership Development and Change Management&lt;/li&gt;&lt;li&gt;Organizational Reorganization and Wellness Initiatives&lt;/li&gt;&lt;li&gt;Integration of HR with Artificial Intelligence&lt;/li&gt;&lt;/ul&gt;&lt;p&gt;&lt;br&gt;&lt;/p&gt;Problem-Solving Approach:&lt;/strong&gt; Gaurav is passionate about aligning HR and business objectives to drive change and innovation. He focuses on enhancing organizational performance and capabilities through strategic HR practices and the effective use of technology.&lt;/p&gt;&lt;p&gt;&lt;br&gt;&lt;/p&gt;Impactful Projects:&lt;/strong&gt; As the Global Lead for Business Transformation, Gaurav has successfully implemented initiatives that align HR strategies with business goals, fostering a culture of excellence and innovation within the organization. His work emphasizes empowering the next generation of leaders and creating high-performing teams.&lt;/p&gt;&lt;p&gt;&lt;br&gt;&lt;/p&gt;﻿Consultation Style:&lt;/strong&gt; In addition to his corporate role, Gaurav serves as a mentor, coach, advisor, and faculty member for startups, CEOs, and management students. He shares his insights and expertise in HR and business transformation, focusing on practical applications and fostering an environment of continuous learning.&lt;/p&gt;</t>
  </si>
  <si>
    <t>https://www.linkedin.com/in/gaurav-saini-b755648</t>
  </si>
  <si>
    <t>gaurav.saini@wadhwanifoundation.org</t>
  </si>
  <si>
    <t>Marketing || Organizational Development || Strategic Planning || Talent Acquisition || Team building || Marketing || Organizational Development || Strategic Planning || Talent Acquisition || Team building || Marketing || Organizational Development || Strategic Planning || Talent Acquisition || Team building || Marketing || Organizational Development || Strategic Planning || Talent Acquisition || Team building || Marketing || Organizational Development || Strategic Planning || Talent Acquisition || Team building || Marketing || Organizational Development || Strategic Planning || Talent Acquisition || Team building || Marketing || Organizational Development || Strategic Planning || Talent Acquisition || Team building || Marketing || Organizational Development || Strategic Planning || Talent Acquisition || Team building || Marketing || Organizational Development || Strategic Planning || Talent Acquisition || Team building || HR Consulting</t>
  </si>
  <si>
    <t>Agriculture &amp; Food Processing || Agriculture &amp; Food Processing || Agriculture &amp; Food Processing || Agriculture &amp; Food Processing || Agriculture &amp; Food Processing || Consumer Products || Consumer Products || Consumer Products || Consumer Products || Consumer Products || Retail &amp; e-Commerce || Retail &amp; e-Commerce || Retail &amp; e-Commerce || Retail &amp; e-Commerce || Retail &amp; e-Commerce || Agriculture &amp; Food Processing || Agriculture &amp; Food Processing || Agriculture &amp; Food Processing || Agriculture &amp; Food Processing || Agriculture &amp; Food Processing || Consumer Products || Consumer Products || Consumer Products || Consumer Products || Consumer Products || Retail &amp; e-Commerce || Retail &amp; e-Commerce || Retail &amp; e-Commerce || Retail &amp; e-Commerce || Retail &amp; e-Commerce || Agriculture &amp; Food Processing || Agriculture &amp; Food Processing || Agriculture &amp; Food Processing || Agriculture &amp; Food Processing || Agriculture &amp; Food Processing || Consumer Products || Consumer Products || Consumer Products || Consumer Products || Consumer Products || Retail &amp; e-Commerce || Retail &amp; e-Commerce || Retail &amp; e-Commerce || Retail &amp; e-Commerce || Retail &amp; e-Commerce || HR Services</t>
  </si>
  <si>
    <t>Ajay Rungta</t>
  </si>
  <si>
    <t>Startup Advisor</t>
  </si>
  <si>
    <t>&lt;h3&gt;&lt;span style="color: rgba(26, 26, 26, 0.61);"&gt; &lt;/span&gt;&lt;strong&gt;Note&lt;/strong&gt;: &lt;u&gt;Please use Topmate link for booking an appointment instead of cal.com url&lt;/u&gt;. &lt;strong&gt;Link&lt;/strong&gt;: &lt;a href="https://topmate.io/ajayrungta/1138418" rel="noopener noreferrer" target="_blank"&gt;https://topmate.io/ajayrungta/1138418&lt;/a&gt;&lt;/h3&gt;&lt;p&gt;&lt;br&gt;&lt;/p&gt;Summary:&lt;/strong&gt;&amp;nbsp;&lt;/p&gt;&lt;p&gt;Ajay Rungta, with over 15 years of extensive experience in the tech industry, is a seasoned professional known for his remarkable track record. As the founding engineer at Practo, Ajay dedicated over 11 years to driving its growth and success. Currently, he is a solopreneur, startup advisor, mentor, angel investor, and super connector, passionately collaborating with Founders and offering invaluable guidance throughout their startup journey.&amp;nbsp;&lt;/p&gt;&lt;p&gt;&lt;br&gt;&lt;/p&gt;Expertise:&lt;/strong&gt;&amp;nbsp;&lt;/p&gt;&lt;p&gt;Startup Advisory Mentorship and Coaching Angel Investing Growth and Strategy HealthTech, EdTech, MedTech, AI and ML, D2C, Mobility, Mental Health, DevTools&amp;nbsp;&lt;/p&gt;&lt;p&gt;&lt;br&gt;&lt;/p&gt;Problem-Solving Approach:&lt;/strong&gt;&amp;nbsp;&lt;/p&gt;&lt;p&gt;Ajay’s methodology involves hands-on mentorship, focusing on practical and actionable strategies. He guides Founders through various stages of their startup journey, from idea validation and prototype review to growth hacking and funding. Ajay’s approach is to work closely with Founders, providing tailored advice and support to address their unique challenges.&lt;/p&gt;&lt;p&gt;&lt;br&gt;&lt;/p&gt;Impactful Projects:&lt;/strong&gt;&amp;nbsp;&lt;/p&gt;&lt;p&gt;As a mentor and advisor, Ajay has significantly impacted the startup ecosystem. Over the past 18-20 months, he has advised 50+ Founders and individuals across sectors including HealthTech, EdTech, MedTech, AI and ML, D2C, Mobility, Mental Health, and DevTools. His guidance spans a wide range of topics, such as growth and strategy, GTM, hiring, SEO, pitch deck review, and funding. In his role with incubators and accelerators, Ajay has been instrumental in evaluating cohorts, conducting mid-cohort reviews, delivering masterclasses, and providing anchor mentoring. He has also served on grants juries, participated in AMA sessions, and moderated panels, contributing to the success of numerous startup programs.&amp;nbsp;&lt;/p&gt;&lt;p&gt;&lt;br&gt;&lt;/p&gt;Consultation Style:&amp;nbsp;&lt;/strong&gt;&lt;/p&gt;&lt;p&gt;Ajay’s consultation style is highly collaborative and interactive. He believes in providing personalized advice and actionable insights to Founders, helping them navigate their unique challenges. Ajay’s sessions often include pitch reviews, mock pitches, tech evaluations, and strategic planning, ensuring that Founders receive comprehensive support.&amp;nbsp;&lt;/p&gt;&lt;p&gt;&lt;br&gt;&lt;/p&gt;&lt;h3&gt;&lt;span style="color: rgba(26, 26, 26, 0.61);"&gt; &lt;/span&gt;&lt;strong&gt;Note&lt;/strong&gt;: &lt;u&gt;Please use Topmate link for booking an appointment instead of cal.com url&lt;/u&gt;. &lt;strong&gt;Link&lt;/strong&gt;: &lt;a href="https://topmate.io/ajayrungta/1138418" rel="noopener noreferrer" target="_blank"&gt;https://topmate.io/ajayrungta/1138418&lt;/a&gt;&lt;/h3&gt;</t>
  </si>
  <si>
    <t>https://www.linkedin.com/in/ajayrungta/</t>
  </si>
  <si>
    <t>rungta.ajay@gmail.com</t>
  </si>
  <si>
    <t>Go to Market Strategy || Go to Market Strategy || Go to Market Strategy || Go to Market Strategy || Go to Market Strategy || Go to Market Strategy || Go to Market Strategy || Go to Market Strategy || Go to Market Strategy || Go to Market Strategy || Go to Market Strategy || Go to Market Strategy || Business Model Development || Growth Strategy Formulation</t>
  </si>
  <si>
    <t>AI, Big Data &amp; Analytics || Education &amp; Training || FinTech || Pharmaceuticals, Healthcare and Wellness || AI, Big Data &amp; Analytics || Education &amp; Training || FinTech || Pharmaceuticals, Healthcare and Wellness || AI, Big Data &amp; Analytics || Education &amp; Training || FinTech || Pharmaceuticals, Healthcare and Wellness || Pharmaceuticals, Healthcare and Wellness</t>
  </si>
  <si>
    <t>Girishkrishna Kaimal</t>
  </si>
  <si>
    <t>Portfolio Manager</t>
  </si>
  <si>
    <t>Knauf</t>
  </si>
  <si>
    <t>Bio
Girish Krishna Kaimal is a senior technology executive with 24+ years of experience in solution architecture, program management, innovation, and team building at SAP. He is currently based in Bengaluru, Karnataka, India.
​
Current Role
Vice President, Head of Digital Finance - Integrated Delivery @ Scale Practices, Cloud ERP at SAP (April 2022 - Present)
In this role, he is responsible for overseeing the success of the portfolio, competency, and business management within a global team that specializes in SAP Finance/Office of the CFO solutions.
Core Competencies
Solution architecting and customer management
Program and project management
Driving innovations and strategic initiatives
Building and leading scalable teams
Digital transformation and cloud ERP solutions
Financial services industries expertise
Pre-sales and RFP support
Escalation management and stakeholder engagement</t>
  </si>
  <si>
    <t>https://www.linkedin.com/in/girishkrishnakaimal/</t>
  </si>
  <si>
    <t>Bergisch Gladbach</t>
  </si>
  <si>
    <t>girishkrishna.87@live.com</t>
  </si>
  <si>
    <t>Business Model Development || Go to Market Strategy || Organizational Development || Sales Strategy || Business Model Development || Go to Market Strategy || Organizational Development || Sales Strategy || Business Model Development || Go to Market Strategy || Organizational Development || Sales Strategy || Growth Strategy Formulation || Strategic Planning</t>
  </si>
  <si>
    <t>Industrial Automation &amp; Manufacturing || Industrial Automation &amp; Manufacturing || Industrial Automation &amp; Manufacturing || Industrial Automation &amp; Manufacturing || Others || Others || Others || Others || Retail &amp; e-Commerce || Retail &amp; e-Commerce || Retail &amp; e-Commerce || Retail &amp; e-Commerce || Real Estate &amp; Construction || Manufacturing</t>
  </si>
  <si>
    <t>Gulshan Kumar Rohilla</t>
  </si>
  <si>
    <t>PwC</t>
  </si>
  <si>
    <t>Summary&lt;/strong&gt;:&lt;/p&gt;&lt;p&gt;Mr. Gulshan Kumar Rohilla boasts over 16 years of experience, with 9 years focused on training and skill development. He has made significant contributions to education, employability, and empowerment in Odisha. His expertise spans various domains including training and development, industry partnerships, capacity building, and more. Mr. Rohilla has been instrumental in startup ecosystem enabling, business incubation, and consulting across multiple states in India. He is a member of #startupgrind Bhubaneshwar and a mentor for @GERMAN X, reflecting his active involvement in supporting startups and youth engagement.&lt;/p&gt;&lt;p&gt;&lt;br&gt;&lt;/p&gt;Key Areas of Expertise&lt;/strong&gt;&lt;/p&gt;&lt;ul&gt;&lt;li&gt;Training and Development&lt;/li&gt;&lt;li&gt;Skill Development and Employability&lt;/li&gt;&lt;li&gt;Capacity Building&lt;/li&gt;&lt;li&gt;Startup Ecosystem Enabling&lt;/li&gt;&lt;li&gt;Business Incubation&lt;/li&gt;&lt;li&gt;Public Relations&lt;/li&gt;&lt;li&gt;Corporate Social Responsibility (CSR)&lt;/li&gt;&lt;li&gt;People Management&lt;/li&gt;&lt;li&gt;Corporate Communication&lt;/li&gt;&lt;/ul&gt;&lt;p&gt;&lt;br&gt;&lt;/p&gt;Strategic Contributions&lt;/strong&gt;&lt;/p&gt;&lt;ul&gt;&lt;li&gt;Promoted education and empowerment in skill development initiatives in Odisha&lt;/li&gt;&lt;li&gt;Led projects in various domains including government liaison, land acquisition, and resettlement&lt;/li&gt;&lt;li&gt;Engaged with startups as a mentor and member of #startupgrind Bhubaneshwar&lt;/li&gt;&lt;li&gt;Contributed to multiple states through business incubation and consulting&lt;/li&gt;&lt;/ul&gt;&lt;p&gt;&lt;br&gt;&lt;/p&gt;Success Stories&lt;/strong&gt;&lt;/p&gt;&lt;ul&gt;&lt;li&gt;Instrumental in the development of sustainable livelihoods and youth engagement in Odisha&lt;/li&gt;&lt;li&gt;Active involvement with #startupgrind Bhubaneshwar and @GERMAN X as a mentor&lt;/li&gt;&lt;/ul&gt;&lt;p&gt;&lt;br&gt;&lt;/p&gt;Consultation Style:&amp;nbsp;&lt;/strong&gt;&lt;/p&gt;&lt;p&gt;Known for his collaborative and hands-on approach, Gulshan engages stakeholders at various levels, including government bodies, industries, and community leaders. He is adept at designing and executing tailored strategies that address the unique challenges of rural and underserved communities. His leadership in team management and capacity building ensures effective program implementation and sustainable outcomes.&lt;/p&gt;</t>
  </si>
  <si>
    <t>https://www.linkedin.com/in/gulshan-rohilla-71939621</t>
  </si>
  <si>
    <t>GULSHAN_ROHILLA@YAHOO.COM</t>
  </si>
  <si>
    <t>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Budgeting &amp; Financial Modeling || Go to Market Strategy || Media and PR || Organizational Development || Performance Metrics || Public speaking || Strategic Planning || Talent Acquisition || Training &amp; Development || UI/UX Design || Training &amp; Development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</si>
  <si>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CleanTech || CleanTech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CleanTech || CleanTech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CleanTech || CleanTech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Social &amp; Community Services || Education &amp; Training</t>
  </si>
  <si>
    <t>Nitin Karkara</t>
  </si>
  <si>
    <t>Bio
Nitin Karkara is a seasoned Digital Marketing Expert and Mentor with over 23-25 years of experience in driving digital marketing strategies for global brands. He is based in Delhi/NCR, India, and specializes in empowering brands with innovative marketing strategies and consulting.
​
Current Role
Digital Marketing Expert | Consultant (October 2017 - Present)
Providing strategic consulting and mentorship in digital marketing
Working with brands to develop and execute cutting-edge digital strategies
Core Expertise &amp; Skills
​Search Engine Marketing (SEM) and Google Ads
Search Engine Optimization (SEO)
Social Media Marketing and Facebook Ads
Performance Marketing and Lead Generation
E-Commerce marketing and optimization
Digital Analytics and data-driven insights
Brand Strategy and Product Marketing
Team Leadership - Successfully managed high-performing teams of up to 20 members
Campaign Optimization and ROI improvement
Content Marketing and storytelling
CRM and Loyalty Programs
Integrated Marketing Communication</t>
  </si>
  <si>
    <t>https://www.linkedin.com/in/nitinkarkara/</t>
  </si>
  <si>
    <t>nitin.karkara@gmail.com</t>
  </si>
  <si>
    <t>Branding || Digital Marketing || Marketing || Branding || Digital Marketing || Marketing || Branding || Digital Marketing || Marketing || Digital Marketing || Marketing &amp; Branding</t>
  </si>
  <si>
    <t>Consumer Products || Consumer Products || Consumer Products || Industrial Automation &amp; Manufacturing || Industrial Automation &amp; Manufacturing || Industrial Automation &amp; Manufacturing || Retail &amp; e-Commerce || Retail &amp; e-Commerce || Retail &amp; e-Commerce || Media, Arts &amp; Entertainment</t>
  </si>
  <si>
    <t>Harsh Pangi</t>
  </si>
  <si>
    <t>IP-FY</t>
  </si>
  <si>
    <t>Summary: &lt;/strong&gt;&lt;/p&gt;&lt;p&gt;Mr. Harsh is an experienced Indian Patent Agent with expertise in Management, Technology, and Law. He leads IP-FY, offering comprehensive intellectual property consultation across India, the US, and Europe. As head of the IPR cell for MSME and Startups Forum - Bharat, he drives IP awareness and supports startup growth. Harsh has mentored startups from the Stanford Seed Program and various accelerators, providing guidance on IP strategy and global scaling. He has held key roles at SAP Labs India Pvt. Ltd. and other firms, demonstrating his leadership in IP management and innovation.&lt;/p&gt;&lt;p&gt;&lt;br&gt;&lt;/p&gt;Key Areas of Expertise: &lt;/strong&gt;&lt;/p&gt;&lt;ul&gt;&lt;li&gt;Intellectual Property Rights (IPR)&lt;/li&gt;&lt;li&gt;Patent Portfolio Development and Management&lt;/li&gt;&lt;li&gt;Patent Lifecycles&lt;/li&gt;&lt;li&gt;IP Consultation&lt;/li&gt;&lt;li&gt;Startup Mentoring&lt;/li&gt;&lt;li&gt;Technology Law&lt;/li&gt;&lt;/ul&gt;&lt;p&gt;&lt;br&gt;&lt;/p&gt;Strategic Contributions:&lt;/strong&gt;&lt;/p&gt;&lt;ul&gt;&lt;li&gt;Founded IP-FY, providing comprehensive IP consultation services.&lt;/li&gt;&lt;li&gt;Heads the IPR cell for MSME and Startups Forum - Bharat, driving IP awareness and support.&lt;/li&gt;&lt;li&gt;Actively mentors startups from Stanford Seed Program on IP strategies and global scaling.&lt;/li&gt;&lt;li&gt;Mentored startups associated with accelerators, incubation centers, and academic institutions.&lt;/li&gt;&lt;li&gt;Managed open-source software awareness sessions and legal compliance at SAP Labs India Pvt. Ltd.&lt;/li&gt;&lt;li&gt;Received awards for exceptional work in patent drafting and prosecution.&lt;/li&gt;&lt;/ul&gt;&lt;p&gt;&lt;br&gt;&lt;/p&gt;Mentorship Philosophy: &lt;/strong&gt;&lt;/p&gt;&lt;p&gt;Harsh believes in nurturing innovation by providing strategic guidance on IP and fostering global scalability for startups. He actively engages with entrepreneurs to develop robust IP strategies aligned with business growth.&lt;/p&gt;&lt;p&gt;&lt;br&gt;&lt;/p&gt;Success Stories: &lt;/strong&gt;&lt;/p&gt;&lt;p&gt;Specific success stories or detailed anecdotes of successful projects or impacts are not explicitly mentioned in the provided content.&lt;/p&gt;</t>
  </si>
  <si>
    <t>https://in.linkedin.com/in/harshpangi</t>
  </si>
  <si>
    <t>hp@ip-fy.com</t>
  </si>
  <si>
    <t>Intellectual Property Rights || IP Management || Research Partnerships || Intellectual Property Rights || IP Management || Research Partnerships || Intellectual Property Rights || IP Management || Research Partnerships || Intellectual Property Advisory || Legal and Compliance</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</si>
  <si>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Legal Services</t>
  </si>
  <si>
    <t>Himanshu Joshi</t>
  </si>
  <si>
    <t>Program Lead - Applied AI</t>
  </si>
  <si>
    <t>Vector Institute</t>
  </si>
  <si>
    <t>Summary:&lt;/strong&gt;&lt;/p&gt;&lt;p&gt;Mr. Himanshu is an AI strategy and implementation expert with 20 years of experience in optimizing and scaling startups and enterprises through digital transformation and business development. He specializes in operations optimization, cost control, and stakeholder management. As a charismatic leader and professor, Mr. Himanshu excels at managing large-scale initiatives, driving change, and leading cross-functional teams. He is bilingual in English and French, with a proven track record of implementing innovative techniques to improve efficiency and profitability. A recipient of the Indian Presidential Medal, he also has experience across APAC and EMEA markets.&lt;/p&gt;&lt;p&gt;&lt;br&gt;&lt;/p&gt;Core Expertise:&lt;/strong&gt;&lt;/p&gt;&lt;ul&gt;&lt;li&gt;AI Strategy &amp;amp; Implementation&lt;/li&gt;&lt;li&gt;Digital Transformation&lt;/li&gt;&lt;li&gt;Revenue Optimization&lt;/li&gt;&lt;li&gt;Start-up Operations Optimization&lt;/li&gt;&lt;li&gt;Cost Control Management&lt;/li&gt;&lt;li&gt;Project &amp;amp; Performance Management&lt;/li&gt;&lt;li&gt;Stakeholder &amp;amp; Client Relations&lt;/li&gt;&lt;li&gt;Data Science &amp;amp; Analytics&lt;/li&gt;&lt;li&gt;Team Building &amp;amp; Leadership&lt;/li&gt;&lt;/ul&gt;&lt;p&gt;&lt;br&gt;&lt;/p&gt;Problem-Solving Approach:&lt;/strong&gt;&lt;/p&gt;&lt;p&gt;Mr. Himanshu adopts an innovative approach to improving systems and processes, reducing costs, and scaling businesses. He focuses on driving digital transformation, leveraging AI to optimize performance, and aligning leadership with strategic goals.&lt;/p&gt;&lt;p&gt;&lt;br&gt;&lt;/p&gt;Impactful Projects:&lt;/strong&gt;&lt;/p&gt;&lt;ul&gt;&lt;li&gt;Delivered large-scale operational initiatives that supported strategic planning and digital transformation across startups and enterprises.&lt;/li&gt;&lt;li&gt;Developed cross-functional teams that significantly improved business top and bottom lines.&lt;/li&gt;&lt;li&gt;Managed customer transformation programs across APAC &amp;amp; EMEA, directly interfacing with senior executives.&lt;/li&gt;&lt;/ul&gt;&lt;p&gt;&lt;br&gt;&lt;/p&gt;Consulting Style:&lt;/strong&gt;&lt;/p&gt;&lt;p&gt;Mr. Himanshu’s consulting style is collaborative, motivational, and focused on empowering teams. He employs dynamic communication and leadership skills to align internal models with innovative, customer-centric strategies. His hands-on experience and expertise in crisis and change management enrich his approach to mentoring and coaching.&lt;/p&gt;</t>
  </si>
  <si>
    <t>https://www.linkedin.com/in/himanshujoshimitsloan/</t>
  </si>
  <si>
    <t>himanshujoshi@utexas.edu</t>
  </si>
  <si>
    <t>+1 647-223-6606</t>
  </si>
  <si>
    <t>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Data Analytics || ESG Strategy || Go to Market Strategy || International Market Analysis || Organizational Development || Performance Metrics || Product Development || Supply Chain Management || Product Management || Research and Development</t>
  </si>
  <si>
    <t>AI, Big Data &amp; Analytics || AI, Big Data &amp; Analytics || AI, Big Data &amp; Analytics || AI, Big Data &amp; Analytics || AI, Big Data &amp; Analytics || AI, Big Data &amp; Analytics || AI, Big Data &amp; Analytics || AI, Big Data &amp; Analytics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Transportation &amp; Logistics || Transportation &amp; Logistics || Transportation &amp; Logistics || Transportation &amp; Logistics || Transportation &amp; Logistics || Transportation &amp; Logistics || Transportation &amp; Logistics || Transportation &amp; Logistics || AI, Big Data &amp; Analytics || AI, Big Data &amp; Analytics || AI, Big Data &amp; Analytics || AI, Big Data &amp; Analytics || AI, Big Data &amp; Analytics || AI, Big Data &amp; Analytics || AI, Big Data &amp; Analytics || AI, Big Data &amp; Analytics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Transportation &amp; Logistics || Transportation &amp; Logistics || Transportation &amp; Logistics || Transportation &amp; Logistics || Transportation &amp; Logistics || Transportation &amp; Logistics || Transportation &amp; Logistics || Transportation &amp; Logistics || AI, Big Data &amp; Analytics || AI, Big Data &amp; Analytics || AI, Big Data &amp; Analytics || AI, Big Data &amp; Analytics || AI, Big Data &amp; Analytics || AI, Big Data &amp; Analytics || AI, Big Data &amp; Analytics || AI, Big Data &amp; Analytics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Transportation &amp; Logistics || Transportation &amp; Logistics || Transportation &amp; Logistics || Transportation &amp; Logistics || Transportation &amp; Logistics || Transportation &amp; Logistics || Transportation &amp; Logistics || Transportation &amp; Logistics || Deeptech || Spacetech</t>
  </si>
  <si>
    <t>Hiten Pal Saklani</t>
  </si>
  <si>
    <t>CEO, Co-Founder</t>
  </si>
  <si>
    <t>xtrawrkx</t>
  </si>
  <si>
    <t>Summary:&lt;/strong&gt;&lt;/p&gt;&lt;p&gt;Hiten is the CEO and co-Founder of xtrawrkx management consulting, with extensive experience in the startup ecosystem, having founded multiple ventures. He has notably contributed to building a community of 4000+ EV startups at Micelio as Business Head and AVP. Known for business innovation, he assists startups and corporate teams in adapting to emerging market dynamics and acquiring relevant skills.&lt;/p&gt;&lt;p&gt;&lt;br&gt;&lt;/p&gt;Key Areas of Expertise:&lt;/strong&gt;&lt;/p&gt;&lt;ul&gt;&lt;li&gt;Startup Ecosystem&lt;/li&gt;&lt;li&gt;Business Innovation&lt;/li&gt;&lt;li&gt;Product Management Vision Development&lt;/li&gt;&lt;li&gt;Strategic Partnerships&lt;/li&gt;&lt;li&gt;Mentorship&lt;/li&gt;&lt;li&gt;Business Development.&lt;/li&gt;&lt;/ul&gt;&lt;p&gt;&lt;br&gt;&lt;/p&gt;Strategic Contributions:&lt;/strong&gt;&lt;/p&gt;&lt;ul&gt;&lt;li&gt;Building a large startup community focused on EV startups.&lt;/li&gt;&lt;li&gt;Facilitating strategic VOB (Vision-Objective-Strategy) feedback sessions and complex partnership executions.&lt;/li&gt;&lt;/ul&gt;&lt;p&gt;&lt;br&gt;&lt;/p&gt;Mentorship Experience:&lt;/strong&gt;&lt;/p&gt;&lt;ul&gt;&lt;li&gt;Actively mentors startups through platforms like Startup India, EU-India Innocenter, and German Entrepreneurship.&lt;/li&gt;&lt;li&gt;Dedicated to fostering growth and innovation in emerging ventures.&lt;/li&gt;&lt;/ul&gt;</t>
  </si>
  <si>
    <t>https://www.linkedin.com/in/hitenpalsaklani/</t>
  </si>
  <si>
    <t>hiten@xtrawrkx.com</t>
  </si>
  <si>
    <t>Business Model Development || Go to Market Strategy || Marketing || Product Development || Sales Strategy || Strategic Planning || Business Model Development || Go to Market Strategy || Marketing || Product Development || Sales Strategy || Strategic Planning || Business Model Development || Go to Market Strategy || Marketing || Product Development || Sales Strategy || Strategic Planning || Business Model Development || Go to Market Strategy || Marketing || Product Development || Sales Strategy || Strategic Planning || Business Model Development || Go to Market Strategy || Marketing || Product Development || Sales Strategy || Strategic Planning || Business Model Development || Go to Market Strategy || Marketing || Product Development || Sales Strategy || Strategic Planning || Entrepreneurship Coaching || Business Model Development</t>
  </si>
  <si>
    <t>Automobiles &amp; Auto Components || Automobiles &amp; Auto Components || Automobiles &amp; Auto Components || Automobiles &amp; Auto Components || Automobiles &amp; Auto Components || Automobiles &amp; Auto Components || CleanTech || CleanTech || CleanTech || CleanTech || CleanTech || CleanTech || Transportation &amp; Logistics || Transportation &amp; Logistics || Transportation &amp; Logistics || Transportation &amp; Logistics || Transportation &amp; Logistics || Transportation &amp; Logistics || Automobiles &amp; Auto Components || Automobiles &amp; Auto Components || Automobiles &amp; Auto Components || Automobiles &amp; Auto Components || Automobiles &amp; Auto Components || Automobiles &amp; Auto Components || CleanTech || CleanTech || CleanTech || CleanTech || CleanTech || CleanTech || Transportation &amp; Logistics || Transportation &amp; Logistics || Transportation &amp; Logistics || Transportation &amp; Logistics || Transportation &amp; Logistics || Transportation &amp; Logistics || Automotive &amp; Auto Components || Manufacturing</t>
  </si>
  <si>
    <t>Homeshwar Nagpure</t>
  </si>
  <si>
    <t>Asst. Professor,Mechanical Engineering Department</t>
  </si>
  <si>
    <t>St. Vincent Palloti College of Engineering and Technology</t>
  </si>
  <si>
    <t>Summary:&lt;/strong&gt;&lt;/p&gt;&lt;p&gt;Dr. Homeshwar Nagpure is an accomplished academic and research leader with over 20 years of experience in engineering and technology. He serves as the Professor and Head of the Department of Mechanical Engineering at G.H. Raisoni College of Engineering, where he specializes in manufacturing processes, robotics, and automation. Dr. Nagpure holds a Ph.D. in Mechanical Engineering and has a strong track record in research, having published numerous papers in reputed journals. He is also actively involved in industry collaborations and has successfully led various funded research projects. His dedication to advancing technological education and research is evident in his extensive contributions to the field.&lt;/p&gt;&lt;p&gt;&lt;br&gt;&lt;/p&gt;Key Areas of Expertise:&lt;/strong&gt;&lt;/p&gt;&lt;ul&gt;&lt;li&gt;Incubation Management&lt;/li&gt;&lt;li&gt;Innovation &amp;amp; Entrepreneurship Development&lt;/li&gt;&lt;li&gt;Start-up Mentoring&lt;/li&gt;&lt;li&gt;Edtech&lt;/li&gt;&lt;li&gt;Cyber Security&lt;/li&gt;&lt;li&gt;Digital Marketing&lt;/li&gt;&lt;li&gt;E-Commerce&lt;/li&gt;&lt;li&gt;AR/VR&lt;/li&gt;&lt;li&gt;Quick Service Restaurant (QSR) Segment.&lt;/li&gt;&lt;/ul&gt;&lt;p&gt;&lt;br&gt;&lt;/p&gt;Strategic Contributions:&lt;/strong&gt;&lt;/p&gt;&lt;p&gt;Managing and nurturing various student startups across diverse domains such as Edtech, Cyber Security, QSR, Digital Marketing, E-Commerce, and AR/VR.&lt;/p&gt;&lt;p&gt;Facilitating the growth and development of entrepreneurial ventures within the college campus.&lt;/p&gt;&lt;p&gt;&lt;br&gt;&lt;/p&gt;Mentorship Philosophy:&lt;/strong&gt;&lt;/p&gt;&lt;p&gt;Actively mentors and supports student startups like Fabriware, Lead High, Foodish Cafe, Nouvel Digital, BYCELLER, KRIZO, and FENISHOP. Focuses on guiding and empowering young entrepreneurs to build sustainable businesses.&lt;/p&gt;&lt;p&gt;&lt;br&gt;&lt;/p&gt;Success Stories:&lt;/strong&gt;&lt;/p&gt;&lt;p&gt;He has a successful track record of nurturing entrepreneurial ventures within the college.&lt;/p&gt;</t>
  </si>
  <si>
    <t>https://www.linkedin.com/in/dr-homeshwar-nagpure-a0731762?utm_source=share&amp;utm_campaign=share_via&amp;utm_content=profile&amp;utm_medium=android_app</t>
  </si>
  <si>
    <t>homeshwar1978@gmail.com</t>
  </si>
  <si>
    <t>Business Model Development || Market research || Product Development || Prototyping &amp; Testing || Research Partnerships || UI/UX Design || Business Model Development || Market research || Product Development || Prototyping &amp; Testing || Research Partnerships || UI/UX Design || Business Model Development || Market research || Product Development || Prototyping &amp; Testing || Research Partnerships || UI/UX Design || Business Model Development || Market research || Product Development || Prototyping &amp; Testing || Research Partnerships || UI/UX Design || Business Model Development || Market research || Product Development || Prototyping &amp; Testing || Research Partnerships || UI/UX Design || Business Model Development || Market research || Product Development || Prototyping &amp; Testing || Research Partnerships || UI/UX Design || Business Model Development || Market research || Product Development || Prototyping &amp; Testing || Research Partnerships || UI/UX Design || Business Model Development || Market research || Product Development || Prototyping &amp; Testing || Research Partnerships || UI/UX Design || Business Model Development || Market research || Product Development || Prototyping &amp; Testing || Research Partnerships || UI/UX Design || Entrepreneurship Coaching</t>
  </si>
  <si>
    <t>Agriculture &amp; Food Processing || Agriculture &amp; Food Processing || Agriculture &amp; Food Processing || Agriculture &amp; Food Processing || Agriculture &amp; Food Processing || Agriculture &amp; Food Processing || Consumer Products || Consumer Products || Consumer Products || Consumer Products || Consumer Products || Consumer Products || 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Services || Services || Services || Services || Services ||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Education &amp; Training</t>
  </si>
  <si>
    <t>Vincent Panangadon</t>
  </si>
  <si>
    <t>Collaaborators Creative</t>
  </si>
  <si>
    <t>Summary:&lt;/strong&gt;&amp;nbsp;Vincent is the Co-Founder of a dynamic ad film agency, bringing a unique perspective to the world of video content creation. Grounded in a robust background in marketing and brand strategy, Vincent's expertise extends across the intricate process of building and nurturing successful brands. This comprehensive knowledge guides every aspect of his work, from the initial ideation sessions to the final film edit.&amp;nbsp;&lt;/p&gt;&lt;p&gt;&lt;br&gt;&lt;/p&gt;Core Expertise:&lt;/strong&gt;&amp;nbsp;Video Content Creation Marketing and Brand Strategy Creative Direction Project Management Problem-Solving Approach: Vincent’s problem-solving approach is rooted in his extensive experience in marketing and brand strategy. He focuses on understanding the client's vision and objectives, leveraging his creative direction skills to develop compelling video content that resonates with the target audience. His meticulous project management ensures that each project is executed flawlessly, from concept to completion.&amp;nbsp;&lt;/p&gt;&lt;p&gt;&lt;br&gt;&lt;/p&gt;Impactful Projects:&lt;/strong&gt;&amp;nbsp;Vincent has worked with renowned brands such as Ponds, Colgate, Axe, Fair &amp;amp; Lovely, Hamam, Breeze, Bosch &amp;amp; Siemens Home Appliances, BBC, Parachute, Garnier, Sanofi, Heinz, and many more. This diverse experience has honed his skills in creative direction and project management, enabling him to deliver exceptional service and results to each client.&amp;nbsp;&lt;/p&gt;&lt;p&gt;&lt;br&gt;&lt;/p&gt;Consultation Style:&lt;/strong&gt;&amp;nbsp;Vincent’s consultation style is collaborative and client-focused. He engages closely with clients to understand their needs and goals, providing tailored solutions that deliver tangible results. His dedication to visual excellence and impactful storytelling ensures that each project not only meets but exceeds client expectations.&lt;/p&gt;</t>
  </si>
  <si>
    <t>https://www.linkedin.com/in/vincentpanangadon/</t>
  </si>
  <si>
    <t>vincentp@collaaborators.com</t>
  </si>
  <si>
    <t>Branding || Go to Market Strategy || Media and PR || Branding || Go to Market Strategy || Media and PR || Branding || Go to Market Strategy || Media and PR || Branding || Go to Market Strategy || Media and PR || Branding || Go to Market Strategy || Media and PR || Branding || Go to Market Strategy || Media and PR || Branding || Go to Market Strategy || Media and PR || Branding || Go to Market Strategy || Media and PR || Marketing &amp; Branding || Content Strategy</t>
  </si>
  <si>
    <t>Consumer Products || Consumer Products || Consumer Products || Fashion &amp; Beauty || Fashion &amp; Beauty || Fashion &amp; Beauty || FinTech || FinTech || FinTech || Media, Arts &amp; Entertainment || Media, Arts &amp; Entertainment || Media, Arts &amp; Entertainment || Consumer Products || Consumer Products || Consumer Products || Fashion &amp; Beauty || Fashion &amp; Beauty || Fashion &amp; Beauty || FinTech || FinTech || FinTech || Media, Arts &amp; Entertainment || Media, Arts &amp; Entertainment || Media, Arts &amp; Entertainment || Media, Arts &amp; Entertainment</t>
  </si>
  <si>
    <t>Indu Rani</t>
  </si>
  <si>
    <t>Summary:&lt;/strong&gt; Indu is an impassioned champion of entrepreneurship development, women's economic empowerment, and a dedicated impact professional committed to "Empowering Lives through Education, Employment, Equality, Empathy, and Upskilling." With extensive experience in fostering grassroots innovation, particularly in tier 2/3/4 cities, she has played a key role in enabling the startup ecosystem and supporting underrepresented communities. Indu also served as the Regional Ambassador for Girl Rising India, where she advocated for girl education and youth engagement for socio-economic development.&lt;/p&gt;&lt;p&gt;&lt;br&gt;&lt;/p&gt;Core Expertise:&lt;/strong&gt; Indu specializes in entrepreneurship, community building, women’s leadership, grassroots innovation, and impact investment. Her expertise extends to empowering women and youth, driving sustainable growth, and enabling startups in emerging markets.&lt;/p&gt;&lt;p&gt;&lt;br&gt;&lt;/p&gt;Problem-Solving Approach:&lt;/strong&gt; Indu approaches challenges with a focus on human intelligence and potential, inspiring individuals to recognize their capabilities and empowering them to dream, learn, act, and achieve. She fosters connections between ideas, people, and resources to create a holistic environment for growth and development.&lt;/p&gt;&lt;p&gt;&lt;br&gt;&lt;/p&gt;Impactful Projects:&lt;/strong&gt;&lt;/p&gt;&lt;ul&gt;&lt;li&gt;Advocated for girl education and youth engagement as the Regional Ambassador for Girl Rising India.&lt;/li&gt;&lt;li&gt;Worked extensively to promote grassroots innovators and entrepreneurs in India’s tier 2/3/4 cities.&lt;/li&gt;&lt;li&gt;Played a significant role in community building, advancing women’s economic empowerment, and enabling transformative change through education and upskilling initiatives.&lt;/li&gt;&lt;/ul&gt;&lt;p&gt;&lt;br&gt;&lt;/p&gt;Consultation Style:&lt;/strong&gt; Indu is passionate about mentoring and guiding individuals toward realizing their true potential. She is deeply engaged in creating impact through purposeful work, fostering sustainable growth, and championing women’s leadership. She actively supports startups, grassroots innovators, and community-led initiatives with a hands-on, empathetic approach.&lt;/p&gt;&lt;p&gt;&lt;br&gt;&lt;/p&gt;Personal Interests:&lt;/strong&gt; Indu is a lifelong learner, teacher, dreamer, and doer, with a love for music, arts, travel, and exploring the intersection of science and spirituality. She strongly believes in the power of nature and its role in connecting people to their higher purpose.&lt;/p&gt;</t>
  </si>
  <si>
    <t>https://www.linkedin.com/in/indu-rani-spark2sparkle/</t>
  </si>
  <si>
    <t>contact.mail.indu@gmail.com</t>
  </si>
  <si>
    <t>Branding || Go to Market Strategy || Public speaking || Sustainable Operations || Team building || Branding || Go to Market Strategy || Public speaking || Sustainable Operations || Team building || Branding || Go to Market Strategy || Public speaking || Sustainable Operations || Team building || Branding || Go to Market Strategy || Public speaking || Sustainable Operations || Team building || Training &amp; Development || Training &amp; Development</t>
  </si>
  <si>
    <t>Environment, Sustainability &amp; Governance (ESG) || Environment, Sustainability &amp; Governance (ESG) || Environment, Sustainability &amp; Governance (ESG) || Environment, Sustainability &amp; Governance (ESG) || Environment, Sustainability &amp; Governance (ESG) || Professional &amp; Business Services || Professional &amp; Business Services || Professional &amp; Business Services || Professional &amp; Business Services || Professional &amp; Business Services || Environment, Sustainability &amp; Governance (ESG) || Environment, Sustainability &amp; Governance (ESG) || Environment, Sustainability &amp; Governance (ESG) || Environment, Sustainability &amp; Governance (ESG) || Environment, Sustainability &amp; Governance (ESG) || Professional &amp; Business Services || Professional &amp; Business Services || Professional &amp; Business Services || Professional &amp; Business Services || Professional &amp; Business Services || Social &amp; Community Services</t>
  </si>
  <si>
    <t>Ismail Akbani</t>
  </si>
  <si>
    <t>Lead (not really a CEO)</t>
  </si>
  <si>
    <t>AIC Mahindra</t>
  </si>
  <si>
    <t>Summary:&lt;/strong&gt;&lt;/p&gt;&lt;p&gt;Mr. Ismail is an educator, entrepreneur, and advocate for innovation and entrepreneurship. With a background in mechanical engineering and computer-aided design, he has turned his passion for public speaking into a career in academia and business mentoring. Mr. Ismail has engaged with prestigious organizations, encouraging youth and startups, and holds leadership roles at AIC Mahindra and Heartizzan Ventures. His mission is to spread joy and promote entrepreneurial thinking.&lt;/p&gt;&lt;p&gt;&lt;br&gt;&lt;/p&gt;Key Areas of Expertise:&lt;/strong&gt;&lt;/p&gt;&lt;ul&gt;&lt;li&gt;Mechanical Engineering&lt;/li&gt;&lt;li&gt;Computer-Aided Design&lt;/li&gt;&lt;li&gt;Public Speaking&lt;/li&gt;&lt;li&gt;Entrepreneurship &amp;amp; Innovation&lt;/li&gt;&lt;li&gt;Design Thinking&lt;/li&gt;&lt;li&gt;Social Business Models&lt;/li&gt;&lt;/ul&gt;&lt;p&gt;&lt;br&gt;&lt;/p&gt;Strategic Contributions:&lt;/strong&gt;&lt;/p&gt;&lt;ul&gt;&lt;li&gt;Promoting entrepreneurship and innovation among youth&lt;/li&gt;&lt;li&gt;Supporting early-stage startups&lt;/li&gt;&lt;li&gt;Serving as CEO at AIC Mahindra&lt;/li&gt;&lt;li&gt;Directing Heartizzan Ventures&lt;/li&gt;&lt;li&gt;Ex Head - Innovation at Symbiosis Tech Incubator&lt;/li&gt;&lt;/ul&gt;&lt;p&gt;&lt;br&gt;&lt;/p&gt;Mentorship Philosophy:&lt;/strong&gt;&lt;/p&gt;&lt;p&gt;Mr. Ismail's mentoring approach is rooted in empathy and storytelling, inspired by his father's lessons and his own entrepreneurial journey. He believes in the power of engagement, education, and empathy to empower individuals and businesses. His storytelling passion stems from his childhood experiences and he integrates this into his mentoring, fostering a deep connection with mentees.&lt;/p&gt;</t>
  </si>
  <si>
    <t>https://www.linkedin.com/in/maverickismail</t>
  </si>
  <si>
    <t>theismailakbani@gmail.com</t>
  </si>
  <si>
    <t>Business Model Development || Corporate Social Responsibility || ESG Strategy || Sustainable Operations || UI/UX Design || Business Model Development || Corporate Social Responsibility || ESG Strategy || Sustainable Operations || UI/UX Design || Business Model Development || Corporate Social Responsibility || ESG Strategy || Sustainable Operations || UI/UX Design || Business Model Development || Corporate Social Responsibility || ESG Strategy || Sustainable Operations || UI/UX Design || Business Model Development || Corporate Social Responsibility || ESG Strategy || Sustainable Operations || UI/UX Design || Business Model Development || Corporate Social Responsibility || ESG Strategy || Sustainable Operations || UI/UX Design || Business Model Development || Corporate Social Responsibility || ESG Strategy || Sustainable Operations || UI/UX Design || Business Model Development || Corporate Social Responsibility || ESG Strategy || Sustainable Operations || UI/UX Design || Business Model Development || Corporate Social Responsibility || ESG Strategy || Sustainable Operations || UI/UX Design || Entrepreneurship Coaching || Product Management Management</t>
  </si>
  <si>
    <t>Education &amp; Training || Education &amp; Training || Education &amp; Training || Education &amp; Training || Education &amp; Training || Others || Others || Others || Others || Others || Social &amp; Community Services || Social &amp; Community Services || Social &amp; Community Services || Social &amp; Community Services || Social &amp; Community Services || Education &amp; Training || Education &amp; Training || Education &amp; Training || Education &amp; Training || Education &amp; Training || Others || Others || Others || Others || Others || Social &amp; Community Services || Social &amp; Community Services || Social &amp; Community Services || Social &amp; Community Services || Social &amp; Community Services || Education &amp; Training || Education &amp; Training || Education &amp; Training || Education &amp; Training || Education &amp; Training || Others || Others || Others || Others || Others || Social &amp; Community Services || Social &amp; Community Services || Social &amp; Community Services || Social &amp; Community Services || Social &amp; Community Services || Education &amp; Training</t>
  </si>
  <si>
    <t>Janani Rangarajan</t>
  </si>
  <si>
    <t>Senior Product Management Marketing Manager</t>
  </si>
  <si>
    <t>Ex-Uniphore</t>
  </si>
  <si>
    <t>Summary:&lt;/strong&gt;&lt;/p&gt;&lt;p&gt;Janani is a Mathematician turned Product Management Marketer with a strong focus on the AI/ML space. With a unique background in mathematics, she has spent the last five years solving for Employee and Customer Experience across various industries. Janani thrives at the intersection of data, technology, Product Managements, marketing, sales, and customer success, using her expertise to drive competitive intelligence, sales enablement, and Product Management training.&lt;/p&gt;&lt;p&gt;&lt;br&gt;&lt;/p&gt;Core Expertise:&lt;/strong&gt;&lt;/p&gt;&lt;p&gt;Janani specializes in Product Management Marketing, with a deep understanding of user journeys, positioning, customer storytelling, and strategy. Her experience spans across category/market creation, expansion, and storytelling in the AI/ML domain. Additionally, she has a strong foundation in competitive intelligence, sales enablement, and Product Management training, making her a versatile asset in the tech industry.&lt;/p&gt;&lt;p&gt;&lt;br&gt;&lt;/p&gt;Problem-Solving Approach:&lt;/strong&gt;&lt;/p&gt;&lt;p&gt;Janani's approach to problem-solving is rooted in her mathematical background, allowing her to dissect complex challenges and develop strategic solutions. She leverages her deep understanding of customer needs and market dynamics to craft compelling stories and effective go-to-market strategies.&lt;/p&gt;&lt;p&gt;&lt;br&gt;&lt;/p&gt;Impactful Projects:&lt;/strong&gt;&lt;/p&gt;&lt;ul&gt;&lt;li&gt;As the Founder of a GTM firm, Janani functioned as an external Product Management Marketing team for growing IT firms, helping them find new markets, expand into new verticals, Product Managementize their services, and launch new Product Managements.&lt;/li&gt;&lt;li&gt;Janani also founded a content creation firm that produced high-quality blogs, case studies, whitepapers, and marketing collaterals for technology firms.&lt;/li&gt;&lt;li&gt;In her earlier career, she worked as a researcher in the social impact space, focusing on sustainable solutions for rural India, particularly in Energy, Agriculture, and Livelihoods.&lt;/li&gt;&lt;/ul&gt;&lt;p&gt;&lt;br&gt;&lt;/p&gt;Consultation Style:&lt;/strong&gt; Janani prefers a collaborative and insightful approach, working closely with clients to understand their unique challenges and tailor her guidance to meet specific needs. She enjoys exchanging ideas, creating strategies, and telling compelling stories that drive business success. Whether it’s through a formal consultation or an informal chat, Janani is eager to share her knowledge and help businesses grow.&lt;/p&gt;</t>
  </si>
  <si>
    <t>http://www.linkedin.com/in/janani-rangarajan-98102213b</t>
  </si>
  <si>
    <t>jr.rajan06@gmail.com</t>
  </si>
  <si>
    <t>Go to Market Strategy || Marketing || Go to Market Strategy || Marketing || Marketing &amp; Branding || Go to Market Strategy</t>
  </si>
  <si>
    <t>Agriculture &amp; Food Processing || Agriculture &amp; Food Processing || AI, Big Data &amp; Analytics || AI, Big Data &amp; Analytics || Software &amp; IT Services</t>
  </si>
  <si>
    <t>Jasmine K.S</t>
  </si>
  <si>
    <t>R. V. College of Engineering</t>
  </si>
  <si>
    <t>Summary&lt;/strong&gt;:&lt;/p&gt;&lt;p&gt;Dr. Homeshwar Nagpure is an Associate Professor at R.V. College of Engineering, Bangalore, with 27 years of experience in teaching and researching software engineering. Specializing in software reuse, he develops adaptable software components to meet evolving industry needs. With a Ph.D. in Software Reuse from Mother Teresa Women's University, Dr. Nagpure holds certifications in patent drafting and design for sustainability. He is a Senior IEEE member, has published extensively, and collaborates with academic and industry partners. Passionate about innovative and sustainable software solutions, he leverages design thinking and user experience principles to empower students and colleagues in entrepreneurship.&lt;/p&gt;&lt;p&gt;&lt;br&gt;&lt;/p&gt;Core Expertise: &lt;/strong&gt;&lt;/p&gt;&lt;ul&gt;&lt;li&gt;Software Reuse&lt;/li&gt;&lt;li&gt;Design Thinking&lt;/li&gt;&lt;li&gt;User Experience&lt;/li&gt;&lt;li&gt;Entrepreneurship Guidance&lt;/li&gt;&lt;li&gt;Research in Software Engineering.&lt;/li&gt;&lt;/ul&gt;&lt;p&gt;&lt;br&gt;&lt;/p&gt;Problem Solving Approach: &lt;/strong&gt;&lt;/p&gt;&lt;p&gt;Develops methods for creating reusable software components, applies design thinking and user experience principles to solve complex software engineering challenges. Actively engages in research collaborations to enhance impact.&lt;/p&gt;&lt;p&gt;&lt;br&gt;&lt;/p&gt;Impactful Projects: &lt;/strong&gt;&lt;/p&gt;&lt;p&gt;Research publications, collaborations with academia and industry, translation of NPTEL courses, and publishing book chapters contribute significantly to the field of software engineering and education.&lt;/p&gt;&lt;p&gt;&lt;br&gt;&lt;/p&gt;Consulting Style: &lt;/strong&gt;&lt;/p&gt;&lt;p&gt;Mentors and guides peers and students, shares insights through IEEE conferences, coordinates workshops and training sessions. Interested in exploring generative AI's potential for creating innovative software artifacts.&lt;/p&gt;</t>
  </si>
  <si>
    <t>https://www.linkedin.com/in/jasmine-k-s-433916123/</t>
  </si>
  <si>
    <t>jasmineksekm@gmail.com</t>
  </si>
  <si>
    <t>Go to Market Strategy || Market research || Research Partnerships || Go to Market Strategy || Market research || Research Partnerships || Go to Market Strategy || Market research || Research Partnerships || Go to Market Strategy || Market research || Research Partnerships || Go to Market Strategy || Market research || Research Partnerships || Go to Market Strategy || Market research || Research Partnerships || Go to Market Strategy || Market research || Research Partnerships || Go to Market Strategy || Market research || Research Partnerships || Go to Market Strategy || Market research || Research Partnerships || Go to Market Strategy || Market research || Research Partnerships || Go to Market Strategy || Market research || Research Partnerships || Go to Market Strategy || Market research || Research Partnerships || Go to Market Strategy || Market research || Research Partnerships || Go to Market Strategy || Market research || Research Partnerships || Go to Market Strategy || Market research || Research Partnerships || Go to Market Strategy || Market research || Research Partnerships || Go to Market Strategy || Market research || Research Partnerships || Go to Market Strategy || Market research || Research Partnerships || Go to Market Strategy || Market research || Research Partnerships || Go to Market Strategy || Market research || Research Partnerships || Go to Market Strategy || Market research || Research Partnerships || Go to Market Strategy || Market research || Research Partnerships || Go to Market Strategy || Market research || Research Partnerships || Go to Market Strategy || Market research || Research Partnerships || Go to Market Strategy || Market research || Research Partnerships || Go to Market Strategy || Market research || Research Partnerships || Go to Market Strategy || Market research || Research Partnerships || Entrepreneurship Coaching || Software Development</t>
  </si>
  <si>
    <t>Agriculture &amp; Food Processing || Agriculture &amp; Food Processing || Agriculture &amp; Food Processing || AI, Big Data &amp; Analytics || AI, Big Data &amp; Analytics || AI, Big Data &amp; Analytics || Automobiles &amp; Auto Components || Automobiles &amp; Auto Components || Automobiles &amp; Auto Components || Banking &amp; Financial Services || Banking &amp; Financial Services || Banking &amp; Financial Services || CleanTech || CleanTech || CleanTech || Consumer Products || Consumer Products || Consumer Products || Defence &amp; Public Safety || Defence &amp; Public Safety || Defence &amp; Public Safety || Education &amp; Training || Education &amp; Training || Education &amp; Training || Energy &amp; Renewable Resources || Energy &amp; Renewable Resources || Energy &amp; Renewable Resources || Environment, Sustainability &amp; Governance (ESG) || Environment, Sustainability &amp; Governance (ESG) || Environment, Sustainability &amp; Governance (ESG) || Fashion &amp; Beauty || Fashion &amp; Beauty || Fashion &amp; Beauty || FinTech || FinTech || FinTech || Industrial Automation &amp; Manufacturing || Industrial Automation &amp; Manufacturing || Industrial Automation &amp; Manufacturing || Media, Arts &amp; Entertainment || Media, Arts &amp; Entertainment || Media, Arts &amp; Entertainment || Others || Others || Others || Pharmaceuticals, Healthcare and Wellness || Pharmaceuticals, Healthcare and Wellness || Pharmaceuticals, Healthcare and Wellness || Professional &amp; Business Services || Professional &amp; Business Services || Professional &amp; Business Services || Real Estate &amp; Construction || Real Estate &amp; Construction || Real Estate &amp; Construction || Retail &amp; e-Commerce || Retail &amp; e-Commerce || Retail &amp; e-Commerce || Services || Services || Services || Social &amp; Community Services || Social &amp; Community Services || Social &amp; Community Services || Sports || Sports || Sports || Technology &amp; Innovation || Technology &amp; Innovation || Technology &amp; Innovation || Telecommunications || Telecommunications || Telecommunications || Textiles &amp; Apparel || Textiles &amp; Apparel || Textiles &amp; Apparel || Tourism &amp; Hospitality || Tourism &amp; Hospitality || Tourism &amp; Hospitality || Transportation &amp; Logistics || Transportation &amp; Logistics || Transportation &amp; Logistics || Education &amp; Training</t>
  </si>
  <si>
    <t>Jayen Kotecha</t>
  </si>
  <si>
    <t>Founder &amp; CEO of Perfext Consulting Group</t>
  </si>
  <si>
    <t>Perfext Consulting Group</t>
  </si>
  <si>
    <t>Summary:&lt;/strong&gt;&lt;/p&gt;&lt;p&gt;Mr. Jayen is a mechanical engineer with 26 years of diverse experience in the auto component and agricultural implements manufacturing industries. He has expertise in Quality Management Systems, Manufacturing Operations, Project Management, and Supply Chain Management. He has successfully led SAP implementations and various Product Managementivity improvement initiatives. Mr. Jayen is associated with numerous professional organizations and serves as an executive committee member at the Rajkot Management Association.&lt;/p&gt;&lt;p&gt;&lt;br&gt;&lt;/p&gt;Key Areas of Expertise:&lt;/strong&gt;&lt;/p&gt;&lt;ul&gt;&lt;li&gt;Quality Management System&lt;/li&gt;&lt;li&gt;Manufacturing Operations&lt;/li&gt;&lt;li&gt;Project Management&lt;/li&gt;&lt;li&gt;Product Managemention Planning &amp;amp; Control&lt;/li&gt;&lt;li&gt;Supply Chain Management&lt;/li&gt;&lt;li&gt;Total Product Managementive Maintenance (TPM)&lt;/li&gt;&lt;/ul&gt;&lt;p&gt;&lt;br&gt;&lt;/p&gt;Strategic Contributions:&lt;/strong&gt;&lt;/p&gt;&lt;ul&gt;&lt;li&gt;Business turnaround by driving top-line growth and improving bottom-line profit&lt;/li&gt;&lt;li&gt;Leading SAP ECC 6.0 implementations&lt;/li&gt;&lt;li&gt;Implementing various tools and techniques like MSA, SPC, PPAP, KAIZEN, COPQ&lt;/li&gt;&lt;li&gt;Implementing quality management systems based on ISO standards&lt;/li&gt;&lt;/ul&gt;</t>
  </si>
  <si>
    <t>https://www.linkedin.com/in/jayen-kotecha-18827563/?trk=public_profile_browsemap&amp;originalSubdomain=in</t>
  </si>
  <si>
    <t>Rajkot</t>
  </si>
  <si>
    <t>jayen@perfext.in</t>
  </si>
  <si>
    <t>Budgeting &amp; Financial Modeling || Business Model Development || ESOPs || Growth Strategy Formulation || Organizational Development || Pricing Strategy || Process Optimization || Strategic Planning || Tech Strategy &amp; Infrastructure || Training &amp; Development || Budgeting &amp; Financial Modeling || Business Model Development || ESOPs || Growth Strategy Formulation || Organizational Development || Pricing Strategy || Process Optimization || Strategic Planning || Tech Strategy &amp; Infrastructure || Training &amp; Development || Budgeting &amp; Financial Modeling || Business Model Development || ESOPs || Growth Strategy Formulation || Organizational Development || Pricing Strategy || Process Optimization || Strategic Planning || Tech Strategy &amp; Infrastructure || Training &amp; Development || Budgeting &amp; Financial Modeling || Business Model Development || ESOPs || Growth Strategy Formulation || Organizational Development || Pricing Strategy || Process Optimization || Strategic Planning || Tech Strategy &amp; Infrastructure || Training &amp; Development || Supply Chain Management || Buisness Operations</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</si>
  <si>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Defence &amp; Public Safety || Defence &amp; Public Safety || Defence &amp; Public Safety || Defence &amp; Public Safety || Defence &amp; Public Safety || Defence &amp; Public Safety || Defence &amp; Public Safety || Defence &amp; Public Safety || Defence &amp; Public Safety || Defence &amp; Public Safety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Manufacturing</t>
  </si>
  <si>
    <t>Jayendra Pratap Singh</t>
  </si>
  <si>
    <t>Startup Coach &amp; Mentor at Startup India</t>
  </si>
  <si>
    <t>Startup India</t>
  </si>
  <si>
    <t>Summary:&lt;/strong&gt;&lt;/p&gt;&lt;p&gt;Mr. Jayendra is an accomplished HR consultant, startup coach, and motivational speaker with a diverse skill set developed through 6 years of corporate experience and 4 years in startups. An IIM-R alumnus, he has expertise in HRBP, training and development, recruitment, and policy development. Recognized for implementing innovative HR solutions, he is highly praised for his problem-solving abilities and team-management skills. Mr. Jayendra is also a mentor for Startup India, guiding entrepreneurs and professionals in leadership, career development, and organizational excellence.&lt;/p&gt;&lt;p&gt;&lt;br&gt;&lt;/p&gt;Key Areas of Expertise:&lt;/strong&gt;&lt;/p&gt;&lt;ul&gt;&lt;li&gt;HR Consulting: Recruitment, onboarding, policy development, OD interventions.&lt;/li&gt;&lt;li&gt;Training &amp;amp; Development: Soft skills, behavioral skills, and corporate training.&lt;/li&gt;&lt;li&gt;Start-up Coaching: Guiding startups in strategy and growth.&lt;/li&gt;&lt;li&gt;Public Speaking: Motivational talks and leadership development.&lt;/li&gt;&lt;li&gt;Career Development Coaching: Interview preparation, resume review, and team building.&lt;/li&gt;&lt;/ul&gt;&lt;p&gt;&lt;br&gt;&lt;/p&gt;Strategic Contributions:&lt;/strong&gt;&lt;/p&gt;&lt;ul&gt;&lt;li&gt;Successfully implemented innovative HR solutions.&lt;/li&gt;&lt;li&gt;Received multiple awards for excellence in HR practices and training initiatives.&lt;/li&gt;&lt;/ul&gt;&lt;p&gt;&lt;br&gt;&lt;/p&gt;Mentorship Philosophy:&lt;/strong&gt;&lt;/p&gt;&lt;ul&gt;&lt;li&gt;Mentoring to bring a positive change in lives of people helping them develop skills, navigate challenges of life and make their dreams a reality.&lt;/li&gt;&lt;/ul&gt;&lt;p&gt;&lt;br&gt;&lt;/p&gt;Success Stories:&lt;/strong&gt;&lt;/p&gt;&lt;ul&gt;&lt;li&gt;Platinum badge winner( highest in the category) at MAARG Mentorship program of Startup India consecutively for 4 Quaters. The badge is provided by DPIIT and ministry of commerce, GoI for successfully guiding startups across India.&lt;/li&gt;&lt;li&gt;Mentoring around 30+ startups across the nation operating at different stages of operation&lt;/li&gt;&lt;li&gt;Contributing through mentorship in State startup intiatives of State Govt. of Punja/ TN/ Bihar&lt;/li&gt;&lt;/ul&gt;</t>
  </si>
  <si>
    <t>https://www.linkedin.com/in/jayendra-pratap-singh-81ab9375/</t>
  </si>
  <si>
    <t>Bareilly</t>
  </si>
  <si>
    <t>jayendrapsingh@gmail.com</t>
  </si>
  <si>
    <t>Corporate Social Responsibility || Customer Experience Optimization || Go to Market Strategy || Growth Strategy Formulation || Marketing || Organizational Development || Performance Management || Pitch coaching || Public speaking || Social Media Marketing || Strategic Planning || Talent Acquisition || Training &amp; Development || Corporate Social Responsibility || Customer Experience Optimization || Go to Market Strategy || Growth Strategy Formulation || Marketing || Organizational Development || Performance Management || Pitch coaching || Public speaking || Social Media Marketing || Strategic Planning || Talent Acquisition || Training &amp; Development || Corporate Social Responsibility || Customer Experience Optimization || Go to Market Strategy || Growth Strategy Formulation || Marketing || Organizational Development || Performance Management || Pitch coaching || Public speaking || Social Media Marketing || Strategic Planning || Talent Acquisition || Training &amp; Development || Corporate Social Responsibility || Customer Experience Optimization || Go to Market Strategy || Growth Strategy Formulation || Marketing || Organizational Development || Performance Management || Pitch coaching || Public speaking || Social Media Marketing || Strategic Planning || Talent Acquisition || Training &amp; Development || Corporate Social Responsibility || Customer Experience Optimization || Go to Market Strategy || Growth Strategy Formulation || Marketing || Organizational Development || Performance Management || Pitch coaching || Public speaking || Social Media Marketing || Strategic Planning || Talent Acquisition || Training &amp; Development || Corporate Social Responsibility || Customer Experience Optimization || Go to Market Strategy || Growth Strategy Formulation || Marketing || Organizational Development || Performance Management || Pitch coaching || Public speaking || Social Media Marketing || Strategic Planning || Talent Acquisition || Training &amp; Development || Corporate Social Responsibility || Customer Experience Optimization || Go to Market Strategy || Growth Strategy Formulation || Marketing || Organizational Development || Performance Management || Pitch coaching || Public speaking || Social Media Marketing || Strategic Planning || Talent Acquisition || Training &amp; Development || Corporate Social Responsibility || Customer Experience Optimization || Go to Market Strategy || Growth Strategy Formulation || Marketing || Organizational Development || Performance Management || Pitch coaching || Public speaking || Social Media Marketing || Strategic Planning || Talent Acquisition || Training &amp; Development || HR Consulting || Training &amp;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</si>
  <si>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HR Services</t>
  </si>
  <si>
    <t>Jignesh Jain</t>
  </si>
  <si>
    <t>Head of Product Management at India Parenting Pvt. Ltd</t>
  </si>
  <si>
    <t>India Parenting Pvt. Ltd</t>
  </si>
  <si>
    <t>Consultation Type - Paid&lt;/strong&gt;&lt;/p&gt;&lt;p&gt;&lt;br&gt;&lt;/p&gt;Summary:&lt;/strong&gt;&lt;/p&gt;&lt;p&gt;Mr. Jignesh is a serial entrepreneur and a techno-functional professional with more than 15 years of experience across various industries. Building Product Managements is his passion while cultivating startups has been his routine. Originating from the games &amp;amp; apps industry, he has also delved into ed-tech, fintech, proptech, well-being, and other industries that piqued his interest over the years. He has been a startup coach and mentor for the past 8 years in multiple disciplines and various mentoring or SME advisory programs.&lt;/p&gt;&lt;p&gt;&lt;br&gt;&lt;/p&gt;Key Areas of Expertise:&lt;/strong&gt;&lt;/p&gt;&lt;p&gt;As a strategist, Mr. Jignesh has a proven track record for taking companies from zero to one and scaling them from both tech and business perspectives. In executive leadership functions, he has a knack for finding the right blend of Product Management teams, sales strategies, and Go-to-Market strategies for any geography around the world, given his extensive exposure.&lt;/p&gt;&lt;p&gt;&lt;br&gt;&lt;/p&gt;Strategic Contributions:&lt;/strong&gt;&lt;/p&gt;&lt;ul&gt;&lt;li&gt;Clocked $1M in revenue within 12 months with his first startup.&lt;/li&gt;&lt;li&gt;Built a virtual tech accelerator by partnering with leading startup incubators globally.&lt;/li&gt;&lt;li&gt;Developed a solid after-school platform for children aged 4-12 for cognitive skill development in less than 9 months.&lt;/li&gt;&lt;li&gt;Scaled a student housing portal’s revenue 3X and expanded the team from 40 to 300 in one year globally.&lt;/li&gt;&lt;/ul&gt;&lt;p&gt;&lt;br&gt;&lt;/p&gt;Mentorship Philosophy:&lt;/strong&gt;&lt;/p&gt;&lt;p&gt;A hardworking individual with a plan can outpace a genius without one. Always exhibit a solid work ethic and hire the smartest individuals who align with your vision. Watch, learn, and don’t stop until you achieve your goals.&lt;/p&gt;&lt;p&gt;&lt;br&gt;&lt;/p&gt;Success Stories:&lt;/strong&gt;&lt;/p&gt;&lt;p&gt;The majority of Mr. Jignesh’s mentoring has been at universities or accelerator programs around the world. He has been instrumental in Product Management development, business strategy, fundraising, and partnerships. The impact of his mentoring is notable due to the success of the startups he has guided. His journey continues with active mentoring and coaching, continually adding more feathers to his cap.&lt;/p&gt;</t>
  </si>
  <si>
    <t>https://www.linkedin.com/in/jignesh1409/</t>
  </si>
  <si>
    <t>mail@jjpro.in</t>
  </si>
  <si>
    <t>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Angel Investing || Branding || Business Model Development || Customer Relationship Management || E-commerce Management || Entity Formation || Export || Fundraising || Go to Market Strategy || Growth Strategy Formulation || International Market Analysis || Logistics Management || Market research || Media and PR || Pitch coaching || Pricing Strategy || Process Optimization || Product Development || Prototyping &amp; Testing || Public speaking || Sales Strategy || Software Development || Strategic Planning || Tech Strategy &amp; Infrastructure || Trade Compliance || Training &amp; Development || UI/UX Design || Product Management || Growth Strategy Formulation</t>
  </si>
  <si>
    <t>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Sports || Sports || Sports || Sports || Sports || Sports || Sports || Sports || Sports || Sports || Sports || Sports || Sports || Sports || Sports || Sports || Sports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Sports || Sports || Sports || Sports || Sports || Sports || Sports || Sports || Sports || Sports || Sports || Sports || Sports || Sports || Sports || Sports || Sports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Sports || Sports || Sports || Sports || Sports || Sports || Sports || Sports || Sports || Sports || Sports || Sports || Sports || Sports || Sports || Sports || Sports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Education &amp; Training || Retail &amp; e-Commerce</t>
  </si>
  <si>
    <t>Jinson Alex</t>
  </si>
  <si>
    <t>Product Management Owner at Fidelity Investments</t>
  </si>
  <si>
    <t>Fidelity Investments</t>
  </si>
  <si>
    <t>Summary&lt;/strong&gt;&lt;/p&gt;&lt;p&gt;Jinson is a dedicated professional with 14+ years of experience in transforming Product Managements, teams, and individuals. Specializes in resume enhancement, interview preparation, mock interviews, and career coaching across software, Product Management, project, and team management domains. Committed to supporting underprivileged children and youths to enhance their career perspectives.&lt;/p&gt;&lt;p&gt;&lt;br&gt;&lt;/p&gt;Core Expertise&lt;/strong&gt;&lt;/p&gt;&lt;p&gt;Resume Transformation, Interview Preparation, Mock Interviews, Software Management, Product Management Management, Project Management, Team Management, Career Coaching.&lt;/p&gt;&lt;p&gt;&lt;br&gt;&lt;/p&gt;Problem Solving Approach&lt;/strong&gt;&lt;/p&gt;&lt;p&gt;Focuses on transforming candidates' approaches to resumes, interviews, and perspectives, enabling them to succeed in HR rounds, technical rounds, and salary negotiations. Provides experienced support tailored to both freshers and experienced professionals navigating the job market.&lt;/p&gt;&lt;p&gt;&lt;br&gt;&lt;/p&gt;Impactful Projects&lt;/strong&gt;&lt;/p&gt;&lt;p&gt;Facilitates significant career advancements with candidates achieving more than 100% hikes in salaries. Engages in coaching underprivileged children and youths to improve their future prospects.&lt;/p&gt;&lt;p&gt;&lt;br&gt;&lt;/p&gt;Consulting Style&lt;/strong&gt;&lt;/p&gt;&lt;p&gt;Collaborative and results-driven approach to coaching and mentoring. Emphasizes practical skills enhancement and perspective building for career success. Committed to making a positive impact on society by supporting underprivileged students.&lt;/p&gt;</t>
  </si>
  <si>
    <t>https://www.linkedin.com/in/jinson-alex/</t>
  </si>
  <si>
    <t>jinsonpalex@gmail.com</t>
  </si>
  <si>
    <t>Product Development || Training &amp; Development || UI/UX Design || Product Development || Training &amp; Development || UI/UX Design || Product Development || Training &amp; Development || UI/UX Design || Product Development || Training &amp; Development || UI/UX Design || Product Development || Training &amp; Development || UI/UX Design || Product Development || Training &amp; Development || UI/UX Design || Product Development || Training &amp; Development || UI/UX Design || Product Development || Training &amp; Development || UI/UX Design || Product Management</t>
  </si>
  <si>
    <t>AI, Big Data &amp; Analytics || AI, Big Data &amp; Analytics || AI, Big Data &amp; Analytics || Pharmaceuticals, Healthcare and Wellness || Pharmaceuticals, Healthcare and Wellness || Pharmaceuticals, Healthcare and Wellness || Retail &amp; e-Commerce || Retail &amp; e-Commerce || Retail &amp; e-Commerce || Technology &amp; Innovation || Technology &amp; Innovation || Technology &amp; Innovation || AI, Big Data &amp; Analytics || AI, Big Data &amp; Analytics || AI, Big Data &amp; Analytics || Pharmaceuticals, Healthcare and Wellness || Pharmaceuticals, Healthcare and Wellness || Pharmaceuticals, Healthcare and Wellness || Retail &amp; e-Commerce || Retail &amp; e-Commerce || Retail &amp; e-Commerce || Technology &amp; Innovation || Technology &amp; Innovation || Technology &amp; Innovation || Fintech, Banking, Financial Services</t>
  </si>
  <si>
    <t>Jyothis KS</t>
  </si>
  <si>
    <t>Co-Founder at  ZappyHire</t>
  </si>
  <si>
    <t xml:space="preserve">  ZappyHire</t>
  </si>
  <si>
    <t>Summary:&lt;/strong&gt; Jyothish is a seasoned software professional with over two decades of experience in both multinational corporations (MNCs) and startups. He has worked with leading companies like Infosys, Swiss RE, and Cognizant Technologies, bringing a wealth of expertise in IT and startup scaling. He has played a pivotal role in launching and scaling a conversational AI startup in Southeast Asia and is the Founder of Zappyhire, an AI-driven recruitment platform designed to automate the hiring process for businesses.&lt;/p&gt;&lt;p&gt;&lt;br&gt;&lt;/p&gt;Core Expertise:&lt;/strong&gt;&lt;/p&gt;&lt;ul&gt;&lt;li&gt;IT &amp;amp; Software Development&lt;/li&gt;&lt;li&gt;Conversational AI&lt;/li&gt;&lt;li&gt;Recruitment Automation&lt;/li&gt;&lt;li&gt;Business Operations &amp;amp; Strategy&lt;/li&gt;&lt;li&gt;Startup Scaling &amp;amp; Growth&lt;/li&gt;&lt;/ul&gt;&lt;p&gt;&lt;br&gt;&lt;/p&gt;Problem-Solving Approach:&lt;/strong&gt; Jyothish is known for his strategic vision and operational acumen, focusing on using technology to streamline business processes. He takes a hands-on approach, leveraging AI and automation to solve industry-specific challenges, particularly in recruitment and operations.&lt;/p&gt;&lt;p&gt;&lt;br&gt;&lt;/p&gt;Impactful Projects:&lt;/strong&gt;&lt;/p&gt;&lt;ul&gt;&lt;li&gt;&lt;strong&gt;Zappyhire:&lt;/strong&gt; As co-Founder, Jyothish built and scaled Zappyhire, an AI recruitment platform that enhances candidate experience while streamlining the hiring process.&lt;/li&gt;&lt;li&gt;&lt;strong&gt;CogniCor Technologies:&lt;/strong&gt; As COO, he was responsible for scaling and transforming CogniCor into a globally recognized name in intelligent automation, overseeing day-to-day business operations and driving business growth.&lt;/li&gt;&lt;/ul&gt;&lt;p&gt;&lt;br&gt;&lt;/p&gt;Consultation Style:&lt;/strong&gt; Jyothish works collaboratively with stakeholders, focusing on data-driven strategies to help businesses scale, innovate, and optimize their processes. His approach is deeply rooted in operational excellence and customer-centric technology solutions.&lt;/p&gt;</t>
  </si>
  <si>
    <t>https://www.linkedin.com/in/jyothis-ks-85190b3b</t>
  </si>
  <si>
    <t>Ernakulam</t>
  </si>
  <si>
    <t>jyothis@zappyhire.com</t>
  </si>
  <si>
    <t>Go to Market Strategy || Software Development || Go to Market Strategy || Software Development || Go to Market Strategy || Software Development || Go to Market Strategy || Software Development || HR Consulting</t>
  </si>
  <si>
    <t>AI, Big Data &amp; Analytics || AI, Big Data &amp; Analytics || Services || Services || AI, Big Data &amp; Analytics || AI, Big Data &amp; Analytics || Services || Services || Software &amp; IT Services</t>
  </si>
  <si>
    <t>Jyoti Shekhar Jakhete</t>
  </si>
  <si>
    <t>Associate Professor Management at GH Raisoni Institute of Business Management</t>
  </si>
  <si>
    <t>GH Raisoni Institute of Business Management</t>
  </si>
  <si>
    <t>Summary
Jyoti Shekhar is an Associate Professor of Management at GH Raisoni Institute of Business Management, Jalgaon, with over 24 years of experience in academia. Passionate about teaching and contributing to the student community, Dr. [Name] values continuous learning and personal growth through interaction with students. His long-standing commitment to education is reflected in his dedication to advancing knowledge and fostering academic development.
Key Areas of Expertise:
Management Education
Academic Research
Student Development
Professional Growth
Strategic Contributions:
Leveraged over two decades of experience to enhance the quality of management education at GH Raisoni Institute of Business Management.
Actively involved in contributing to the academic and professional growth of students through effective teaching and mentoring.
Mentorship Philosophy:
Jyoti Shekhar believes in the transformative power of education and emphasizes the importance of continuous learning and professional growth. He is dedicated to guiding students and helping them achieve their academic and career goals.
Success Stories:
Developed and implemented impactful management curricula, contributing to the overall academic excellence at GH Raisoni Institute.
Successfully mentored students, fostering their development and preparing them for successful careers in management.</t>
  </si>
  <si>
    <t>https://www.linkedin.com/in/jyotijakhete/</t>
  </si>
  <si>
    <t>jyoti.s.jakhete@raisoni.net</t>
  </si>
  <si>
    <t>Business Model Development || Market research || Organizational Development || Research Partnerships || Strategic Planning || Business Model Development || Market research || Organizational Development || Research Partnerships || Strategic Planning || Business Model Development || Market research || Organizational Development || Research Partnerships || Strategic Planning || Business Model Development || Market research || Organizational Development || Research Partnerships || Strategic Planning || Business Model Development || Market research || Organizational Development || Research Partnerships || Strategic Planning || Business Model Development || Market research || Organizational Development || Research Partnerships || Strategic Planning || Business Model Development || Market research || Organizational Development || Research Partnerships || Strategic Planning || Business Model Development || Market research || Organizational Development || Research Partnerships || Strategic Planning || Entrepreneurship Coaching</t>
  </si>
  <si>
    <t>Education &amp; Training || Education &amp; Training || Education &amp; Training || Education &amp; Training || Education &amp; Training || Fashion &amp; Beauty || Fashion &amp; Beauty || Fashion &amp; Beauty || Fashion &amp; Beauty || Fashion &amp; Beauty || Pharmaceuticals, Healthcare and Wellness || Pharmaceuticals, Healthcare and Wellness || Pharmaceuticals, Healthcare and Wellness || Pharmaceuticals, Healthcare and Wellness || Pharmaceuticals, Healthcare and Wellness || Services || Services || Services || Services || Services || Education &amp; Training || Education &amp; Training || Education &amp; Training || Education &amp; Training || Education &amp; Training || Fashion &amp; Beauty || Fashion &amp; Beauty || Fashion &amp; Beauty || Fashion &amp; Beauty || Fashion &amp; Beauty || Pharmaceuticals, Healthcare and Wellness || Pharmaceuticals, Healthcare and Wellness || Pharmaceuticals, Healthcare and Wellness || Pharmaceuticals, Healthcare and Wellness || Pharmaceuticals, Healthcare and Wellness || Services || Services || Services || Services || Services || Education &amp; Training</t>
  </si>
  <si>
    <t>K B Gupta</t>
  </si>
  <si>
    <t>Internal Ombudsman at ICICI Bank</t>
  </si>
  <si>
    <t>ICICI Bank</t>
  </si>
  <si>
    <t>Summary&lt;/strong&gt;&lt;/p&gt;&lt;p&gt;Mr. Gupta is a visionary leader, renowned author, motivational speaker, and leadership coach with a corporate career spanning four decades. He has held top leadership positions and mentored numerous current and future leaders. As an ardent advocate for entrepreneurship, he authored "You Can Become an Entrepreneur" and manages the YouTube channel "K B Gupta Live," where he shares motivational content and entrepreneurial insights. He believes entrepreneurship can solve global unemployment and is dedicated to empowering aspiring entrepreneurs. Mr. Gupta also serves as the Head of Marketing &amp;amp; PR for the Professional Speaker Association of India, delivering compelling keynote speeches on leadership and organizational efficiency.&lt;/p&gt;&lt;p&gt;&lt;br&gt;&lt;/p&gt;Core Expertise&lt;/strong&gt;&lt;/p&gt;&lt;ul&gt;&lt;li&gt;Leadership Coaching&lt;/li&gt;&lt;li&gt;Motivational Speaking&lt;/li&gt;&lt;li&gt;Entrepreneurship Mentoring&lt;/li&gt;&lt;li&gt;Public Speaking&lt;/li&gt;&lt;li&gt;Marketing &amp;amp; PR&lt;/li&gt;&lt;/ul&gt;&lt;p&gt;&lt;br&gt;&lt;/p&gt;Problem Solving Approach&lt;/strong&gt;&lt;/p&gt;&lt;ul&gt;&lt;li&gt;Guiding Entrepreneurs: Deep understanding of the traits that define success and failure in the entrepreneurial world, providing actionable insights and strategies.&lt;/li&gt;&lt;li&gt;Empowering Individuals: Authored a step-by-step guide for aspiring entrepreneurs and shares valuable content through his YouTube channel.&lt;/li&gt;&lt;/ul&gt;&lt;p&gt;&lt;br&gt;&lt;/p&gt;Impactful Projects&lt;/strong&gt;&lt;/p&gt;&lt;ul&gt;&lt;li&gt;Case Studies: Converted his outstanding achievements into compelling case studies.&lt;/li&gt;&lt;li&gt;Book Authoring: Wrote "You Can Become an Entrepreneur" to empower aspiring entrepreneurs.&lt;/li&gt;&lt;li&gt;YouTube Channel: Manages "K B Gupta Live," sharing motivational and entrepreneurial content.&lt;/li&gt;&lt;/ul&gt;&lt;p&gt;&lt;br&gt;&lt;/p&gt;Consulting Style&lt;/strong&gt;&lt;/p&gt;&lt;ul&gt;&lt;li&gt;Combines charisma with personal success stories to deliver impactful keynote speeches.&lt;/li&gt;&lt;li&gt;Focuses on unlocking entrepreneurial success, cultivating high-performing teams, and enhancing organizational efficiency.&lt;/li&gt;&lt;/ul&gt;</t>
  </si>
  <si>
    <t>https://www.linkedin.com/in/kbguptalive/</t>
  </si>
  <si>
    <t>kbgupta@kbgupta.com</t>
  </si>
  <si>
    <t>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Branding || Business Model Development || Compliance Assistance || Currency and Risk Management || Customer Relationship Management || Go to Market Strategy || Growth Strategy Formulation || Market research || Media and PR || Pricing Strategy || Process Optimization || Public speaking || Research Partnerships || Team building || Buisness Operations</t>
  </si>
  <si>
    <t>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FinTech || FinTech || FinTech || FinTech || FinTech || FinTech || FinTech || FinTech || FinTech || FinTech || FinTech || FinTech || FinTech || FinTech || Others || Others || Others || Others || Others || Others || Others || Others || Others || Others || Others || Others || Others || Others || Services || Services || Services || Services || Services || Services || Services || Services || Services || Services || Services || Services || Services ||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FinTech || FinTech || FinTech || FinTech || FinTech || FinTech || FinTech || FinTech || FinTech || FinTech || FinTech || FinTech || FinTech || FinTech || Others || Others || Others || Others || Others || Others || Others || Others || Others || Others || Others || Others || Others || Others || Services || Services || Services || Services || Services || Services || Services || Services || Services || Services || Services || Services || Services ||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FinTech || FinTech || FinTech || FinTech || FinTech || FinTech || FinTech || FinTech || FinTech || FinTech || FinTech || FinTech || FinTech || FinTech || Others || Others || Others || Others || Others || Others || Others || Others || Others || Others || Others || Others || Others || Others || Services || Services || Services || Services || Services || Services || Services || Services || Services || Services || Services || Services || Services || Services || Fintech, Banking, Financial Services</t>
  </si>
  <si>
    <t>Kalmesh Joshi</t>
  </si>
  <si>
    <t>Director &amp; Principal Consultant at C33C-Consulting &amp; Coaching Council</t>
  </si>
  <si>
    <t>C33C-Consulting &amp; Coaching Council</t>
  </si>
  <si>
    <t>Summary&lt;/strong&gt;&lt;/p&gt;&lt;p&gt;Mr. Kalmesh is a seasoned vCISO and Digital IT and Cyber Security Leader with over 27 years of experience. He has a proven track record in IT consulting, service delivery, and compliance, augmented by management education from IIMC. His expertise includes achieving ISO27001 certification, cloud compliance, and leading diverse teams across geographies. He excels in managing complex projects in cybersecurity, cloud, and IT infrastructure. Mr. Kalmesh is also a passionate teacher and mentor, dedicated to continuous learning and innovative thinking. His emphasis on consistent delivery has led to satisfied customers in various domains, including media, manufacturing, and BFSI.&lt;/p&gt;&lt;p&gt;&lt;br&gt;&lt;/p&gt;Core Expertise&lt;/strong&gt;&lt;/p&gt;&lt;ul&gt;&lt;li&gt;IT Consulting&lt;/li&gt;&lt;li&gt;Cybersecurity&lt;/li&gt;&lt;li&gt;Service Delivery&lt;/li&gt;&lt;li&gt;Compliance (ISO27001, NIST, ISO20k)&lt;/li&gt;&lt;li&gt;Cloud Management&lt;/li&gt;&lt;li&gt;Project and Program Management&lt;/li&gt;&lt;li&gt;Training and Workshops&lt;/li&gt;&lt;/ul&gt;&lt;p&gt;&lt;br&gt;&lt;/p&gt;Problem Solving Approach&lt;/strong&gt;&lt;/p&gt;&lt;ul&gt;&lt;li&gt;ISO27001 Certification: Designed and set up infrastructure to achieve certification within 7 months.&lt;/li&gt;&lt;li&gt;Cloud Compliance: Initiated and expanded cloud compliance engagements, adhering to ISO and NIST guidelines.&lt;/li&gt;&lt;li&gt;Merger &amp;amp; Acquisition: Managed IT infrastructure buildout, addressing business, technology, and internal challenges.&lt;/li&gt;&lt;/ul&gt;&lt;p&gt;&lt;br&gt;&lt;/p&gt;Impactful Projects&lt;/strong&gt;&lt;/p&gt;&lt;ul&gt;&lt;li&gt;ISO27001 Certification: Planned and achieved ISO27001 certification in a short span.&lt;/li&gt;&lt;li&gt;Cloud Compliance Team: Grew a team to handle ISO and NIST security guidelines.&lt;/li&gt;&lt;li&gt;Large Customer Enablement: Conducted assessments and enablement for customers in media, manufacturing, and BFSI.&lt;/li&gt;&lt;/ul&gt;&lt;p&gt;&lt;br&gt;&lt;/p&gt;Consulting Style&lt;/strong&gt;&lt;/p&gt;&lt;ul&gt;&lt;li&gt;Leads diverse teams, drives IT processes, and achieves compliance standards.&lt;/li&gt;&lt;li&gt;Balances priorities and manages projects across various stakeholders, including customers, vendors, and CxOs.&lt;/li&gt;&lt;li&gt;Emphasizes out-of-the-box thinking and a culture of consistent delivery.&lt;/li&gt;&lt;/ul&gt;</t>
  </si>
  <si>
    <t>https://www.linkedin.com/in/kalmeshjoshi/</t>
  </si>
  <si>
    <t>Kalmesh@outlook.com (mentor)
c33c.council@outlook.com</t>
  </si>
  <si>
    <t>9480980423, 7483549599</t>
  </si>
  <si>
    <t>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Software Development || Tech Strategy &amp; Infrastructure || Training &amp; Development || IT Consulting</t>
  </si>
  <si>
    <t>Agriculture &amp; Food Processing || Agriculture &amp; Food Processing || Agriculture &amp; Food Processing || AI, Big Data &amp; Analytics || AI, Big Data &amp; Analytics || AI, Big Data &amp; Analytics || Automobiles &amp; Auto Components || Automobiles &amp; Auto Components || Automobiles &amp; Auto Components || Banking &amp; Financial Services || Banking &amp; Financial Services || Banking &amp; Financial Services || CleanTech || CleanTech || CleanTech || Consumer Products || Consumer Products || Consumer Products || Defence &amp; Public Safety || Defence &amp; Public Safety || Defence &amp; Public Safety || Education &amp; Training || Education &amp; Training || Education &amp; Training || Energy &amp; Renewable Resources || Energy &amp; Renewable Resources || Energy &amp; Renewable Resources || Environment, Sustainability &amp; Governance (ESG) || Environment, Sustainability &amp; Governance (ESG) || Environment, Sustainability &amp; Governance (ESG) || Fashion &amp; Beauty || Fashion &amp; Beauty || Fashion &amp; Beauty || FinTech || FinTech || FinTech || Industrial Automation &amp; Manufacturing || Industrial Automation &amp; Manufacturing || Industrial Automation &amp; Manufacturing || Media, Arts &amp; Entertainment || Media, Arts &amp; Entertainment || Media, Arts &amp; Entertainment || Others || Others || Others || Pharmaceuticals, Healthcare and Wellness || Pharmaceuticals, Healthcare and Wellness || Pharmaceuticals, Healthcare and Wellness || Professional &amp; Business Services || Professional &amp; Business Services || Professional &amp; Business Services || Real Estate &amp; Construction || Real Estate &amp; Construction || Real Estate &amp; Construction || Retail &amp; e-Commerce || Retail &amp; e-Commerce || Retail &amp; e-Commerce || Services || Services || Services || Social &amp; Community Services || Social &amp; Community Services || Social &amp; Community Services || Sports || Sports || Sports || Technology &amp; Innovation || Technology &amp; Innovation || Technology &amp; Innovation || Telecommunications || Telecommunications || Telecommunications || Textiles &amp; Apparel || Textiles &amp; Apparel || Textiles &amp; Apparel || Tourism &amp; Hospitality || Tourism &amp; Hospitality || Tourism &amp; Hospitality || Transportation &amp; Logistics || Transportation &amp; Logistics || Transportation &amp; Logistics || Software &amp; IT Services</t>
  </si>
  <si>
    <t>Kapil Garg</t>
  </si>
  <si>
    <t>Co-Founder of Thela Gaadi</t>
  </si>
  <si>
    <t>Thela Gaadi</t>
  </si>
  <si>
    <t>Summary&lt;/strong&gt;:&amp;nbsp;&lt;/p&gt;&lt;p&gt;Mr. Kapil Garg is an experienced software engineer and innovator with a strong background in tech and entrepreneurship. As the co-Founder of Thela Gaadi, India’s first integrated accessory brand, he blends innovation and nostalgia to transform the accessory landscape. With a degree in computer science, he began his career as a Software Test Engineer at Trizetto (now Cognizant), later launching the innovative eCommerce platform Diwaly.com, recognized by Maharashtra Times. After roles at Spotzot and Metacube, Mr. Garg honed his skills in Product Management development and innovation, contributing significantly to the tech and start-up ecosystems.&lt;/p&gt;&lt;p&gt;&lt;br&gt;&lt;/p&gt;Key Areas of Expertise&lt;/strong&gt;:&lt;/p&gt;&lt;ul&gt;&lt;li&gt;eCommerce,&lt;/li&gt;&lt;li&gt;Product Management development,&lt;/li&gt;&lt;li&gt;software quality assurance (QA) engineering,&lt;/li&gt;&lt;li&gt;start-up processes,&lt;/li&gt;&lt;li&gt;innovation in Product Management delivery and customer experience.&lt;/li&gt;&lt;/ul&gt;&lt;p&gt;&lt;br&gt;&lt;/p&gt;Strategic Contributions: &lt;/strong&gt;&lt;/p&gt;&lt;p&gt;Established an eCommerce website, Diwaly(dot)com, recognized for innovative Diwali gift delivery. Experience in software QA engineering at Trizetto (Cognizant), Spotzot, and Metacube, focusing on Product Management development and innovation.&lt;/p&gt;&lt;p&gt;&lt;br&gt;&lt;/p&gt;Success Stories: &lt;/strong&gt;&lt;/p&gt;&lt;p&gt;Featured in 'Maharashtra Times' for Diwaly(dot)com as the "Most Innovative Start-Up," contributing to the eCommerce and innovative Product Management delivery sectors.&lt;/p&gt;</t>
  </si>
  <si>
    <t>https://www.linkedin.com/in/gargkapil2008</t>
  </si>
  <si>
    <t>kapil@thelagaadi.com (Student)
Gargkapil2008@gmail.com (mentor)</t>
  </si>
  <si>
    <t>Branding || Budgeting &amp; Financial Modeling || Business Model Development || Digital Marketing || Go to Market Strategy || Market research || Pricing Strategy || Prototyping &amp; Testing || Sales Strategy || Branding || Budgeting &amp; Financial Modeling || Business Model Development || Digital Marketing || Go to Market Strategy || Market research || Pricing Strategy || Prototyping &amp; Testing || Sales Strategy || Branding || Budgeting &amp; Financial Modeling || Business Model Development || Digital Marketing || Go to Market Strategy || Market research || Pricing Strategy || Prototyping &amp; Testing || Sales Strategy || Branding || Budgeting &amp; Financial Modeling || Business Model Development || Digital Marketing || Go to Market Strategy || Market research || Pricing Strategy || Prototyping &amp; Testing || Sales Strategy || Branding || Budgeting &amp; Financial Modeling || Business Model Development || Digital Marketing || Go to Market Strategy || Market research || Pricing Strategy || Prototyping &amp; Testing || Sales Strategy || Branding || Budgeting &amp; Financial Modeling || Business Model Development || Digital Marketing || Go to Market Strategy || Market research || Pricing Strategy || Prototyping &amp; Testing || Sales Strategy || Branding || Budgeting &amp; Financial Modeling || Business Model Development || Digital Marketing || Go to Market Strategy || Market research || Pricing Strategy || Prototyping &amp; Testing || Sales Strategy || Branding || Budgeting &amp; Financial Modeling || Business Model Development || Digital Marketing || Go to Market Strategy || Market research || Pricing Strategy || Prototyping &amp; Testing || Sales Strategy || E-commerce Management</t>
  </si>
  <si>
    <t>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t>
  </si>
  <si>
    <t>Kapil Jhindal</t>
  </si>
  <si>
    <t>Innovation Consultant at IdeasNest Consulting</t>
  </si>
  <si>
    <t>IdeasNest Consulting</t>
  </si>
  <si>
    <t>Summary&lt;/strong&gt;&lt;/p&gt;&lt;p&gt;Mr. Kapil has over 20 years of experience in Strategic Advisory, Innovation Consulting, and Operational Leadership roles across various sectors including Retail, Food Processing, Mining &amp;amp; Minerals, Engineering, and Manufacturing. He works closely with clients to improve business profitability and identify growth opportunities. His services include profitability audits, process reengineering, and new business development.&lt;/p&gt;&lt;p&gt;&lt;br&gt;&lt;/p&gt;Key Areas of Expertise&lt;/strong&gt;&lt;/p&gt;&lt;ul&gt;&lt;li&gt;Strategic Advisory&lt;/li&gt;&lt;li&gt;Innovation Consulting&lt;/li&gt;&lt;li&gt;Operational Leadership&lt;/li&gt;&lt;li&gt;Business Strategy and Planning&lt;/li&gt;&lt;/ul&gt;&lt;p&gt;&lt;br&gt;&lt;/p&gt;Strategic Contributions&lt;/strong&gt;&lt;/p&gt;&lt;ul&gt;&lt;li&gt;Improved profitability through cost and pricing audits&lt;/li&gt;&lt;li&gt;Enhanced throughput via process reengineering&lt;/li&gt;&lt;li&gt;Developed growth roadmaps and commercialized new opportunities&lt;/li&gt;&lt;/ul&gt;&lt;p&gt;&lt;br&gt;&lt;/p&gt;Success Stories&lt;/strong&gt;&lt;/p&gt;&lt;p&gt;Consulting for Automotive Enterprises Company, Industrial Innovation Centre, Clinohealth Innovation, Neogen Chemicals, Shrijee Group, and L&amp;amp;T Valves&lt;/p&gt;</t>
  </si>
  <si>
    <t>https://www.linkedin.com/in/kapiljhindal/</t>
  </si>
  <si>
    <t>jhindalkapil@gmail.com</t>
  </si>
  <si>
    <t>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Budgeting &amp; Financial Modeling || Business Model Development || Growth Strategy Formulation || Market research || Pitch coaching || Pricing Strategy || Process Optimization || Product Development || Sales Strategy || Strategic Planning || Supply Chain Management || Business Model Development || Growth Strategy Formulation</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</si>
  <si>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Manufacturing</t>
  </si>
  <si>
    <t>Karmjitsinh Bihola</t>
  </si>
  <si>
    <t>Founder of Innodesk Designovation Services</t>
  </si>
  <si>
    <t>Innodesk Designovation Services</t>
  </si>
  <si>
    <t>Summary:&lt;/strong&gt;&lt;/p&gt;&lt;p&gt;Mr. Karmjitsinh is a Design Thinker and Entrepreneur with a Master's in Mechanical Engineering, specializing in Product Management Design. He is a Startup Ecosystem Enabler and Innovation Strategist who aids educational institutions and incubation centers in building sustainable ecosystems for innovation and entrepreneurship. His work emphasizes Design Thinking, Lean, and Agile methodologies to enhance creativity, problem-solving, and 21st-century skills. He has mentored over 100 entrepreneurs and trained 4500+ faculty members, contributing significantly to curriculum development and the establishment of innovation centers.&lt;/p&gt;&lt;p&gt;&lt;br&gt;&lt;/p&gt;Key Areas of Expertise:&lt;/strong&gt;&lt;/p&gt;&lt;ul&gt;&lt;li&gt;Design Thinking&lt;/li&gt;&lt;li&gt;Innovation Strategy&lt;/li&gt;&lt;li&gt;Curriculum and Workshop Module Development&lt;/li&gt;&lt;li&gt;Incubation and Innovation Center Setup&lt;/li&gt;&lt;li&gt;Skill Development and Project-Based Learning&lt;/li&gt;&lt;li&gt;Training and Faculty Development&lt;/li&gt;&lt;/ul&gt;&lt;p&gt;&lt;br&gt;&lt;/p&gt;Strategic Contributions:&lt;/strong&gt;&lt;/p&gt;&lt;ul&gt;&lt;li&gt;Developed the Design Spine and evaluation system for the "Design Engineering" subject at Gujarat Technological University.&lt;/li&gt;&lt;li&gt;Established the Design Innovation Centre at GTU, contributing to the MHRD's Hub &amp;amp; Spoke model.&lt;/li&gt;&lt;li&gt;Implemented the student start-up policy (SSIP) across GTU-affiliated colleges.&lt;/li&gt;&lt;li&gt;Nominated as a Mentor of Change (MoC) for Atal Tinkering Lab.&lt;/li&gt;&lt;/ul&gt;&lt;p&gt;&lt;br&gt;&lt;/p&gt;Success Stories:&lt;/strong&gt;&lt;/p&gt;&lt;ul&gt;&lt;li&gt;Mentored over 100 aspiring entrepreneurs and innovators.&lt;/li&gt;&lt;li&gt;Conducted 500+ training programs and workshops in Design Thinking, Innovation, and Entrepreneurship.&lt;/li&gt;&lt;li&gt;Trained 4500+ faculty members through 54 Faculty Development Programs (FDPs).&lt;/li&gt;&lt;/ul&gt;&lt;p&gt;&lt;br&gt;&lt;/p&gt;Top Skills:&lt;/strong&gt;&lt;/p&gt;&lt;ul&gt;&lt;li&gt;Product Management Development&lt;/li&gt;&lt;li&gt;Project Management&lt;/li&gt;&lt;li&gt;Creativity and Innovation&lt;/li&gt;&lt;li&gt;Entrepreneurship&lt;/li&gt;&lt;li&gt;Design Thinking&lt;/li&gt;&lt;/ul&gt;</t>
  </si>
  <si>
    <t>https://www.linkedin.com/in/karmjitsinh-bihola-44160020/</t>
  </si>
  <si>
    <t>innodesk1@gmail.com</t>
  </si>
  <si>
    <t>7016922406, 9099090464</t>
  </si>
  <si>
    <t>Business Model Development || Market research || Product Development || Research Partnerships || Business Model Development || Market research || Product Development || Research Partnerships || Product Management || Training &amp; Development</t>
  </si>
  <si>
    <t>Education &amp; Training || Education &amp; Training || Education &amp; Training || Education &amp; Training || Education &amp; Training || Education &amp; Training || Education &amp; Training || Education &amp; Training || Education &amp; Training</t>
  </si>
  <si>
    <t>Ashok Suyal</t>
  </si>
  <si>
    <t xml:space="preserve">Rays Enserv </t>
  </si>
  <si>
    <t>Summary:&lt;/strong&gt; Ashok is a dynamic professional with extensive experience across the social, startup, and corporate sectors. With a global career spanning India, Asia Pacific, North America, Europe, and Latin America, Ashok has worked with Fortune 500 companies, multilateral institutions, and startups. He is known for consistently exceeding targets, adapting to new environments, and overcoming challenges with a results-oriented mindset. His expertise lies in creating and implementing business strategies, fostering partnerships, and driving organizational goals to success.&lt;/p&gt;&lt;p&gt;&lt;br&gt;&lt;/p&gt;Core Expertise:&lt;/strong&gt;&lt;/p&gt;&lt;ul&gt;&lt;li&gt;Business Strategy &amp;amp; Execution&lt;/li&gt;&lt;li&gt;Co-Creation &amp;amp; Ideation&lt;/li&gt;&lt;li&gt;Startup Scaling &amp;amp; Fortune 500 Expansion&lt;/li&gt;&lt;li&gt;Risk &amp;amp; Audit Management for Multilateral Institutions&lt;/li&gt;&lt;li&gt;Social Expertise with Focus on Safeguards and Community Upliftment&lt;/li&gt;&lt;li&gt;Talent Management &amp;amp; Workforce Planning&lt;/li&gt;&lt;li&gt;Stakeholder &amp;amp; Partnership Management&lt;/li&gt;&lt;li&gt;Sales &amp;amp; Business Development&lt;/li&gt;&lt;/ul&gt;&lt;p&gt;&lt;br&gt;&lt;/p&gt;Problem-Solving Approach:&lt;/strong&gt; Ashok is proactive in visualizing and implementing plans that set the strategic direction for businesses. He leverages a partnership-based approach, collaborating with key stakeholders to foster innovation and drive organizational goals. His expertise in change management and people-centric strategies ensures seamless adaptation to new environments and challenges.&lt;/p&gt;&lt;p&gt;&lt;br&gt;&lt;/p&gt;Impactful Projects:&lt;/strong&gt;&lt;/p&gt;&lt;ul&gt;&lt;li&gt;Successfully set up and scaled startups and Fortune 500 companies across diverse regions, helping organizations achieve both social and business goals.&lt;/li&gt;&lt;li&gt;Worked with multilateral institutions, focusing on safeguards, risk, and audit management to ensure compliance and sustainability in social initiatives.&lt;/li&gt;&lt;li&gt;Led initiatives to uplift communities through targeted social programs, aligning them with corporate and organizational goals.&lt;/li&gt;&lt;/ul&gt;&lt;p&gt;&lt;br&gt;&lt;/p&gt;Consultation Style:&lt;/strong&gt; Ashok values collaboration and open dialogue. He fosters a culture of co-creation and ideation, working closely with teams and stakeholders to ensure successful execution of plans. His leadership is rooted in encouraging partnerships and driving growth through structured and people-focused processes.&lt;/p&gt;</t>
  </si>
  <si>
    <t>https://www.linkedin.com/in/ashoksuyal/</t>
  </si>
  <si>
    <t>ashoksuyal@gmail.com</t>
  </si>
  <si>
    <t>ESG Strategy || ESG Strategy || HR Consulting</t>
  </si>
  <si>
    <t>Environment, Sustainability &amp; Governance (ESG) || Environment, Sustainability &amp; Governance (ESG) || Environment, Sustainability &amp; Governance (ESG) || HR Services</t>
  </si>
  <si>
    <t>Kavita Saxena</t>
  </si>
  <si>
    <t>Faculty at Entrepreneurship Development Institute of India</t>
  </si>
  <si>
    <t>Entrepreneurship Development Institute of India</t>
  </si>
  <si>
    <t>Summary:&lt;/strong&gt;&lt;/p&gt;&lt;p&gt;Dr. Kavita is an experienced Entrepreneurship Educator and Startup Mentor with a Doctorate in Retail Management. Her professional interests include entrepreneurship, small business promotion, marketing for startups, and consumer insights. She is also involved in teaching and research in marketing management, particularly in retail management, sales and distribution, services marketing, and retail shopper behavior.&lt;/p&gt;&lt;p&gt;&lt;br&gt;&lt;/p&gt;Key Areas of Expertise:&lt;/strong&gt;&lt;/p&gt;&lt;ul&gt;&lt;li&gt;Entrepreneurship and Startup Mentorship&lt;/li&gt;&lt;li&gt;Retail Management&lt;/li&gt;&lt;li&gt;Small Business Promotion&lt;/li&gt;&lt;li&gt;Marketing for Startups&lt;/li&gt;&lt;li&gt;Consumer Insights&lt;/li&gt;&lt;li&gt;Sales and Distribution&lt;/li&gt;&lt;li&gt;Services Marketing&lt;/li&gt;&lt;li&gt;Retail Shopper Behavior&lt;/li&gt;&lt;li&gt;Soft Skills Training&lt;/li&gt;&lt;/ul&gt;</t>
  </si>
  <si>
    <t>https://www.linkedin.com/in/dr-kavita-sharma-saxena-6460507/</t>
  </si>
  <si>
    <t>imkavita@gmail.com</t>
  </si>
  <si>
    <t>Branding || Business Model Development || Customer Relationship Management || Digital Marketing || Go to Market Strategy || Growth Strategy Formulation || Market research || Marketing || Public speaking || Research Partnerships || Sales Strategy || Social Media Marketing || Strategic Planning || UI/UX Design || Branding || Business Model Development || Customer Relationship Management || Digital Marketing || Go to Market Strategy || Growth Strategy Formulation || Market research || Marketing || Public speaking || Research Partnerships || Sales Strategy || Social Media Marketing || Strategic Planning || UI/UX Design || Branding || Business Model Development || Customer Relationship Management || Digital Marketing || Go to Market Strategy || Growth Strategy Formulation || Market research || Marketing || Public speaking || Research Partnerships || Sales Strategy || Social Media Marketing || Strategic Planning || UI/UX Design || Branding || Business Model Development || Customer Relationship Management || Digital Marketing || Go to Market Strategy || Growth Strategy Formulation || Market research || Marketing || Public speaking || Research Partnerships || Sales Strategy || Social Media Marketing || Strategic Planning || UI/UX Design || Branding || Business Model Development || Customer Relationship Management || Digital Marketing || Go to Market Strategy || Growth Strategy Formulation || Market research || Marketing || Public speaking || Research Partnerships || Sales Strategy || Social Media Marketing || Strategic Planning || UI/UX Design || Branding || Business Model Development || Customer Relationship Management || Digital Marketing || Go to Market Strategy || Growth Strategy Formulation || Market research || Marketing || Public speaking || Research Partnerships || Sales Strategy || Social Media Marketing || Strategic Planning || UI/UX Design || Branding || Business Model Development || Customer Relationship Management || Digital Marketing || Go to Market Strategy || Growth Strategy Formulation || Market research || Marketing || Public speaking || Research Partnerships || Sales Strategy || Social Media Marketing || Strategic Planning || UI/UX Design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</si>
  <si>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Education &amp; Training</t>
  </si>
  <si>
    <t>Kavya Dehulia</t>
  </si>
  <si>
    <t>Consultant at NorthVision Consulting</t>
  </si>
  <si>
    <t>NorthVision Consulting</t>
  </si>
  <si>
    <t>Summary:&amp;nbsp;&lt;/strong&gt;Kavya is a seasoned professional with 16 years of experience in the Consumer Insights function, specializing in building and growing impactful brands. Her career is marked by a strong commitment to consumer-centric strategies, ensuring that every decision is driven by deep consumer understanding. Kavya has a proven track record of enhancing brand communication, equity, and sales through strategic insights and innovative approaches.&lt;/p&gt;&lt;p&gt;&lt;br&gt;&lt;/p&gt;Core Expertise:&lt;/strong&gt;&lt;/p&gt;&lt;ul&gt;&lt;li&gt;&lt;strong&gt;Consumer &amp;amp; Market Insights:&lt;/strong&gt;&amp;nbsp;Deep understanding of consumer behavior and market trends to guide strategic decisions.&lt;/li&gt;&lt;li&gt;&lt;strong&gt;Brand Strategy &amp;amp; Architecture:&lt;/strong&gt;&amp;nbsp;Developing comprehensive brand strategies and architectures aligned with business goals.&lt;/li&gt;&lt;li&gt;&lt;strong&gt;Innovation Strategy:&lt;/strong&gt;&amp;nbsp;Crafting innovation strategies for new Product Management development and managing innovation processes.&lt;/li&gt;&lt;li&gt;&lt;strong&gt;Communication Development:&lt;/strong&gt;&amp;nbsp;Creating impactful brand communications to strengthen brand equity.&lt;/li&gt;&lt;li&gt;&lt;strong&gt;Packaging &amp;amp; New Product Management Development:&lt;/strong&gt;&amp;nbsp;Leading packaging solutions and new Product Management initiatives for market impact.&lt;/li&gt;&lt;/ul&gt;&lt;p&gt;&lt;br&gt;&lt;/p&gt;Problem-Solving Approach:&lt;/strong&gt;&lt;/p&gt;&lt;ul&gt;&lt;li&gt;&lt;strong&gt;Consumer-Centric Methodology:&lt;/strong&gt;&amp;nbsp;Rooted in understanding consumer needs and market dynamics.&lt;/li&gt;&lt;li&gt;&lt;strong&gt;Strategic Mindset:&lt;/strong&gt;&amp;nbsp;Implementing effective communication and innovation strategies to enhance brand performance and positioning.&lt;/li&gt;&lt;/ul&gt;&lt;p&gt;&lt;br&gt;&lt;/p&gt;Impactful Projects&lt;/strong&gt;:&lt;/p&gt;&lt;ul&gt;&lt;li&gt;&lt;strong&gt;Brand Communication&lt;/strong&gt;: Successfully developed and executed communication strategies that significantly improved brand equity and sales performance for various organizations.&lt;/li&gt;&lt;li&gt;&lt;strong&gt;Consumer-Centric Strategies&lt;/strong&gt;: Led initiatives to embed consumer-centricity into brand decision-making processes, resulting in stronger brand connections and improved consumer loyalty.&lt;/li&gt;&lt;li&gt;&lt;strong&gt;Innovation Management&lt;/strong&gt;: Managed innovation processes that led to the successful development and launch of new Product Managements, contributing to brand growth and market competitiveness.&lt;/li&gt;&lt;/ul&gt;&lt;p&gt;&lt;br&gt;&lt;/p&gt;Consultation Style&lt;/strong&gt;: Kavya’s consultation style is collaborative and insight-driven. She works closely with clients to understand their unique challenges and goals, providing tailored strategies that address specific needs. Her approach involves integrating consumer insights with strategic planning to deliver actionable recommendations that drive brand success. By focusing on consumer needs and market trends, Kavya ensures that her guidance is both relevant and impactful.&lt;/p&gt;</t>
  </si>
  <si>
    <t>https://www.linkedin.com/in/kavya-d-8973875/</t>
  </si>
  <si>
    <t>kavya.nvc@gmail.com</t>
  </si>
  <si>
    <t>Branding || Go to Market Strategy || Branding || Go to Market Strategy || Branding || Go to Market Strategy || Branding || Go to Market Strategy || Branding || Go to Market Strategy || Branding || Go to Market Strategy || Marketing &amp; Branding || Market Research</t>
  </si>
  <si>
    <t>Consumer Products || Consumer Products || Fashion &amp; Beauty || Fashion &amp; Beauty || Retail &amp; e-Commerce || Retail &amp; e-Commerce || Consumer Products || Consumer Products || Fashion &amp; Beauty || Fashion &amp; Beauty || Retail &amp; e-Commerce || Retail &amp; e-Commerce || Consumer Products​</t>
  </si>
  <si>
    <t>Karuna Sharma</t>
  </si>
  <si>
    <t>AVP - International Business and Climate Change at NABARD Consultancy Services</t>
  </si>
  <si>
    <t>NABARD Consultancy Services</t>
  </si>
  <si>
    <t>Summary:&lt;/strong&gt; Karuna is a seasoned sustainability professional with over 12 years of experience in the impact space, particularly in renewable energy. She has a strong track record in rural electrification, having worked with pioneering solar energy companies like SunEdison and Cygni Energy, where she spearheaded projects in solar minigrids, advanced battery solutions, and market research.&lt;/p&gt;&lt;p&gt;&lt;br&gt;&lt;/p&gt;Core Expertise:&lt;/strong&gt;&lt;/p&gt;&lt;ul&gt;&lt;li&gt;Renewable Energy: Solar minigrids, advanced battery solutions, and energy-efficient solar DC power packs.&lt;/li&gt;&lt;li&gt;Rural Electrification: Development of financially viable models for solar energy in rural areas, and collaboration with government entities like SECI and MNRE.&lt;/li&gt;&lt;li&gt;Market Research: Extensive research in rural demand assessment, project finance modeling, and electric vehicle battery markets in North India.&lt;/li&gt;&lt;/ul&gt;&lt;p&gt;&lt;br&gt;&lt;/p&gt;Problem-Solving Approach:&lt;/strong&gt; Karuna is dedicated to creating sustainable, financially viable solutions in the renewable energy sector. She leverages her deep understanding of rural markets and technical expertise in solar energy to design and implement projects that meet the unique needs of underserved communities.&lt;/p&gt;&lt;p&gt;&lt;br&gt;&lt;/p&gt;Impactful Projects:&lt;/strong&gt;&lt;/p&gt;&lt;ul&gt;&lt;li&gt;&lt;strong&gt;SunEdison:&lt;/strong&gt; Led the development and implementation of solar minigrids in remote rural areas, including the integration of advanced battery solutions like Vanadium Redox batteries.&lt;/li&gt;&lt;li&gt;&lt;strong&gt;Cygni Energy:&lt;/strong&gt; Drove strategic partnerships for retail and institutional distribution, developed a PAYGO solution, and integrated solar power packs with livelihood applications such as solar spinning machines and refrigerators.&lt;/li&gt;&lt;/ul&gt;&lt;p&gt;&lt;br&gt;&lt;/p&gt;Consultation Style:&lt;/strong&gt; Karuna is a hands-on leader who believes in working closely with stakeholders to tailor solutions to specific challenges. She is adept at navigating complex regulatory environments and has a proven ability to translate technical innovations into practical, scalable solutions.&lt;/p&gt;</t>
  </si>
  <si>
    <t>https://www.linkedin.com/in/karuna-sharma-50b4217/</t>
  </si>
  <si>
    <t>karuna.sharma.in@gmail.com</t>
  </si>
  <si>
    <t>Business Model Development || Growth Strategy Formulation || Market research || Business Model Development || Growth Strategy Formulation || Market research || ESG Strategy</t>
  </si>
  <si>
    <t>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t>
  </si>
  <si>
    <t>Krishna Kumar</t>
  </si>
  <si>
    <t>Co-Founder and CEO of GreenPepper</t>
  </si>
  <si>
    <t>GreenPepper</t>
  </si>
  <si>
    <t>Summary:&lt;/strong&gt;&lt;/p&gt;&lt;p&gt;Mr. Krishna is a super-generalist leader and the Co-Founder &amp;amp; CEO of GreenPepper. An accomplished author of Between Genes and Memes and Learning Revolution, he has spoken at prestigious global events such as the Jerusalem Leaders Summit and Horasis India Summit. With expertise in marketing, tech, creativity, and strategy, Mr. Krishna has led transformative digital projects and conducted numerous workshops. He is also the Expedition Lead for The Great Indian Footprint and the host of the Leadcasts podcast series, continually enhancing his skills through 45+ MOOCs. His mission is to help leaders unlock their companies' potential.&lt;/p&gt;&lt;p&gt;&lt;br&gt;&lt;/p&gt;Key Areas of Expertise:&lt;/strong&gt;&lt;/p&gt;&lt;ul&gt;&lt;li&gt;Marketing&lt;/li&gt;&lt;li&gt;Technology&lt;/li&gt;&lt;li&gt;Creativity&lt;/li&gt;&lt;li&gt;Strategy&lt;/li&gt;&lt;li&gt;Generative AI&lt;/li&gt;&lt;li&gt;Leadership Development&lt;/li&gt;&lt;li&gt;Digital Strategy&lt;/li&gt;&lt;li&gt;Visual Storytelling&lt;/li&gt;&lt;li&gt;Public Speaking&lt;/li&gt;&lt;/ul&gt;&lt;p&gt;&lt;br&gt;&lt;/p&gt;Strategic Contributions:&lt;/strong&gt;&lt;/p&gt;&lt;ul&gt;&lt;li&gt;Co-Founder &amp;amp; CEO of GreenPepper&lt;/li&gt;&lt;li&gt;Delivered 170+ transformative digital projects&lt;/li&gt;&lt;li&gt;Conducted 370+ workshops on digital topics&lt;/li&gt;&lt;li&gt;Led the expedition for The Great Indian Footprint&lt;/li&gt;&lt;/ul&gt;&lt;p&gt;&lt;br&gt;&lt;/p&gt;Success Stories:&lt;/strong&gt;&lt;/p&gt;&lt;ul&gt;&lt;li&gt;Authored Between Genes and Memes and Learning Revolution&lt;/li&gt;&lt;li&gt;Speaker at the Jerusalem Leaders Summit and Horasis India Summit&lt;/li&gt;&lt;li&gt;Hosted the Leadcasts podcast series&lt;/li&gt;&lt;/ul&gt;</t>
  </si>
  <si>
    <t>https://www.linkedin.com/in/krishnakumarm/</t>
  </si>
  <si>
    <t>Kochi</t>
  </si>
  <si>
    <t>krishnakumar@greenpepper.in</t>
  </si>
  <si>
    <t>Branding || Data Analytics || Go to Market Strategy || Market research || Organizational Development || Product Development || Prototyping &amp; Testing || Public speaking || Branding || Data Analytics || Go to Market Strategy || Market research || Organizational Development || Product Development || Prototyping &amp; Testing || Public speaking || Digital Transformation || Strategic Planning</t>
  </si>
  <si>
    <t>AI, Big Data &amp; Analytics || AI, Big Data &amp; Analytics || AI, Big Data &amp; Analytics || AI, Big Data &amp; Analytics || AI, Big Data &amp; Analytics || AI, Big Data &amp; Analytics || AI, Big Data &amp; Analytics || AI, Big Data &amp; Analytics || Education &amp; Training || Education &amp; Training || Education &amp; Training || Education &amp; Training || Education &amp; Training || Education &amp; Training || Education &amp; Training || Education &amp; Training || Education &amp; Training || Deeptech</t>
  </si>
  <si>
    <t>Krishnaveni N</t>
  </si>
  <si>
    <t>Assistant Professor at PSG College of Arts and Science</t>
  </si>
  <si>
    <t>Summary:&lt;/strong&gt;&lt;/p&gt;&lt;p&gt;Ms. Krishnaveni is an Assistant Professor at PSGCAS, specializing in postgraduate Microbiology education and research. She also coordinates Innovation and Entrepreneurship (I&amp;amp;E) initiatives at the college, mentoring startups and fostering an entrepreneurial mindset through workshops, hackathons, and bootcamps. As a certified NEN Entrepreneurship Trainer, she provides incubation support to student and public startups. Ms. Krishnaveni is instrumental in obtaining funding for entrepreneurial training and has contributed to PSGCAS achieving high ratings in innovation rankings like IIC and ARIIA.&lt;/p&gt;&lt;p&gt;&lt;br&gt;&lt;/p&gt;Key Areas of Expertise:&lt;/strong&gt;&lt;/p&gt;&lt;ul&gt;&lt;li&gt;Microbial Genetics, Physiology, and Biotechnology&lt;/li&gt;&lt;li&gt;Innovation and Entrepreneurship Training&lt;/li&gt;&lt;li&gt;Incubation and Start-up Mentorship&lt;/li&gt;&lt;li&gt;Funding and Grant Writing for Start-ups&lt;/li&gt;&lt;li&gt;Event Coordination (Hackathons, Bootcamps, Conferences)&lt;/li&gt;&lt;/ul&gt;&lt;p&gt;&lt;br&gt;&lt;/p&gt;Strategic Contributions:&lt;/strong&gt;&lt;/p&gt;&lt;ul&gt;&lt;li&gt;Coordinated entrepreneurial training programs funded by DST (Rs. 59 lakhs).&lt;/li&gt;&lt;li&gt;Supported the incubation of 30-50 startups annually since 2015 at PSGCAS Business Incubation Centre.&lt;/li&gt;&lt;li&gt;Achieved Five-Star and Four-Star ratings in IIC Performance (2019-2023) and high ARIIA rankings.&lt;/li&gt;&lt;li&gt;Member of core committees (RAC, CDC, IQAC, NAAC) at PSGCAS.&lt;/li&gt;&lt;/ul&gt;&lt;p&gt;&lt;br&gt;&lt;/p&gt;Mentorship Philosophy:&lt;/strong&gt;&lt;/p&gt;&lt;p&gt;Ms. Krishnaveni emphasizes fostering innovation and entrepreneurship through hands-on learning, training, and mentoring students to build successful startups from ideation to growth.&lt;/p&gt;</t>
  </si>
  <si>
    <t>https://www.linkedin.com/in/krishnaveni-narayanaswamy-1589a1204/?originalSubdomain=in</t>
  </si>
  <si>
    <t>krishnaveni.n@psgcas.ac.in</t>
  </si>
  <si>
    <t>Fundraising || Government Funding || Prototyping &amp; Testing || Fundraising || Government Funding || Prototyping &amp; Testing || Fundraising || Government Funding || Prototyping &amp; Testing || Fundraising || Government Funding || Prototyping &amp; Testing || Entrepreneurship Coaching</t>
  </si>
  <si>
    <t>Education &amp; Training || Education &amp; Training || Education &amp; Training || Pharmaceuticals, Healthcare and Wellness || Pharmaceuticals, Healthcare and Wellness || Pharmaceuticals, Healthcare and Wellness || Education &amp; Training || Education &amp; Training || Education &amp; Training || Pharmaceuticals, Healthcare and Wellness || Pharmaceuticals, Healthcare and Wellness || Pharmaceuticals, Healthcare and Wellness || Education &amp; Training</t>
  </si>
  <si>
    <t>Kunal Dani</t>
  </si>
  <si>
    <t>Consultant, House of Abiti</t>
  </si>
  <si>
    <t>House of Abiti</t>
  </si>
  <si>
    <t>About
With over 8 years of experience spanning product, business, and marketing domains, Kunal Dani has led cross-cultural and cross-functional teams across agencies, driving growth and innovation in business. He is a startup mentorship expert based in Mumbai specializing in strategic consulting and corporate leadership.
Professional Experience
​
Key Roles:
Strategic Consultant &amp; Corporate Leader (primary focus)
Startup Mentorship Expert
Led cross-cultural and cross-functional teams across multiple agencies
Product, Business, and Marketing domain expertise
Core Competencies
Business Strategy &amp; Growth
Product Management
Marketing Strategy
Corporate Leadership
Cross-functional Team Management
Startup Mentorship
Innovation &amp; Business Development</t>
  </si>
  <si>
    <t>https://www.linkedin.com/in/kunaldani308</t>
  </si>
  <si>
    <t>kunaldani308@gmail.com</t>
  </si>
  <si>
    <t>99875 34579</t>
  </si>
  <si>
    <t>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Angel Investing || Branding || Budgeting &amp; Financial Modeling || Business Model Development || Compliance Assistance || Contracts &amp; Agreements || Corporate Social Responsibility || Customer Experience Optimization || Customer Relationship Management || Customer Service &amp; Retention || Digital Marketing || E-commerce Management || Entity Formation || ESG Strategy || Exit Strategy Planning || Export || Fundraising || Go to Market Strategy || Government Funding || Growth Strategy Formulation || Intellectual Property Rights || Investment Banking || IP Management || Market access || Market research || Marketing || Media and PR || Organizational Development || Performance Metrics || Pitch coaching || Pricing Strategy || Process Optimization || Product Development || Prototyping &amp; Testing || Public speaking || Quality Assurance || Research Partnerships || Sales Strategy || Social Media Marketing || Strategic Planning || Supply Chain Management || Sustainable Operations || Talent Acquisition || Tax Incentives || Tech Strategy &amp; Infrastructure || Technical Support || Training &amp; Development || UI/UX Design || Marketing &amp; Branding</t>
  </si>
  <si>
    <t>Kunal Jatania</t>
  </si>
  <si>
    <t>Area Sales - Key Accounts (Flagship) at Moët Hennessy</t>
  </si>
  <si>
    <t>Moët Hennessy</t>
  </si>
  <si>
    <t>Summary&lt;/strong&gt;&lt;/p&gt;&lt;p&gt;Mr. Kunal Jatania is a seasoned sales expert with over 23 years of experience in the alcobev industry. Renowned for his ability to exceed sales targets, he has led national sales teams to achieve significant revenue growth. His expertise includes sales forecasting, business development, and negotiation, with a strong focus on client relationship management. Notable achievements include 20% monthly growth through new business channels and a 50% volume increase for key accounts. Kunal’s exceptional sales acumen, strategic leadership, and hands-on approach to team leadership make him a formidable force in the industry.&lt;/p&gt;&lt;p&gt;&lt;br&gt;&lt;/p&gt;Core Expertise&lt;/strong&gt;&lt;/p&gt;&lt;ul&gt;&lt;li&gt;Sales Strategy&lt;/li&gt;&lt;li&gt;Business Development&lt;/li&gt;&lt;li&gt;Account Management&lt;/li&gt;&lt;li&gt;Customer Relationship Management (CRM)&lt;/li&gt;&lt;li&gt;Negotiation&lt;/li&gt;&lt;li&gt;Market Analysis&lt;/li&gt;&lt;li&gt;Revenue Growth&lt;/li&gt;&lt;li&gt;Sales Operations&lt;/li&gt;&lt;li&gt;Team Leadership&lt;/li&gt;&lt;/ul&gt;&lt;p&gt;&lt;br&gt;&lt;/p&gt;Problem Solving Approach&lt;/strong&gt;&lt;/p&gt;&lt;ul&gt;&lt;li&gt;Focuses on customer-centric strategies and aligning sales tactics with company objectives to achieve aggressive revenue goals.&lt;/li&gt;&lt;li&gt;Implements innovative marketing and sales initiatives to drive brand visibility and performance, utilizing both online and offline platforms.&lt;/li&gt;&lt;/ul&gt;&lt;p&gt;&lt;br&gt;&lt;/p&gt;Impactful Projects&lt;/strong&gt;&lt;/p&gt;&lt;ul&gt;&lt;li&gt;Drove 20% monthly growth through new business channels.&lt;/li&gt;&lt;li&gt;Increased key account volume by 50% for clients like Impresario Hospitality and Bastian Hospitality.&lt;/li&gt;&lt;li&gt;Sold over 3,000 bottles of prestige champagne in 20 days during high-profile events.&lt;/li&gt;&lt;li&gt;Surpassed brand activation targets by 180% during critical periods.&lt;/li&gt;&lt;/ul&gt;</t>
  </si>
  <si>
    <t>https://www.linkedin.com/in/kunal-jatania/</t>
  </si>
  <si>
    <t>kunal24@gmail.com</t>
  </si>
  <si>
    <t>Customer Relationship Management || Customer Service &amp; Retention || Go to Market Strategy || Market access || Marketing || Performance Management || Process Optimization || Sales Strategy || Sustainable Operations || Customer Relationship Management || Customer Service &amp; Retention || Go to Market Strategy || Market access || Marketing || Performance Management || Process Optimization || Sales Strategy || Sustainable Operations || Customer Relationship Management || Customer Service &amp; Retention || Go to Market Strategy || Market access || Marketing || Performance Management || Process Optimization || Sales Strategy || Sustainable Operations || Customer Relationship Management || Customer Service &amp; Retention || Go to Market Strategy || Market access || Marketing || Performance Management || Process Optimization || Sales Strategy || Sustainable Operations || Customer Relationship Management || Customer Service &amp; Retention || Go to Market Strategy || Market access || Marketing || Performance Management || Process Optimization || Sales Strategy || Sustainable Operations || Customer Relationship Management || Customer Service &amp; Retention || Go to Market Strategy || Market access || Marketing || Performance Management || Process Optimization || Sales Strategy || Sustainable Operations || E-commerce Management || Go To Market Strategy</t>
  </si>
  <si>
    <t>Consumer Products || Consumer Products || Consumer Products || Consumer Products || Consumer Products || Consumer Products || Consumer Products || Consumer Products || Consumer Products || Others || Others || Others || Others || Others || Others || Others || Others || Others || Consumer Products || Consumer Products || Consumer Products || Consumer Products || Consumer Products || Consumer Products || Consumer Products || Consumer Products || Consumer Products || Others || Others || Others || Others || Others || Others || Others || Others || Others || Consumer Products || Consumer Products || Consumer Products || Consumer Products || Consumer Products || Consumer Products || Consumer Products || Consumer Products || Consumer Products || Others || Others || Others || Others || Others || Others || Others || Others || Others || Retail &amp; e-Commerce || Agritech &amp; Food Processing</t>
  </si>
  <si>
    <t>Kunth Jain</t>
  </si>
  <si>
    <t>Founder of Growth For ImpactGrowth | Subject Matter Expert at Emeritus</t>
  </si>
  <si>
    <t>Growth For ImpactGrowth</t>
  </si>
  <si>
    <t>&lt;h4&gt;&lt;strong&gt;Summary:&lt;/strong&gt;&lt;/h4&gt;&lt;p&gt;Kunth is a growth strategist who excels at helping purpose-driven startups achieve Market Product Management Fit. With a versatile skill set, he has successfully scaled growth for over 20 pioneering companies, including unicorns, across seven countries. His approach focuses on Product Management-led growth and scaling beyond traditional advertising methods.&lt;/p&gt;&lt;h4&gt;&lt;br&gt;&lt;/h4&gt;&lt;h4&gt;&lt;strong&gt;Core Expertise:&lt;/strong&gt;&lt;/h4&gt;&lt;p&gt;Kunth specializes in:&lt;/p&gt;&lt;ul&gt;&lt;li&gt;Product Management-led growth&lt;/li&gt;&lt;li&gt;Prioritization&lt;/li&gt;&lt;li&gt;Go-to-Market (GTM) strategies&lt;/li&gt;&lt;li&gt;Customer Acquisition Cost (CAC) and Lifetime Value (LTV) optimization&lt;/li&gt;&lt;li&gt;Conversion Rate Optimization (CRO)&lt;/li&gt;&lt;li&gt;Search Engine Optimization (SEO)&lt;/li&gt;&lt;li&gt;Search Engine Marketing (SEM)&lt;/li&gt;&lt;li&gt;Growth Hacking&lt;/li&gt;&lt;/ul&gt;&lt;p&gt;&lt;br&gt;&lt;/p&gt;&lt;h4&gt;&lt;strong&gt;Problem-Solving Approach:&lt;/strong&gt;&lt;/h4&gt;&lt;p&gt;Kunth leverages a deep understanding of market dynamics and consumer behavior to drive growth. He prioritizes sustainable strategies that align with the unique missions of purpose-driven startups. His focus on Product Management-led growth ensures businesses can scale efficiently and effectively without relying solely on paid advertising.&lt;/p&gt;&lt;h4&gt;&lt;br&gt;&lt;/h4&gt;&lt;h4&gt;&lt;strong&gt;Impactful Projects:&lt;/strong&gt;&lt;/h4&gt;&lt;p&gt;As the Founder of Growth For Impact, Kunth has partnered with companies to address their Environmental, Social, and Governance (ESG) challenges. His work has led to significant growth and impact for businesses across various industries.&lt;/p&gt;&lt;h4&gt;&lt;br&gt;&lt;/h4&gt;&lt;h4&gt;&lt;strong&gt;Consultation Style:&lt;/strong&gt;&lt;/h4&gt;&lt;p&gt;Kunth's consulting style is pragmatic and data-driven. He works closely with clients to understand their specific needs and challenges, offering tailored strategies that are actionable and measurable. His emphasis on optimizing CAC/LTV and leveraging CRO, SEO, SEM, and growth hacking techniques ensures comprehensive support for scaling businesses.&lt;/p&gt;</t>
  </si>
  <si>
    <t>https://www.linkedin.com/in/kunth-jain</t>
  </si>
  <si>
    <t>kunth@duck.com</t>
  </si>
  <si>
    <t>Digital Marketing || Growth Strategy Formulation || Marketing || Digital Marketing || Growth Strategy Formulation || Marketing || Digital Marketing || Growth Strategy Formulation || Marketing || Digital Marketing || Growth Strategy Formulation || Marketing || IT Consulting || Product Management Management</t>
  </si>
  <si>
    <t>CleanTech || CleanTech || CleanTech || Education &amp; Training || Education &amp; Training || Education &amp; Training || Pharmaceuticals, Healthcare and Wellness || Pharmaceuticals, Healthcare and Wellness || Pharmaceuticals, Healthcare and Wellness || Social &amp; Community Services || Social &amp; Community Services || Social &amp; Community Services || Software &amp; IT Services</t>
  </si>
  <si>
    <t>Kushal Trivedi</t>
  </si>
  <si>
    <t>Ex- Founder and CEO at PreBOO</t>
  </si>
  <si>
    <t>PreBOO</t>
  </si>
  <si>
    <t>Summary:&lt;/strong&gt;&lt;/p&gt;&lt;p&gt;Mr. Kushal, Founder &amp;amp; CEO of the award-winning EdTech startup PreBOO, has over 12 years of experience in marketing and content strategy. Under his leadership, PreBOO has received multiple prestigious awards, including recognition from the Hon'ble Union Minister Shri Anurag Thakur. He also serves as a startup advisor and mentor at various esteemed foundations and organizations, providing strategic guidance on content strategies and marketing. Mr. Kushal is a prominent speaker and actively contributes to fostering innovation and entrepreneurship among students and startups.&lt;/p&gt;&lt;p&gt;&lt;br&gt;&lt;/p&gt;Key Areas of Expertise:&lt;/strong&gt;&lt;/p&gt;&lt;ul&gt;&lt;li&gt;Marketing Strategy&lt;/li&gt;&lt;li&gt;Content Strategy&lt;/li&gt;&lt;li&gt;Search Engine Optimization (SEO)&lt;/li&gt;&lt;li&gt;App Store Optimization (ASO)&lt;/li&gt;&lt;li&gt;Digital Strategy Development&lt;/li&gt;&lt;li&gt;Data Analysis for Marketing Insights&lt;/li&gt;&lt;li&gt;Conversion Rate Optimization (CRO)&lt;/li&gt;&lt;li&gt;Performance Tracking and Reporting&lt;/li&gt;&lt;/ul&gt;&lt;p&gt;&lt;br&gt;&lt;/p&gt;Strategic Contributions:&lt;/strong&gt;&lt;/p&gt;&lt;ul&gt;&lt;li&gt;Led PreBOO to receive numerous awards and recognition.&lt;/li&gt;&lt;li&gt;Consults startups and IT companies on content strategies and marketing.&lt;/li&gt;&lt;li&gt;Startup Advisor at Wadhwani Foundation.&lt;/li&gt;&lt;li&gt;Startup Mentor at various innovation foundations and universities.&lt;/li&gt;&lt;li&gt;Knowledge Partner &amp;amp; Startup Mentor at AIC-DSU Innovation Foundation.&lt;/li&gt;&lt;li&gt;Member of the Global Committee (Technology) at Della Group.&lt;/li&gt;&lt;/ul&gt;&lt;p&gt;&lt;br&gt;&lt;/p&gt;Mentorship Philosophy:&lt;/strong&gt;&lt;/p&gt;&lt;ul&gt;&lt;li&gt;Believes in the power of innovation and entrepreneurship.&lt;/li&gt;&lt;li&gt;Works with students to foster entrepreneurial mindsets and encourage impactful solutions for real-world challenges.&lt;/li&gt;&lt;li&gt;Serves as a Mentor of Change at AIM (Atal Innovation Mission).&lt;/li&gt;&lt;/ul&gt;&lt;p&gt;&lt;br&gt;&lt;/p&gt;Success Stories:&lt;/strong&gt;&lt;/p&gt;&lt;ul&gt;&lt;li&gt;PreBOO awarded by Hon'ble Union Minister Shri Anurag Thakur as Promising Emerging Startup.&lt;/li&gt;&lt;li&gt;PreBOO featured in the first-ever "Coffee-Table Book" by Govt. of Gujarat at Vibrant Gujarat StartUp Summit.&lt;/li&gt;&lt;li&gt;Won JumpStart pre-seed grant from Gujarat Chief Minister Shri Vijay Rupani.&lt;/li&gt;&lt;li&gt;Featured in Asia's premier monthly magazine on ICT in education "Digital Learning" and other prominent startup-focused publications.&lt;/li&gt;&lt;/ul&gt;</t>
  </si>
  <si>
    <t>https://www.linkedin.com/in/kushalmtrivedi/</t>
  </si>
  <si>
    <t>kushtrivedi26@gmail.com</t>
  </si>
  <si>
    <t>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Customer Experience Optimization || Customer Relationship Management || Digital Marketing || E-commerce Management || Go to Market Strategy || Marketing || Prototyping &amp; Testing || Social Media Marketing || Business Finance || Content Strategy</t>
  </si>
  <si>
    <t>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Technology &amp; Innovation || Technology &amp; Innovation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Technology &amp; Innovation || Technology &amp; Innovation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Technology &amp; Innovation || Technology &amp; Innovation || Fintech, Banking, Financial Services</t>
  </si>
  <si>
    <t>Lakshit Singhal</t>
  </si>
  <si>
    <t>Founder, Octane Legal</t>
  </si>
  <si>
    <t>Octane Legal</t>
  </si>
  <si>
    <t xml:space="preserve">Summary :
Lakshit is a practicing lawyer with over 7-8 years of experience in the field of commercial laws, Intellectual Property Law, and Corporate Law. He has worked with a diverse range of industries including E-commerce, FMCG, Fashion, EdTech, and Agriculture Tech, offering tailored legal solutions to individuals, startups, and businesses. He advises clients on IP laws and regulations affecting their business, in addition to drafting and reviewing their business documents such as non-disclosure agreements, employment agreements, and vendor agreements.
He currently handles IP portfolios for some prominent businesses in the country and appears regularly before the Trademark Office in India. On the litigation side, Mr. Singhal has successfully represented clients before the High Court of Delhi, Delhi District Courts, Haryana District Courts, State Consumer Dispute Redressal Commission, and National Consumer Disputes Redressal Commission in matters pertaining to CPC, CrPC, NI Act (Cheque Bounce), Matrimonial Laws, and Consumer Laws.
</t>
  </si>
  <si>
    <t>https://www.linkedin.com/in/lakshit-singhal-startup-lawyer</t>
  </si>
  <si>
    <t>lakshitsinghal1234@gmail.com</t>
  </si>
  <si>
    <t>Intellectual Property Rights || Trade Compliance || Intellectual Property Rights || Trade Compliance || Intellectual Property Rights || Trade Compliance || Intellectual Property Rights || Trade Compliance || Intellectual Property Rights || Trade Compliance || Intellectual Property Rights || Trade Compliance || Intellectual Property Rights || Trade Compliance || Intellectual Property Rights || Trade Compliance || Legal and Compliance || Intellectual Property Advisory</t>
  </si>
  <si>
    <t>Automobiles &amp; Auto Components || Automobiles &amp; Auto Components || Education &amp; Training || Education &amp; Training || Energy &amp; Renewable Resources || Energy &amp; Renewable Resources || Fashion &amp; Beauty || Fashion &amp; Beauty || Media, Arts &amp; Entertainment || Media, Arts &amp; Entertainment || Pharmaceuticals, Healthcare and Wellness || Pharmaceuticals, Healthcare and Wellness || Retail &amp; e-Commerce || Retail &amp; e-Commerce || Tourism &amp; Hospitality || Tourism &amp; Hospitality || Legal Services</t>
  </si>
  <si>
    <t>Madhiyazhagan R</t>
  </si>
  <si>
    <t>Independent Scrum Master</t>
  </si>
  <si>
    <t>Summary&lt;/strong&gt;&lt;/p&gt;&lt;p&gt;Mr. Madhiyazhagan is a certified Scrum Master and team coach with a strong background in team building, coaching, and management. He has successfully led agile transformations, achieving a 30% increase in Product Managementivity and a 20% reduction in time-to-market. His coaching has resulted in a 95% customer satisfaction rating and a 10% revenue increase. He has collaborated with Product Management owners to improve backlog accuracy by 25% and reduce rework by 15%. With experience in web application, mobile, and performance testing, as well as operations management, Mr. Madhiyazhagan excels in critical thinking, system analysis, and delivering high-quality outcomes.&lt;/p&gt;&lt;p&gt;&lt;br&gt;&lt;/p&gt;Core Expertise&lt;/strong&gt;&lt;/p&gt;&lt;ul&gt;&lt;li&gt;Agile Transformation&lt;/li&gt;&lt;li&gt;Team Building and Coaching&lt;/li&gt;&lt;li&gt;Scrum and Agile Methodologies&lt;/li&gt;&lt;li&gt;Product Management Testing (Web, Mobile, Performance)&lt;/li&gt;&lt;li&gt;Operations Management&lt;/li&gt;&lt;/ul&gt;&lt;p&gt;&lt;br&gt;&lt;/p&gt;Problem Solving Approach&lt;/strong&gt;&lt;/p&gt;&lt;ul&gt;&lt;li&gt;Agile Transformation: Facilitated agile practices resulting in increased Product Managementivity and reduced time-to-market.&lt;/li&gt;&lt;li&gt;Team Coaching: Coached teams to deliver high-quality Product Managements and improved customer satisfaction.&lt;/li&gt;&lt;li&gt;Backlog Management: Enhanced Product Management backlog accuracy and reduced rework through collaboration with Product Management owners.&lt;/li&gt;&lt;/ul&gt;&lt;p&gt;&lt;br&gt;&lt;/p&gt;Impactful Projects&lt;/strong&gt;&lt;/p&gt;&lt;ul&gt;&lt;li&gt;Agile Transformation: Achieved a 30% increase in Product Managementivity and a 20% reduction in time-to-market.&lt;/li&gt;&lt;li&gt;Cross-Functional Team Coaching: Delivered a high-quality Product Management with a 95% customer satisfaction rating and a 10% increase in revenue.&lt;/li&gt;&lt;li&gt;Backlog Accuracy Improvement: Increased Product Management backlog accuracy by 25% and reduced rework by 15%.&lt;/li&gt;&lt;/ul&gt;&lt;p&gt;&lt;br&gt;&lt;/p&gt;Consulting Style&lt;/strong&gt;&lt;/p&gt;&lt;ul&gt;&lt;li&gt;Critical Thinking and Analysis: Focuses on identifying potential issues and delivering the best outcomes.&lt;/li&gt;&lt;li&gt;Attention to Detail: Emphasizes precision and thoroughness in managing projects and teams.&lt;/li&gt;&lt;li&gt;Collaborative Approach: Works closely with Product Management owners and teams to refine processes and improve results.&lt;/li&gt;&lt;/ul&gt;</t>
  </si>
  <si>
    <t>https://www.linkedin.com/in/madhi-scrum-qa/</t>
  </si>
  <si>
    <t>madhi1615@gmail.com</t>
  </si>
  <si>
    <t>Prototyping &amp; Testing || Quality Assurance || Tech Strategy &amp; Infrastructure || Training &amp; Development || Product Management</t>
  </si>
  <si>
    <t>Mahesh Kulkarni</t>
  </si>
  <si>
    <t>CFO Partner at CFO Bridge</t>
  </si>
  <si>
    <t>CFO Bridge</t>
  </si>
  <si>
    <t>Summary:&amp;nbsp;&lt;/strong&gt;Mahesh is a Chartered Accountant with 30 years of extensive experience, primarily within the manufacturing sectors, including automobiles, pharmaceuticals, industrials, consumer electronics, and auto components. His career encompasses a broad range of functions such as business partnering, systems and process improvements, management information systems, ERP implementation, fund management, cost management, financial reporting, and audit and tax management for both Indian and multinational corporate groups. Passionate about the Indian startup ecosystem, Mahesh also contributes as a Mentor and Angel Investor.&lt;/p&gt;&lt;p&gt;&lt;br&gt;&lt;/p&gt;Core Expertise :&lt;/strong&gt;&lt;/p&gt;&lt;ul&gt;&lt;li&gt;&lt;strong&gt;Business Partnering&lt;/strong&gt;: Collaborating with business units to drive strategic financial decisions and support operational goals.&lt;/li&gt;&lt;li&gt;&lt;strong&gt;Systems &amp;amp; Process Improvements&lt;/strong&gt;: Enhancing business processes and systems to increase efficiency and effectiveness.&lt;/li&gt;&lt;li&gt;&lt;strong&gt;Management Information Systems (MIS)&lt;/strong&gt;: Developing and maintaining systems for accurate and timely management information.&lt;/li&gt;&lt;li&gt;&lt;strong&gt;ERP Implementation&lt;/strong&gt;: Overseeing the deployment of Enterprise Resource Planning systems to integrate business processes.&lt;/li&gt;&lt;li&gt;&lt;strong&gt;Fund Management&lt;/strong&gt;: Managing financial resources effectively to support organizational objectives and growth.&lt;/li&gt;&lt;li&gt;&lt;strong&gt;Cost Management&lt;/strong&gt;: Analyzing and controlling costs to optimize financial performance.&lt;/li&gt;&lt;li&gt;&lt;strong&gt;Financial Reporting&lt;/strong&gt;: Preparing and presenting financial reports to ensure transparency and compliance.&lt;/li&gt;&lt;li&gt;&lt;strong&gt;Audit &amp;amp; Tax Management&lt;/strong&gt;: Conducting audits and managing tax-related functions to meet regulatory requirements and minimize liabilities.&lt;/li&gt;&lt;/ul&gt;&lt;p&gt;&lt;br&gt;&lt;/p&gt;Strategic Contributions&lt;/strong&gt;&lt;/p&gt;&lt;ul&gt;&lt;li&gt;&lt;strong&gt;Business Systems Optimization&lt;/strong&gt;: Successfully led initiatives to improve systems and processes across various manufacturing sectors, resulting in enhanced operational efficiency.&lt;/li&gt;&lt;li&gt;&lt;strong&gt;ERP Projects&lt;/strong&gt;: Managed multiple ERP implementation projects, driving successful integration and system adoption within organizations.&lt;/li&gt;&lt;li&gt;&lt;strong&gt;Financial Oversight&lt;/strong&gt;: Provided critical financial oversight and fund management, contributing to the stability and growth of multinational corporate groups.&lt;/li&gt;&lt;/ul&gt;&lt;p&gt;&lt;br&gt;&lt;/p&gt;Mentorship Philosophy: &lt;/strong&gt;Mahesh’s mentorship approach focuses on leveraging his extensive experience in financial management and process improvement to guide startups through their growth phases. He emphasizes practical solutions, strategic financial planning, and the importance of robust systems and processes in building sustainable businesses. His passion for the startup ecosystem fuels his commitment to providing actionable insights and support to emerging entrepreneurs. Success Stories: To be updated&lt;/p&gt;</t>
  </si>
  <si>
    <t>https://www.linkedin.com/in/mahesh-kulkarni-2126162a</t>
  </si>
  <si>
    <t>maheshsku@gmail.com</t>
  </si>
  <si>
    <t>Angel Investing || Audit &amp; Compliance || Budgeting &amp; Financial Modeling || Cost Management || Fundraising || Pricing Strategy || Process Optimization || Tax Incentives || Angel Investing || Audit &amp; Compliance || Budgeting &amp; Financial Modeling || Cost Management || Fundraising || Pricing Strategy || Process Optimization || Tax Incentives || Angel Investing || Audit &amp; Compliance || Budgeting &amp; Financial Modeling || Cost Management || Fundraising || Pricing Strategy || Process Optimization || Tax Incentives || Angel Investing || Audit &amp; Compliance || Budgeting &amp; Financial Modeling || Cost Management || Fundraising || Pricing Strategy || Process Optimization || Tax Incentives || Angel Investing || Audit &amp; Compliance || Budgeting &amp; Financial Modeling || Cost Management || Fundraising || Pricing Strategy || Process Optimization || Tax Incentives || Angel Investing || Audit &amp; Compliance || Budgeting &amp; Financial Modeling || Cost Management || Fundraising || Pricing Strategy || Process Optimization || Tax Incentives || Business Finance || Investing</t>
  </si>
  <si>
    <t>Automobiles &amp; Auto Components || Automobiles &amp; Auto Components || Automobiles &amp; Auto Components || Automobiles &amp; Auto Components || Automobiles &amp; Auto Components || Automobiles &amp; Auto Components || Automobiles &amp; Auto Components || Automobiles &amp; Auto Components || Consumer Products || Consumer Products || Consumer Products || Consumer Products || Consumer Products || Consumer Products || Consumer Products || Consumer Products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Automobiles &amp; Auto Components || Automobiles &amp; Auto Components || Automobiles &amp; Auto Components || Automobiles &amp; Auto Components || Automobiles &amp; Auto Components || Automobiles &amp; Auto Components || Automobiles &amp; Auto Components || Automobiles &amp; Auto Components || Consumer Products || Consumer Products || Consumer Products || Consumer Products || Consumer Products || Consumer Products || Consumer Products || Consumer Products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Fintech, Banking, Financial Services</t>
  </si>
  <si>
    <t>Mahesh Natarajan</t>
  </si>
  <si>
    <t>Intellikart Ventures Partner</t>
  </si>
  <si>
    <t>Summary:
Mahesh is a dynamic first-generation entrepreneur and transformational leader with expertise in management consulting, foreign direct investment (FDI), trade, go-to-market (GTM) strategies, public policy, international expansion, business strategy, technology, talent management, and market development. As a change catalyst, Mahesh is passionate about solving societal challenges through innovation, technology, and strategic leadership, driving sustainable growth across diverse sectors including government, PSUs, BFSI, infrastructure, defense, transit mobility, and electric vehicles (EVs).
Core Expertise:
Economic Development &amp; Market Expansion:
Enabling organizations to enter and scale in new markets through tailored GTM strategies, investment promotion, and trade facilitation. Specializes in FDI attraction and works closely with governments and economic development organizations (EDOs).
Talent Advisory &amp; Workforce Solutions:
Leading innovative recruitment solutions through हम - HUM (Hyperlinking Unmatched Minds), an AI-driven platform leveraging IntelliScore assessments and market insights to revolutionize talent matchmaking.
Digital Transformation:
Successfully delivering large-scale ICT projects for state/central governments, PSUs, Smart Cities, and integrated digital infrastructure.
Policy &amp; Strategy:
Designing impactful policies in skilling, employment, EV adoption, startups, and trade promotion to create long-term value and societal impact.
Sustainable Mobility:
Advocating for EV adoption, building robust charging infrastructure, and championing future-ready transit systems.
Technology Solutions:
Expertise in cloud engineering, process automation, data analytics, blockchain, and AI-based systems to drive innovation and operational excellence.
Global Procurement:
Skilled in adhering to procurement guidelines by international organizations such as the World Bank, ADB, WHO, UNCTAD, and MeitY.
Problem-Solving Approach:
Mahesh adopts a holistic and data-driven approach, combining strategic insights with cutting-edge technology to address complex challenges. By fostering collaboration with key stakeholders, he develops scalable and impactful solutions that align with organizational objectives and societal needs.
Impactful Projects:
Spearheaded Smart City projects integrating ICT and transit mobility for improved urban infrastructure.
Launched an AI-driven talent platform revolutionizing workforce planning and recruitment.
Bridged international trade gaps, facilitating multi-million-dollar FDI projects.
Developed transformative policies boosting EV infrastructure and adoption at scale.
Led digital transformation initiatives for PSUs, enhancing efficiency and scalability.
Consultation Style:
Mahesh’s consultation style is collaborative and hands-on. He prioritizes understanding client challenges deeply and tailoring solutions that align with long-term goals. His focus on innovation, sustainability, and strategic alignment ensures meaningful and measurable outcomes.
HR Tech, HRTech</t>
  </si>
  <si>
    <t>https://www.linkedin.com/in/maheshnatarajan2017/</t>
  </si>
  <si>
    <t>mahesh@ingressgc.com</t>
  </si>
  <si>
    <t>Fundraising || Go to Market Strategy || Fundraising || Go to Market Strategy || Fundraising || Go to Market Strategy || Fundraising || Go to Market Strategy || Fundraising || Go to Market Strategy || Fundraising || Go to Market Strategy || Go to Market Strategy || HR Consulting</t>
  </si>
  <si>
    <t>Energy &amp; Renewable Resources || Energy &amp; Renewable Resources || Environment, Sustainability &amp; Governance (ESG) || Environment, Sustainability &amp; Governance (ESG) || Transportation &amp; Logistics || Transportation &amp; Logistics || Energy &amp; Renewable Resources || Energy &amp; Renewable Resources || Environment, Sustainability &amp; Governance (ESG) || Environment, Sustainability &amp; Governance (ESG) || Transportation &amp; Logistics || Transportation &amp; Logistics || Software &amp; IT Services</t>
  </si>
  <si>
    <t>Makarand Velankar</t>
  </si>
  <si>
    <t>Associate Professor and Head Preincubation center at MKSSS Cummins College of Engineering for Women</t>
  </si>
  <si>
    <t>MKSSS Cummins College of Engineering for Women</t>
  </si>
  <si>
    <t>Summary:&lt;/strong&gt;&lt;/p&gt;&lt;p&gt;Mr. Makarand began his career by assisting in his family's electrical services business and then progressed through various roles in Swifts Limited, from Design Manager to Regional Manager and All India Manager. With 11 years in Product Management development and marketing, he now serves as an Assistant Professor at MKSS's Cummins College of Engineering for Women, where he has been teaching for the past 20 years. Holding a PhD in Computational Musicology, Mr. Makarand is also involved in mentoring student startups and advising new ventures and established companies.&lt;/p&gt;&lt;p&gt;&lt;br&gt;&lt;/p&gt;Key Areas of Expertise:&lt;/strong&gt;&lt;/p&gt;&lt;ul&gt;&lt;li&gt;Product Management Development&lt;/li&gt;&lt;li&gt;Marketing Strategy&lt;/li&gt;&lt;li&gt;Business Analytics&lt;/li&gt;&lt;li&gt;Entrepreneurship Education&lt;/li&gt;&lt;li&gt;Computational Musicology&lt;/li&gt;&lt;li&gt;Mentoring Startups&lt;/li&gt;&lt;/ul&gt;&lt;p&gt;&lt;br&gt;&lt;/p&gt;Strategic Contributions:&lt;/strong&gt;&lt;/p&gt;&lt;ul&gt;&lt;li&gt;Oversaw Product Management development and marketing strategies at Swifts Limited.&lt;/li&gt;&lt;li&gt;Assisted in setting up new ventures and supported growth for established companies.&lt;/li&gt;&lt;li&gt;Contributed to entrepreneurship education and mentoring at MKSS’s Cummins College of Engineering.&lt;/li&gt;&lt;/ul&gt;</t>
  </si>
  <si>
    <t>https://www.linkedin.com/in/makarand-velankar-6a64b815/</t>
  </si>
  <si>
    <t>makarand.velankar@cumminscollege.in</t>
  </si>
  <si>
    <t>Business Model Development || Market access || Market research || Training &amp; Development || Business Model Development || Market access || Market research || Training &amp; Development || Entrepreneurship Coaching</t>
  </si>
  <si>
    <t>AI, Big Data &amp; Analytics || AI, Big Data &amp; Analytics || AI, Big Data &amp; Analytics || AI, Big Data &amp; Analytics || AI, Big Data &amp; Analytics || AI, Big Data &amp; Analytics || AI, Big Data &amp; Analytics || AI, Big Data &amp; Analytics || Education &amp; Training</t>
  </si>
  <si>
    <t>Manan Bhatt</t>
  </si>
  <si>
    <t>Startup Engagement, PwC India</t>
  </si>
  <si>
    <t>PwC India</t>
  </si>
  <si>
    <t>Manan Bhatt is a seasoned business development and marketing professional who has transitioned from corporate roles to entrepreneurship. His founding of Potent demonstrates his expertise in B2B growth marketing and his ability to build scalable, client-focused ventures. With experience across eCommerce, digital engagement, and strategic partnerships, he brings a comprehensive approach to helping businesses grow and scale.
Core Competencies
Business Development - Client acquisition and retention strategies
Client Servicing - Strong client relationship management
Strategic Partnerships - Building and maintaining business partnerships
Digital Engagement - Digital marketing and online presence
Growth Marketing - B2B and services company growth strategies
Creative Strategy - Brand and creative solutions
eCommerce - Online business optimization and consulting
Team Leadership - Managing and scaling business operations</t>
  </si>
  <si>
    <t>https://www.linkedin.com/in/mananbhatt42</t>
  </si>
  <si>
    <t>Mananbhatt42@gmail.com</t>
  </si>
  <si>
    <t>Branding || Go to Market Strategy || Growth Strategy Formulation || Product Development || Prototyping &amp; Testing || Sales Strategy || Strategic Planning || Training &amp; Development || Branding || Go to Market Strategy || Growth Strategy Formulation || Product Development || Prototyping &amp; Testing || Sales Strategy || Strategic Planning || Training &amp; Development || Branding || Go to Market Strategy || Growth Strategy Formulation || Product Development || Prototyping &amp; Testing || Sales Strategy || Strategic Planning || Training &amp; Development || Branding || Go to Market Strategy || Growth Strategy Formulation || Product Development || Prototyping &amp; Testing || Sales Strategy || Strategic Planning || Training &amp; Development || Branding || Go to Market Strategy || Growth Strategy Formulation || Product Development || Prototyping &amp; Testing || Sales Strategy || Strategic Planning || Training &amp; Development || Branding || Go to Market Strategy || Growth Strategy Formulation || Product Development || Prototyping &amp; Testing || Sales Strategy || Strategic Planning || Training &amp; Development || Branding || Go to Market Strategy || Growth Strategy Formulation || Product Development || Prototyping &amp; Testing || Sales Strategy || Strategic Planning || Training &amp; Development || Branding || Go to Market Strategy || Growth Strategy Formulation || Product Development || Prototyping &amp; Testing || Sales Strategy || Strategic Planning || Training &amp; Development || Entrepreneurship Coaching || Business Model Development</t>
  </si>
  <si>
    <t>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Venture Funding</t>
  </si>
  <si>
    <t>Manasi Sangekar</t>
  </si>
  <si>
    <t>Mentor/coach for Social Entrepreneurs at Surge Impact &amp; UnLtd India</t>
  </si>
  <si>
    <t>Surge Impact &amp; UnLtd India</t>
  </si>
  <si>
    <t>Summary:&lt;/strong&gt;&lt;/p&gt;&lt;p&gt;Ms. Manasi is a dynamic professional with extensive experience in Programme Management, Operations, and Community Development. She excels in coaching and mentoring social entrepreneurs, leveraging interactive and hands-on approaches to facilitate learning and application of concepts. As a mentor and coach for social entrepreneurs at Surge Impact and UnLtd India, she empowers individuals to drive impactful change and growth in their ventures.&lt;/p&gt;&lt;p&gt;&lt;br&gt;&lt;/p&gt;Key Areas of Expertise:&lt;/strong&gt;&lt;/p&gt;&lt;ul&gt;&lt;li&gt;&lt;strong&gt;Programme Management&lt;/strong&gt;: Expertise in overseeing and managing complex programs and projects.&lt;/li&gt;&lt;li&gt;&lt;strong&gt;Operations&lt;/strong&gt;: Skilled in optimizing operational processes for efficiency and effectiveness.&lt;/li&gt;&lt;li&gt;&lt;strong&gt;Community Development&lt;/strong&gt;: Experience in fostering community growth and engagement.&lt;/li&gt;&lt;li&gt;&lt;strong&gt;Coaching and Mentoring&lt;/strong&gt;: Focused on guiding social entrepreneurs and youth through interactive and practical methods.&lt;/li&gt;&lt;/ul&gt;&lt;p&gt;&lt;br&gt;&lt;/p&gt;Strategic Contributions:&lt;/strong&gt;&lt;/p&gt;&lt;ul&gt;&lt;li&gt;&lt;strong&gt;Social Entrepreneurship&lt;/strong&gt;: Mentored and supported social entrepreneurs at Surge Impact and UnLtd India, facilitating their growth and impact.&lt;/li&gt;&lt;li&gt;&lt;strong&gt;Youth Facilitation&lt;/strong&gt;: Utilized interactive discussions and hands-on approaches to help youth learn and apply concepts effectively.&lt;/li&gt;&lt;/ul&gt;&lt;p&gt;&lt;br&gt;&lt;/p&gt;Mentorship Philosophy:&lt;/strong&gt;&lt;/p&gt;&lt;p&gt;Ms. Manasi believes in empowering individuals through interactive and practical learning methods. She focuses on guiding social entrepreneurs and youth by providing real-world insights and fostering an environment of growth and application.&lt;/p&gt;&lt;p&gt;&lt;br&gt;&lt;/p&gt;Success Stories:&lt;/strong&gt;&lt;/p&gt;&lt;ul&gt;&lt;li&gt;&lt;strong&gt;Surge Impact &amp;amp; UnLtd India&lt;/strong&gt;: Successfully mentored social entrepreneurs, contributing to their development and the impact of their ventures.&lt;/li&gt;&lt;li&gt;&lt;strong&gt;Youth Coaching&lt;/strong&gt;: Effectively used hands-on approaches to facilitate learning and application for young learners.&lt;/li&gt;&lt;/ul&gt;</t>
  </si>
  <si>
    <t>https://www.linkedin.com/in/manasi-sangekar-1136554/</t>
  </si>
  <si>
    <t>manasi.as@gmail.com</t>
  </si>
  <si>
    <t>Business Model Development || Customer Relationship Management || Market research || Organizational Development || Strategic Planning || Team building || HR Consulting</t>
  </si>
  <si>
    <t>Social Enterprise || Social Enterprise || Social Enterprise || Social Enterprise || Social Enterprise || Social Enterprise || Social &amp; Community Services</t>
  </si>
  <si>
    <t>Manjunath Gowda</t>
  </si>
  <si>
    <t>Product Management, Business and Engineering Leader at Twigaa.ai</t>
  </si>
  <si>
    <t>Twigaa.ai</t>
  </si>
  <si>
    <t>Summary:&lt;/strong&gt;&lt;/p&gt;&lt;p&gt;Manjunath is a distinguished Product Management, Business, and Engineering Leader with 29 years of experience, currently serving as the Co-Founder of Twigaa.ai. A 4x serial entrepreneur with successful exits, he has built a robust reputation in SaaS, AI, TravelTech, and API evangelism. As a former Director of Product Management Management at Freshworks, Manjunath excelled in overseeing the Developer Platform and Apps Marketplace, driving innovation and significantly enhancing customer and developer experiences across key Product Managements such as Freshdesk, Freshservice, and Freshsales.&lt;/p&gt;&lt;p&gt;&lt;br&gt;&lt;/p&gt;Core Expertise:&lt;/strong&gt;&lt;/p&gt;&lt;p&gt;Manjunath specializes in Product Management, SaaS in various verticals, AI-driven innovations, and TravelTech. He is particularly skilled in guiding businesses from concept to Product Management-market fit, applying his deep expertise in leveraging low-code/no-code solutions, AI technologies, and advanced APIs. His role as an iSpirt Volunteer further highlights his commitment to fostering innovation in the tech ecosystem.&lt;/p&gt;&lt;p&gt;&lt;br&gt;&lt;/p&gt;Problem-Solving Approach:&lt;/strong&gt;&lt;/p&gt;&lt;p&gt;Manjunath’s approach to problem-solving is rooted in a deep understanding of customer needs and a focus on enhancing the user experience. At Freshworks, he spearheaded the development of the Freddy Co-Pilot for developers, utilizing ChatGPT and other advanced language models to simplify the development process. His strategy involves a hands-on approach to Product Management management, integrating cutting-edge technologies like Machine Learning (ML) and Natural Language Processing (NLP) to drive impactful solutions.&lt;/p&gt;&lt;p&gt;&lt;br&gt;&lt;/p&gt;Impactful Projects:&lt;/strong&gt;&lt;/p&gt;&lt;p&gt;At Freshworks, Manjunath led the successful implementation of several key features that boosted app adoption, reduced churn, and drove significant revenue growth. His leadership in developing the app backend platform and launching innovative initiatives like low-code/no-code experiences has left a lasting impact on the marketplace. Additionally, during his tenure at ISG, he played a pivotal role in developing the FinOps and Contract Extraction modules for GovernX, a platform that has transformed IT contract research and governance for large corporations.&lt;/p&gt;&lt;p&gt;&lt;br&gt;&lt;/p&gt;Consultation Style:&lt;/strong&gt;&lt;/p&gt;&lt;p&gt;Manjunath is a collaborative leader who believes in building comfort outside the comfort zone. His consultation style is characterized by a deep commitment to understanding the dynamics of each situation and customizing his approach to meet the unique needs of his clients. Whether guiding startups to scale or helping established businesses innovate, Manjunath is a trusted partner in driving strategic growth and technological advancement.&lt;/p&gt;</t>
  </si>
  <si>
    <t>https://www.linkedin.com/in/manjunathgowda/</t>
  </si>
  <si>
    <t>manju.bcsi@gmail.com</t>
  </si>
  <si>
    <t>Go to Market Strategy || Product Development || Tech Strategy &amp; Infrastructure || Go to Market Strategy || Product Development || Tech Strategy &amp; Infrastructure || Go to Market Strategy || Product Development || Tech Strategy &amp; Infrastructure || Go to Market Strategy || Product Development || Tech Strategy &amp; Infrastructure || Go to Market Strategy || Product Development || Tech Strategy &amp; Infrastructure || Go to Market Strategy || Product Development || Tech Strategy &amp; Infrastructure || Product Management || Software Development</t>
  </si>
  <si>
    <t>AI, Big Data &amp; Analytics || AI, Big Data &amp; Analytics || AI, Big Data &amp; Analytics || Technology &amp; Innovation || Technology &amp; Innovation || Technology &amp; Innovation || Tourism &amp; Hospitality || Tourism &amp; Hospitality || Tourism &amp; Hospitality || AI, Big Data &amp; Analytics || AI, Big Data &amp; Analytics || AI, Big Data &amp; Analytics || Technology &amp; Innovation || Technology &amp; Innovation || Technology &amp; Innovation || Tourism &amp; Hospitality || Tourism &amp; Hospitality || Tourism &amp; Hospitality || Software &amp; IT Services || Deeptech</t>
  </si>
  <si>
    <t>Manohar Lal</t>
  </si>
  <si>
    <t>CEO at EPIC TBI -COE</t>
  </si>
  <si>
    <t>EPIC TBI -COE</t>
  </si>
  <si>
    <t>Summary:&lt;/strong&gt;&lt;/p&gt;&lt;p&gt;Mr. Manohar is a seasoned professional with over 11 years in incubation development, market assessment, and proposal writing, complemented by 6 years in entrepreneurship and startup development. As the CEO at EPIC TBI - COE, he leads a technology business incubator under the NIDHI TBI scheme. His expertise spans startup development, fundraising, IPR, grant writing, and technology incubator management. Mr. Manohar is dedicated to fostering innovation and supporting entrepreneurial ventures through strategic guidance and comprehensive support services.&lt;/p&gt;&lt;p&gt;&lt;br&gt;&lt;/p&gt;Key Areas of Expertise:&lt;/strong&gt;&lt;/p&gt;&lt;ul&gt;&lt;li&gt;&lt;strong&gt;Incubation Development&lt;/strong&gt;: Leading technology business incubators and supporting startup growth.&lt;/li&gt;&lt;li&gt;&lt;strong&gt;Startup Development&lt;/strong&gt;: Expertise in fundraising, IPR, and grant writing.&lt;/li&gt;&lt;li&gt;&lt;strong&gt;Market Assessment&lt;/strong&gt;: Proficient in market analysis and proposal writing.&lt;/li&gt;&lt;li&gt;&lt;strong&gt;Training and Administration&lt;/strong&gt;: Experience in training and managing incubation activities.&lt;/li&gt;&lt;/ul&gt;&lt;p&gt;&lt;br&gt;&lt;/p&gt;Strategic Contributions:&lt;/strong&gt;&lt;/p&gt;&lt;ul&gt;&lt;li&gt;&lt;strong&gt;Technology Business Incubator Management&lt;/strong&gt;: Oversees EPIC TBI - COE, focusing on startup development, networking, and technology-based centers.&lt;/li&gt;&lt;li&gt;&lt;strong&gt;Fundraising and Grant Writing&lt;/strong&gt;: Successfully raised funds and managed grants to support incubator and startup activities.&lt;/li&gt;&lt;li&gt;&lt;strong&gt;Innovation and Venture Development&lt;/strong&gt;: Facilitates the growth of startups through strategic planning and support.&lt;/li&gt;&lt;/ul&gt;</t>
  </si>
  <si>
    <t>https://www.linkedin.com/in/mlal-ceo/</t>
  </si>
  <si>
    <t>Ambala</t>
  </si>
  <si>
    <t>sharma.manohar@gmail.com</t>
  </si>
  <si>
    <t>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Budgeting &amp; Financial Modeling || Business Model Development || Fundraising || Market access || Market research || Research Partnerships || Strategic Planning || Team building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</si>
  <si>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FinTech || FinTech || FinTech || FinTech || FinTech || FinTech || FinTech || FinTech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FinTech || FinTech || FinTech || FinTech || FinTech || FinTech || FinTech || FinTech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Education &amp; Training</t>
  </si>
  <si>
    <t>Manoj Arora</t>
  </si>
  <si>
    <t>Founding Member</t>
  </si>
  <si>
    <t xml:space="preserve">Strategica Bizz Solutions, Crest Innovations Foundation </t>
  </si>
  <si>
    <t>Summary&lt;/strong&gt;&lt;/p&gt;&lt;p&gt;Mr. Manoj brings 27 years of experience in business and Product Management innovation, technology evaluation, and startup mentoring. Currently serving on boards with the Ministry of Electronics and Information Technology Incubation, Abhyuday IIT Bombay, and Startup India, he excels in creating technology visions, managing budgets, and developing IT infrastructures using Agile and Scrum methodologies. His expertise spans SaaS, IaaS, PaaS, IoT, AI, machine learning, and VR/AR. He has worked across various industries, including retail, fintech, and healthcare, and is skilled in business automation, disaster recovery, and data security. His role includes startup incubation, Product Management innovation, and technology strategy.&lt;/p&gt;&lt;p&gt;&lt;br&gt;&lt;/p&gt;Core Expertise&lt;/strong&gt;&lt;/p&gt;&lt;ul&gt;&lt;li&gt;&lt;strong&gt;Business and Product Management Innovation&lt;/strong&gt;&lt;/li&gt;&lt;li&gt;&lt;strong&gt;Startup Mentoring and Incubation&lt;/strong&gt;&lt;/li&gt;&lt;li&gt;&lt;strong&gt;Technology and IT Vision Creation&lt;/strong&gt;&lt;/li&gt;&lt;li&gt;&lt;strong&gt;Agile and Scrum Methodologies&lt;/strong&gt;&lt;/li&gt;&lt;li&gt;&lt;strong&gt;SaaS, IaaS, PaaS Platforms&lt;/strong&gt;&lt;/li&gt;&lt;li&gt;&lt;strong&gt;IoT, AI, Machine Learning, VR/AR&lt;/strong&gt;&lt;/li&gt;&lt;li&gt;&lt;strong&gt;Data Security and Compliance&lt;/strong&gt;&lt;/li&gt;&lt;li&gt;&lt;strong&gt;Business Automation and Digitization&lt;/strong&gt;&lt;/li&gt;&lt;li&gt;&lt;strong&gt;Infrastructure Management&lt;/strong&gt;&lt;/li&gt;&lt;/ul&gt;&lt;p&gt;&lt;br&gt;&lt;/p&gt;Problem Solving Approach&lt;/strong&gt;&lt;/p&gt;&lt;ul&gt;&lt;li&gt;&lt;strong&gt;Techno-Business Integration&lt;/strong&gt;: Combines technology and business insights to develop innovative solutions and strategies for startups and established businesses.&lt;/li&gt;&lt;li&gt;&lt;strong&gt;Holistic Infrastructure Design&lt;/strong&gt;: Focuses on creating comprehensive IT and technology roadmaps, including disaster recovery and business continuity planning.&lt;/li&gt;&lt;/ul&gt;&lt;p&gt;&lt;br&gt;&lt;/p&gt;Impactful Projects&lt;/strong&gt;&lt;/p&gt;&lt;ul&gt;&lt;li&gt;&lt;strong&gt;Startup Incubation and Mentoring&lt;/strong&gt;: Guided and supported numerous startups through incubation, idea evaluation, and Product Management monetization.&lt;/li&gt;&lt;li&gt;&lt;strong&gt;Industry-Wide Applications&lt;/strong&gt;: Developed and managed applications across diverse sectors, including retail, fintech, healthcare, and more, utilizing advanced technologies and frameworks.&lt;/li&gt;&lt;/ul&gt;</t>
  </si>
  <si>
    <t>https://www.linkedin.com/in/manojarora1/</t>
  </si>
  <si>
    <t>manoj@crestinnovations.com</t>
  </si>
  <si>
    <t>Business Model Development || Deep Tech (Blockchain, AI, Robotics, AR/VR) || Market research || Process Optimization || Product Development || Tech Strategy &amp; Infrastructure || Business Model Development || Deep Tech (Blockchain, AI, Robotics, AR/VR) || Market research || Process Optimization || Product Development || Tech Strategy &amp; Infrastructure || Business Model Development || Deep Tech (Blockchain, AI, Robotics, AR/VR) || Market research || Process Optimization || Product Development || Tech Strategy &amp; Infrastructure || Business Model Development || Deep Tech (Blockchain, AI, Robotics, AR/VR) || Market research || Process Optimization || Product Development || Tech Strategy &amp; Infrastructure || Product Management || Business Model Development</t>
  </si>
  <si>
    <t>AI, Big Data &amp; Analytics || AI, Big Data &amp; Analytics || AI, Big Data &amp; Analytics || AI, Big Data &amp; Analytics || AI, Big Data &amp; Analytics || AI, Big Data &amp; Analytics || Technology &amp; Innovation || Technology &amp; Innovation || Technology &amp; Innovation || Technology &amp; Innovation || Technology &amp; Innovation || Technology &amp; Innovation || AI, Big Data &amp; Analytics || AI, Big Data &amp; Analytics || AI, Big Data &amp; Analytics || AI, Big Data &amp; Analytics || AI, Big Data &amp; Analytics || AI, Big Data &amp; Analytics || Technology &amp; Innovation || Technology &amp; Innovation || Technology &amp; Innovation || Technology &amp; Innovation || Technology &amp; Innovation || Technology &amp; Innovation || Software &amp; IT Services</t>
  </si>
  <si>
    <t>Manoj Barot</t>
  </si>
  <si>
    <t>Co-Founder at BridgeLabz</t>
  </si>
  <si>
    <t>BridgeLabz</t>
  </si>
  <si>
    <t>Summary:&lt;/strong&gt;&lt;/p&gt;&lt;p&gt;Manoj is a seasoned Marketing Director with over 23 years of experience across FMCG, consumer, and internet businesses. He is currently a co-Founder at BridgeLabz, where he focuses on bridging the gap in tech talent by helping aspiring coders gain the confidence and skills they need to succeed. His extensive background includes strong expertise in business planning, sales, people management, market research, and digital commerce.&lt;/p&gt;&lt;p&gt;&lt;br&gt;&lt;/p&gt;Core Expertise:&lt;/strong&gt;&lt;/p&gt;&lt;p&gt;Manoj specializes in digital commerce, FMCG, EdTech, and online reputation management. His experience spans go-to-market strategies, new Product Management launches, lifecycle marketing, and both B2B and B2C digital funnels.&lt;/p&gt;&lt;p&gt;&lt;br&gt;&lt;/p&gt;Problem-Solving Approach:&lt;/strong&gt;&lt;/p&gt;&lt;p&gt;Manoj’s approach to problem-solving involves leveraging his vast experience to create strategic marketing and sales plans that drive growth. At BridgeLabz, he has played a pivotal role in developing a unique maker approach that upskills talent through experiential learning, ensuring they are job-ready and tailored to meet the specific needs of top tech companies.&lt;/p&gt;&lt;p&gt;&lt;br&gt;&lt;/p&gt;Impactful Projects:&lt;/strong&gt;&lt;/p&gt;&lt;p&gt;At BridgeLabz, Manoj has contributed to the success of over 500 top tech companies, including Mphasis, ThoughtWorks, Turtlemint, and Urban Ladder, by delivering highly skilled, custom-trained tech talent. His work has significantly reduced the time to Product Managementivity and improved ROI for these companies.&lt;/p&gt;&lt;p&gt;&lt;br&gt;&lt;/p&gt;Consultation Style:&lt;/strong&gt;&lt;/p&gt;&lt;p&gt;Manoj’s consultation style is rooted in practical experience and a deep understanding of market dynamics. He excels at helping businesses navigate digital transformation, launch new Product Managements, and build strong market positions. His focus is on creating impactful, strategic solutions that align with business goals and drive long-term success.&lt;/p&gt;</t>
  </si>
  <si>
    <t>https://www.linkedin.com/in/manojbarot/</t>
  </si>
  <si>
    <t>manoj@bridgelabz.com</t>
  </si>
  <si>
    <t>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Branding || Go to Market Strategy || Performance Management || Talent Acquisition || Training &amp; Development || HR Consulting</t>
  </si>
  <si>
    <t>AI, Big Data &amp; Analytics || AI, Big Data &amp; Analytics || AI, Big Data &amp; Analytics || AI, Big Data &amp; Analytics || AI, Big Data &amp; Analytics || Education &amp; Training || Education &amp; Training || Education &amp; Training || Education &amp; Training || Education &amp; Training || FinTech || FinTech || FinTech || FinTech || FinTech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Transportation &amp; Logistics || Transportation &amp; Logistics || Transportation &amp; Logistics || Transportation &amp; Logistics || Transportation &amp; Logistics || AI, Big Data &amp; Analytics || AI, Big Data &amp; Analytics || AI, Big Data &amp; Analytics || AI, Big Data &amp; Analytics || AI, Big Data &amp; Analytics || Education &amp; Training || Education &amp; Training || Education &amp; Training || Education &amp; Training || Education &amp; Training || FinTech || FinTech || FinTech || FinTech || FinTech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Transportation &amp; Logistics || Transportation &amp; Logistics || Transportation &amp; Logistics || Transportation &amp; Logistics || Transportation &amp; Logistics || HR Services</t>
  </si>
  <si>
    <t>Manu Kumar</t>
  </si>
  <si>
    <t>Marketing &amp; Communications consultant</t>
  </si>
  <si>
    <t>About
Manu Kumar is a senior marketing and brand leader with over 25 years of experience in integrated marketing communications, brand management, public relations, direct marketing, and e-commerce. He has worked across diverse sectors including Telecom, Oil &amp; Gas, Electric Vehicles, IT, E-commerce, and the Not-for-Profit ecosystem.
Currently, Manu mentors startups and SMEs, offering strategic guidance on brand building, go-to-market strategy, marketing communications, and digital growth. He is a Business Mentor with T-Hub and the Wadhwani Foundation, and also serves as a guest faculty at leading business schools.
His leadership roles include heading Marketing and Corporate Communications at Hero Electric Vehicles, leading Marketing for India &amp; South Asia at UTStarcom, and managing Brand Communications for Enterprise Services at Bharti Airtel. Earlier, he worked as Brand Manager at Chevron Texaco and in top advertising agencies, delivering 360-degree campaigns for global brands such as Coca-Cola, Shell, Intel, Microsoft, Sony, MTV, ESPN, and Yamaha.
Specialties: Brand Management, Integrated Marketing Communication, Corporate Communications, Digital Marketing, Go-to-Market Strategy, Strategic Planning</t>
  </si>
  <si>
    <t>https://www.linkedin.com/in/manuk/</t>
  </si>
  <si>
    <t>online.manu@gmail.com</t>
  </si>
  <si>
    <t>Go to Market Strategy || Marketing || Media and PR || Go to Market Strategy || Marketing || Media and PR || Marketing &amp; Branding || Media &amp; PR</t>
  </si>
  <si>
    <t>Automobiles &amp; Auto Components || Automobiles &amp; Auto Components || Automobiles &amp; Auto Components || Telecommunications || Telecommunications || Telecommunications || Automotive &amp; Auto Components || Telecommunications</t>
  </si>
  <si>
    <t>Martin Mysa</t>
  </si>
  <si>
    <t>NEC Mentor at E-Cell, IIT Bombay</t>
  </si>
  <si>
    <t>E-Cell, IIT Bombay</t>
  </si>
  <si>
    <t>Summary:&lt;/strong&gt;&lt;/p&gt;&lt;p&gt;Mr. Martin is a seasoned Professor in Marketing and Entrepreneurship at St. Joseph's Degree &amp;amp; PG College, with over 13 years of experience as a startup mentor, business consultant, and trainer. He is a mentor at NEC and E-Cell, IIT Bombay, where he focuses on fostering an entrepreneurial mindset and promoting innovation. Mr. Martin's expertise lies in building entrepreneurial skills, mentoring startups, and advancing business strategies to drive growth and success.&lt;/p&gt;&lt;p&gt;&lt;br&gt;&lt;/p&gt;Key Areas of Expertise:&lt;/strong&gt;&lt;/p&gt;&lt;ul&gt;&lt;li&gt;&lt;strong&gt;Marketing and Entrepreneurship&lt;/strong&gt;: Teaching and guiding in marketing and entrepreneurial strategies.&lt;/li&gt;&lt;li&gt;&lt;strong&gt;Startup Mentoring&lt;/strong&gt;: Providing mentorship to startups and fostering innovative thinking.&lt;/li&gt;&lt;li&gt;&lt;strong&gt;Business Consulting&lt;/strong&gt;: Offering strategic advice to businesses and entrepreneurs.&lt;/li&gt;&lt;li&gt;&lt;strong&gt;Training and Development&lt;/strong&gt;: Designing and delivering training programs to build entrepreneurial skills.&lt;/li&gt;&lt;/ul&gt;&lt;p&gt;&lt;br&gt;&lt;/p&gt;Strategic Contributions:&lt;/strong&gt;&lt;/p&gt;&lt;ul&gt;&lt;li&gt;&lt;strong&gt;Mentoring&lt;/strong&gt;: Actively involved with NEC and E-Cell, IIT Bombay, guiding startups and promoting entrepreneurial ventures.&lt;/li&gt;&lt;li&gt;&lt;strong&gt;Academic Leadership&lt;/strong&gt;: Contributing to the development of marketing and entrepreneurship curricula at St. Joseph's Degree &amp;amp; PG College.&lt;/li&gt;&lt;li&gt;&lt;strong&gt;Consulting&lt;/strong&gt;: Advising businesses on strategic growth and innovation.&lt;/li&gt;&lt;/ul&gt;</t>
  </si>
  <si>
    <t>https://www.linkedin.com/in/martin-mysa-5977434a/</t>
  </si>
  <si>
    <t>martin.hsbs@gmail.com</t>
  </si>
  <si>
    <t>Business Model Development || Market access || Market research || Marketing || Training &amp; Development || Business Model Development || Market access || Market research || Marketing || Training &amp; Development || Business Model Development || Market access || Market research || Marketing || Training &amp; Development || Entrepreneurship Coaching</t>
  </si>
  <si>
    <t>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Services || Services || Services || Services || Services || Education &amp; Training</t>
  </si>
  <si>
    <t>Maruthi Pathapati</t>
  </si>
  <si>
    <t>Founder Director of Vidcentum Technologies</t>
  </si>
  <si>
    <t>Vidcentum Technologies</t>
  </si>
  <si>
    <t>Summary&lt;/strong&gt;&lt;/p&gt;&lt;p&gt;Maruthi is a highly experienced professional with over 25 years in software development, startup management, and team leadership across various domains including telecom, banking, cloud, IIoT, and AI/ML applications. As the Founder Director of Vidcentum Technologies, he focuses on creating innovative solutions that utilize cutting-edge digital and AI technologies. A Senior Member of IEEE, Mr. Maruthi has held multiple leadership roles within IEEE Hyderabad Section, demonstrating his commitment to technological advancement and community engagement. His expertise in building deep-tech businesses and developing AI/ML talent positions him as a valuable asset in driving business and technological growth.&lt;/p&gt;&lt;p&gt;&lt;br&gt;&lt;/p&gt;Core Expertise&lt;/strong&gt;&lt;/p&gt;&lt;ul&gt;&lt;li&gt;&lt;strong&gt;Software Development and Engineering&lt;/strong&gt;&lt;/li&gt;&lt;li&gt;&lt;strong&gt;Startup Management and Leadership&lt;/strong&gt;&lt;/li&gt;&lt;li&gt;&lt;strong&gt;Telecom, Banking, Cloud, and IIoT Technologies&lt;/strong&gt;&lt;/li&gt;&lt;li&gt;&lt;strong&gt;AI/ML Applications&lt;/strong&gt;&lt;/li&gt;&lt;li&gt;&lt;strong&gt;Product Management and Solution Development&lt;/strong&gt;&lt;/li&gt;&lt;li&gt;&lt;strong&gt;Business Management and Managerial Finances&lt;/strong&gt;&lt;/li&gt;&lt;/ul&gt;&lt;p&gt;&lt;br&gt;&lt;/p&gt;Problem Solving Approach&lt;/strong&gt;&lt;/p&gt;&lt;ul&gt;&lt;li&gt;&lt;strong&gt;Innovative Solutions&lt;/strong&gt;: Leverages advanced digital and AI technologies to develop custom software, cloud platforms, and AI-driven functionalities, ensuring solutions are at the forefront of technological advancements.&lt;/li&gt;&lt;li&gt;&lt;strong&gt;Workforce Development&lt;/strong&gt;: Focuses on nurturing and developing talent in AI/ML to address evolving industry needs.&lt;/li&gt;&lt;/ul&gt;&lt;p&gt;&lt;br&gt;&lt;/p&gt;Impactful Projects&lt;/strong&gt;&lt;/p&gt;&lt;ul&gt;&lt;li&gt;&lt;strong&gt;Vidcentum Technologies&lt;/strong&gt;: Founded and directed a company that crafts solutions using cutting-edge technologies, driving business innovation and efficiency.&lt;/li&gt;&lt;li&gt;&lt;strong&gt;IEEE Hyderabad Section&lt;/strong&gt;: Contributed significantly through various leadership roles, enhancing the organization’s impact and outreach.&lt;/li&gt;&lt;/ul&gt;</t>
  </si>
  <si>
    <t>https://www.linkedin.com/in/maruthi/</t>
  </si>
  <si>
    <t>maruthi@vidcentum.com</t>
  </si>
  <si>
    <t>Budgeting &amp; Financial Modeling || Business Model Development || Deep Tech (Blockchain, AI, Robotics, AR/VR) || Go to Market Strategy || Product Development || Software Development || Tech Strategy &amp; Infrastructure || Budgeting &amp; Financial Modeling || Business Model Development || Deep Tech (Blockchain, AI, Robotics, AR/VR) || Go to Market Strategy || Product Development || Software Development || Tech Strategy &amp; Infrastructure || Budgeting &amp; Financial Modeling || Business Model Development || Deep Tech (Blockchain, AI, Robotics, AR/VR) || Go to Market Strategy || Product Development || Software Development || Tech Strategy &amp; Infrastructure || Budgeting &amp; Financial Modeling || Business Model Development || Deep Tech (Blockchain, AI, Robotics, AR/VR) || Go to Market Strategy || Product Development || Software Development || Tech Strategy &amp; Infrastructure || Budgeting &amp; Financial Modeling || Business Model Development || Deep Tech (Blockchain, AI, Robotics, AR/VR) || Go to Market Strategy || Product Development || Software Development || Tech Strategy &amp; Infrastructure || Budgeting &amp; Financial Modeling || Business Model Development || Deep Tech (Blockchain, AI, Robotics, AR/VR) || Go to Market Strategy || Product Development || Software Development || Tech Strategy &amp; Infrastructure || Budgeting &amp; Financial Modeling || Business Model Development || Deep Tech (Blockchain, AI, Robotics, AR/VR) || Go to Market Strategy || Product Development || Software Development || Tech Strategy &amp; Infrastructure || Budgeting &amp; Financial Modeling || Business Model Development || Deep Tech (Blockchain, AI, Robotics, AR/VR) || Go to Market Strategy || Product Development || Software Development || Tech Strategy &amp; Infrastructure || Budgeting &amp; Financial Modeling || Business Model Development || Deep Tech (Blockchain, AI, Robotics, AR/VR) || Go to Market Strategy || Product Development || Software Development || Tech Strategy &amp; Infrastructure || IT Consulting || Business Finance</t>
  </si>
  <si>
    <t>AI, Big Data &amp; Analytics || AI, Big Data &amp; Analytics || AI, Big Data &amp; Analytics || AI, Big Data &amp; Analytics || AI, Big Data &amp; Analytics || AI, Big Data &amp; Analytics || AI, Big Data &amp; Analytics || Banking &amp; Financial Services || Banking &amp; Financial Services || Banking &amp; Financial Services || Banking &amp; Financial Services || Banking &amp; Financial Services || Banking &amp; Financial Services || Banking &amp; Financial Services || Telecommunications || Telecommunications || Telecommunications || Telecommunications || Telecommunications || Telecommunications || Telecommunications || AI, Big Data &amp; Analytics || AI, Big Data &amp; Analytics || AI, Big Data &amp; Analytics || AI, Big Data &amp; Analytics || AI, Big Data &amp; Analytics || AI, Big Data &amp; Analytics || AI, Big Data &amp; Analytics || Banking &amp; Financial Services || Banking &amp; Financial Services || Banking &amp; Financial Services || Banking &amp; Financial Services || Banking &amp; Financial Services || Banking &amp; Financial Services || Banking &amp; Financial Services || Telecommunications || Telecommunications || Telecommunications || Telecommunications || Telecommunications || Telecommunications || Telecommunications || AI, Big Data &amp; Analytics || AI, Big Data &amp; Analytics || AI, Big Data &amp; Analytics || AI, Big Data &amp; Analytics || AI, Big Data &amp; Analytics || AI, Big Data &amp; Analytics || AI, Big Data &amp; Analytics || Banking &amp; Financial Services || Banking &amp; Financial Services || Banking &amp; Financial Services || Banking &amp; Financial Services || Banking &amp; Financial Services || Banking &amp; Financial Services || Banking &amp; Financial Services || Telecommunications || Telecommunications || Telecommunications || Telecommunications || Telecommunications || Telecommunications || Telecommunications || Software &amp; IT Services</t>
  </si>
  <si>
    <t>Mayank Premi</t>
  </si>
  <si>
    <t>Founder &amp; CEO of PerUse and Beacon Analytics Pvt. LtdBeacon | Director at En Pointe Adwisers</t>
  </si>
  <si>
    <t>PerUse and Beacon Analytics Pvt. LtdBeacon | Director at En Pointe Adwisers</t>
  </si>
  <si>
    <t>Summary:&lt;/strong&gt;&lt;/p&gt;&lt;p&gt;Mayank is the Founder and Director of Beacon Analytics, a company renowned for delivering advanced sales and supply chain solutions to major Indian companies, including four Fortune 500 companies. Under his leadership, Beacon Analytics has developed and implemented business-critical solutions that have significantly enhanced the profitability of its clients. The company's focus on order management across all nodes of the supply chain has led to the integration of various stakeholders into a highly efficient ecosystem.&lt;/p&gt;&lt;p&gt;&lt;br&gt;&lt;/p&gt;Key Areas of Expertise:&lt;/strong&gt;&lt;/p&gt;&lt;ul&gt;&lt;li&gt;&lt;strong&gt;Sales and Supply Chain Solutions:&lt;/strong&gt; Specializes in providing comprehensive solutions that address the entire sales and supply chain spectrum.&lt;/li&gt;&lt;li&gt;&lt;strong&gt;Order Management Systems:&lt;/strong&gt; Expertise in developing and managing systems that streamline order processing and tracking.&lt;/li&gt;&lt;li&gt;&lt;strong&gt;Technology Platform Integration:&lt;/strong&gt; Proficient in integrating various technologies to create cohesive platforms that enhance business operations.&lt;/li&gt;&lt;li&gt;&lt;strong&gt;Ecosystem Development:&lt;/strong&gt; Skilled in building ecosystems that connect brands, distributors, retailers, logistics providers, and credit providers.&lt;/li&gt;&lt;li&gt;&lt;strong&gt;Business-Critical Solution Deployment:&lt;/strong&gt; Focused on implementing solutions directly impacting client profitability and efficiency.&lt;/li&gt;&lt;li&gt;&lt;strong&gt;Profit and Loss Impact Analysis:&lt;/strong&gt; Capable of assessing and improving the financial performance of clients through strategic interventions.&lt;/li&gt;&lt;/ul&gt;&lt;p&gt;&lt;br&gt;&lt;/p&gt;Strategic Contributions:&lt;/strong&gt;&lt;/p&gt;&lt;p&gt;Mayank has led Beacon Analytics in creating innovative solutions that optimize order management for a wide range of stakeholders. His strategic vision has culminated in developing a robust technology platform that enhances the entire supply chain ecosystem, driving efficiency and profitability. Notably, his initiatives have managed over 650,000 primary orders for approximately 5,500 distributors, significantly improving his clients' profit and loss statements.&lt;/p&gt;&lt;p&gt;&lt;br&gt;&lt;/p&gt;Mentorship Philosophy:&lt;/strong&gt;&lt;/p&gt;&lt;p&gt;Mayank's mentoring approach is characterized by a commitment to providing customized, actionable solutions tailored to each business's unique challenges. He advocates for a hands-on, collaborative process involving close interaction with stakeholders to understand their needs and develop targeted strategies thoroughly. By fostering an environment of continuous learning and innovation, Mayank helps businesses achieve sustainable growth and operational excellence.&lt;/p&gt;</t>
  </si>
  <si>
    <t>https://www.linkedin.com/in/mayankpremi/</t>
  </si>
  <si>
    <t>mayank@peruse.co.in</t>
  </si>
  <si>
    <t>Data Analytics || Go to Market Strategy || Supply Chain Management || Data Analytics || Go to Market Strategy || Supply Chain Management || Data Analytics || Go to Market Strategy || Supply Chain Management || Data Analytics</t>
  </si>
  <si>
    <t>Automobiles &amp; Auto Components || Automobiles &amp; Auto Components || Automobiles &amp; Auto Components || FinTech || FinTech || FinTech || Industrial Automation &amp; Manufacturing || Industrial Automation &amp; Manufacturing || Industrial Automation &amp; Manufacturing || Fintech, Banking, Financial Services || Software &amp; IT Services</t>
  </si>
  <si>
    <t>Meghna Bandi</t>
  </si>
  <si>
    <t>Freelance in Entrepreneurship , Softskills and Managerial Economics Trainer. Global Jury member</t>
  </si>
  <si>
    <t>Summary:&lt;/strong&gt;&lt;/p&gt;&lt;p&gt;Ms. Meghna is an accomplished academic and HR professional with around 21 years of teaching experience and 5 years in IT recruitment and HR consulting. She has served as an Associate Professor at Rishi UBR Women's College, and as an Assistant Professor at Aurora's Business School and Villa Marie Degree and PG College, along with a Senior Lecturer role at Avanthi Degree and PG College. With expertise in global entrepreneurship education and consulting, she also excels in soft skills, design thinking, and corporate training, recognized as a Global Jury for the Wadhwani Foundation.&lt;/p&gt;&lt;p&gt;&lt;br&gt;&lt;/p&gt;Key Areas of Expertise:&lt;/strong&gt;&lt;/p&gt;&lt;ul&gt;&lt;li&gt;&lt;strong&gt;Teaching and Academia&lt;/strong&gt;: Extensive experience in teaching at various levels, specializing in entrepreneurship and business education.&lt;/li&gt;&lt;li&gt;&lt;strong&gt;HR Consulting and IT Recruitment&lt;/strong&gt;: Expertise in recruitment, business development, and HR consulting.&lt;/li&gt;&lt;li&gt;&lt;strong&gt;Global Entrepreneurship Education&lt;/strong&gt;: Facilitator and consultant in global entrepreneurship, design thinking, and soft skills training.&lt;/li&gt;&lt;li&gt;&lt;strong&gt;Corporate Training&lt;/strong&gt;: Providing training in professional skills and innovation.&lt;/li&gt;&lt;/ul&gt;&lt;p&gt;&lt;br&gt;&lt;/p&gt;Strategic Contributions:&lt;/strong&gt;&lt;/p&gt;&lt;ul&gt;&lt;li&gt;&lt;strong&gt;Educational Leadership&lt;/strong&gt;: Developed and delivered entrepreneurship curricula and training programs at multiple institutions.&lt;/li&gt;&lt;li&gt;&lt;strong&gt;HR and Recruitment&lt;/strong&gt;: Contributed to recruitment and HR strategies in leading IT firms, enhancing talent acquisition and development processes.&lt;/li&gt;&lt;li&gt;&lt;strong&gt;Global Impact&lt;/strong&gt;: Acted as a global faculty and consultant, impacting entrepreneurship education and professional development worldwide.&lt;/li&gt;&lt;/ul&gt;</t>
  </si>
  <si>
    <t>https://www.linkedin.com/in/meghna-bandi-phd-economics-8735a18/</t>
  </si>
  <si>
    <t>meghnaassocprof@gmail.com (Mentor)
meghnabandi@gmail.com (evaluator)</t>
  </si>
  <si>
    <t>Business Model Development || Market research || Training &amp; Development || Business Model Development || Market research || Training &amp; Development || Business Model Development || Market research || Training &amp; Development || Business Model Development || Market research || Training &amp; Development || Marketing &amp; Branding || Training &amp; Development</t>
  </si>
  <si>
    <t>Education &amp; Training || Education &amp; Training || Education &amp; Training || Services || Services || Services || Education &amp; Training || Education &amp; Training || Education &amp; Training || Services || Services || Services || Education &amp; Training</t>
  </si>
  <si>
    <t>Meghna Joshi</t>
  </si>
  <si>
    <t>Founder, SWAN Livelihood</t>
  </si>
  <si>
    <t>SWAN Livelihood</t>
  </si>
  <si>
    <t>About
Meghna Joshi is a social entrepreneur and founder of SWAN Livelihood, a social enterprise focused on empowering underserved communities through skills development and sustainable livelihood solutions. She is a regenerative leader with expertise in social innovation, inclusive development, and systemic change. Meghna brings practical experience in designing grassroots programs that bridge education and employment, promote women’s empowerment, and drive community transformation. She is a Six Sigma Black Belt, OMLAS Fellow 2025, and an active mentor in social impact ecosystems, supporting changemakers through strategic mentorship and leadership initiatives.</t>
  </si>
  <si>
    <t>https://www.linkedin.com/in/meghna-joshi-a336a4209</t>
  </si>
  <si>
    <t>swanlivelihood@gmail.com</t>
  </si>
  <si>
    <t>Branding || Budgeting &amp; Financial Modeling || Business Model Development || Data Analytics || Digital Marketing || Go to Market Strategy || Growth Strategy Formulation || Marketing || Pitch coaching || Pricing Strategy || Sales Strategy || Social Media Marketing || Supply Chain Management || Training &amp; Development || Branding || Budgeting &amp; Financial Modeling || Business Model Development || Data Analytics || Digital Marketing || Go to Market Strategy || Growth Strategy Formulation || Marketing || Pitch coaching || Pricing Strategy || Sales Strategy || Social Media Marketing || Supply Chain Management || Training &amp; Development || Branding || Budgeting &amp; Financial Modeling || Business Model Development || Data Analytics || Digital Marketing || Go to Market Strategy || Growth Strategy Formulation || Marketing || Pitch coaching || Pricing Strategy || Sales Strategy || Social Media Marketing || Supply Chain Management || Training &amp; Development || Branding || Budgeting &amp; Financial Modeling || Business Model Development || Data Analytics || Digital Marketing || Go to Market Strategy || Growth Strategy Formulation || Marketing || Pitch coaching || Pricing Strategy || Sales Strategy || Social Media Marketing || Supply Chain Management || Training &amp; Development || Entrepreneurship Coaching || HR Consulting</t>
  </si>
  <si>
    <t>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t>
  </si>
  <si>
    <t>Mehul Mehta</t>
  </si>
  <si>
    <t>Founder &amp; Chief Facilitator of Nimedhya People Practices</t>
  </si>
  <si>
    <t>Nimedhya People Practices</t>
  </si>
  <si>
    <t>Summary&lt;/strong&gt;&lt;/p&gt;&lt;p&gt;Mr. Mehul is a seasoned HR professional with over 19 years of experience in HR business partnering, change management, HR systems, and leadership coaching. As the Executive Coach and Chief Facilitator at Nimedhya, he focuses on enhancing strategic leadership and HR practices through executive coaching, cultural transformation, and diversity, equity, and inclusion (DEI) initiatives. He is a Certified MBTI &amp;amp; DISC Practitioner and an ICF Certified Coach, dedicated to fostering a people-focused approach and establishing robust HR systems. His work integrates industry best practices with client-specific needs to advance organizational excellence and inclusivity.&lt;/p&gt;&lt;p&gt;&lt;br&gt;&lt;/p&gt;Core Expertise&lt;/strong&gt;&lt;/p&gt;&lt;ul&gt;&lt;li&gt;&lt;strong&gt;HR Business Partnering&lt;/strong&gt;&lt;/li&gt;&lt;li&gt;&lt;strong&gt;Change Management&lt;/strong&gt;&lt;/li&gt;&lt;li&gt;&lt;strong&gt;HR Systems &amp;amp; Processes&lt;/strong&gt;&lt;/li&gt;&lt;li&gt;&lt;strong&gt;Leadership Coaching &amp;amp; Development&lt;/strong&gt;&lt;/li&gt;&lt;li&gt;&lt;strong&gt;Diversity, Equity, and Inclusion (DEI)&lt;/strong&gt;&lt;/li&gt;&lt;li&gt;&lt;strong&gt;Executive Coaching&lt;/strong&gt;&lt;/li&gt;&lt;li&gt;&lt;strong&gt;Cultural Transformation&lt;/strong&gt;&lt;/li&gt;&lt;/ul&gt;&lt;p&gt;&lt;br&gt;&lt;/p&gt;Problem Solving Approach&lt;/strong&gt;&lt;/p&gt;&lt;ul&gt;&lt;li&gt;&lt;strong&gt;Tailored Solutions&lt;/strong&gt;: Customizes HR practices and leadership development strategies to align with client needs, using industry best practices.&lt;/li&gt;&lt;li&gt;&lt;strong&gt;Inclusivity Focus&lt;/strong&gt;: Promotes diversity and inclusion through cultural transformation and leadership coaching.&lt;/li&gt;&lt;/ul&gt;&lt;p&gt;&lt;br&gt;&lt;/p&gt;Impactful Projects&lt;/strong&gt;&lt;/p&gt;&lt;ul&gt;&lt;li&gt;&lt;strong&gt;Nimedhya&lt;/strong&gt;: Led initiatives to enhance strategic leadership, cultural transformation, and DEI practices, setting new standards in HR and organizational excellence.&lt;/li&gt;&lt;li&gt;&lt;strong&gt;Executive Coaching and Facilitation&lt;/strong&gt;: Focused on developing inclusive leaders and fostering a purpose-driven organizational culture.&lt;/li&gt;&lt;/ul&gt;</t>
  </si>
  <si>
    <t>https://www.linkedin.com/in/mmhrm/</t>
  </si>
  <si>
    <t>mehul-mehta@hotmail.com</t>
  </si>
  <si>
    <t>Organizational Development || Performance Management || Team building || Organizational Development || Performance Management || Team building || Organizational Development || Performance Management || Team building || HR Consulting || Training &amp; Development</t>
  </si>
  <si>
    <t>Others || Others || Others || Others || Others || Others || Others || Others || Others || HR Services</t>
  </si>
  <si>
    <t>Mili Kataria</t>
  </si>
  <si>
    <t>Pandora's Box</t>
  </si>
  <si>
    <t>Summary:&lt;/strong&gt;&lt;/p&gt;&lt;p&gt;Mili is a seasoned entrepreneur with over 24 years of experience in marketing, event management, and banking. She specializes in brand building through a blend of traditional and digital marketing strategies. Mili has worked with renowned organizations such as Stanford, Deshpande Startups, T-Hub, We Hub, and various Atal Incubation Centers (AICs) to assist startups in establishing a strong market presence. Committed to making a daily impact, Mili is dedicated to identifying and supporting deserving Founders and their startups to achieve exceptional growth.&lt;/p&gt;&lt;p&gt;&lt;br&gt;&lt;/p&gt;Key Areas of Expertise:&lt;/strong&gt;&lt;/p&gt;&lt;ul&gt;&lt;li&gt;Brand Building&lt;/li&gt;&lt;li&gt;Traditional Marketing&lt;/li&gt;&lt;li&gt;Digital Marketing&lt;/li&gt;&lt;li&gt;Event Management&lt;/li&gt;&lt;li&gt;Banking&lt;/li&gt;&lt;li&gt;Startup Ecosystem Development&lt;/li&gt;&lt;/ul&gt;&lt;p&gt;&lt;br&gt;&lt;/p&gt;Strategic Contributions:&lt;/strong&gt;&lt;/p&gt;&lt;p&gt;Mili has played a pivotal role in the success of numerous startups by applying her extensive marketing knowledge. She has crafted and implemented comprehensive brand-building strategies that seamlessly blend traditional and digital marketing methods. Her partnerships with leading institutions, such as Stanford and various startup incubators, have provided startups with the necessary support to establish themselves in competitive markets. Mili’s strategic approach ensures that each startup receives customized guidance to maximize its growth potential.&lt;/p&gt;&lt;p&gt;&lt;br&gt;&lt;/p&gt;Mentorship Philosophy:&lt;/strong&gt;&lt;/p&gt;&lt;p&gt;Mili's mentorship philosophy focuses on making a meaningful impact on the lives of Founders and their startups. She emphasizes personalized guidance, helping entrepreneurs navigate their unique challenges. By concentrating on brand building and market positioning, Mili aids startups in developing effective marketing strategies that foster growth and long-term sustainability. Her goal, encapsulated by the hashtag #Impact1FounderAday, showcases her dedication to empowering Founders to reach their business objectives.&lt;/p&gt;</t>
  </si>
  <si>
    <t>https://www.linkedin.com/in/milikataria/</t>
  </si>
  <si>
    <t>info@pandoras-box.in</t>
  </si>
  <si>
    <t>Digital Marketing || Go to Market Strategy || Marketing || Digital Marketing || Go to Market Strategy || Marketing || Digital Marketing || Go to Market Strategy || Marketing || Digital Marketing || Go to Market Strategy || Marketing || Digital Marketing || Go to Market Strategy || Marketing || Digital Marketing || Go to Market Strategy || Marketing || Digital Marketing || Go to Market Strategy || Marketing || Digital Marketing || Go to Market Strategy || Marketing || Digital Marketing || Go to Market Strategy || Marketing || Digital Marketing || Go to Market Strategy || Marketing || Marketing &amp; Branding || Market Research</t>
  </si>
  <si>
    <t>Agriculture &amp; Food Processing || Agriculture &amp; Food Processing || Agriculture &amp; Food Processing || Consumer Products || Consumer Products || Consumer Products || Fashion &amp; Beauty || Fashion &amp; Beauty || Fashion &amp; Beauty || Media, Arts &amp; Entertainment || Media, Arts &amp; Entertainment || Media, Arts &amp; Entertainment || Retail &amp; e-Commerce || Retail &amp; e-Commerce || Retail &amp; e-Commerce || Agriculture &amp; Food Processing || Agriculture &amp; Food Processing || Agriculture &amp; Food Processing || Consumer Products || Consumer Products || Consumer Products || Fashion &amp; Beauty || Fashion &amp; Beauty || Fashion &amp; Beauty || Media, Arts &amp; Entertainment || Media, Arts &amp; Entertainment || Media, Arts &amp; Entertainment || Retail &amp; e-Commerce || Retail &amp; e-Commerce || Retail &amp; e-Commerce || Consumer Products​</t>
  </si>
  <si>
    <t>Mohit Monga</t>
  </si>
  <si>
    <t xml:space="preserve">Vice President of Product Managements </t>
  </si>
  <si>
    <t>Open Network For Digital Commerce (ONDC)</t>
  </si>
  <si>
    <t>Summary:&lt;/strong&gt;&lt;/p&gt;&lt;p&gt;Mohit is a seasoned Product Management and Business Leader with a rich and diverse background in Product Management Management, Business Strategy, Artificial Intelligence, and P&amp;amp;L Management. His expertise spans across Fintech and Deeptech sectors, including Semiconductors and AI. With a proven track record of building and scaling Product Managements in payments, lending, Insuretech, and AI, Mohit is passionate about leveraging finance, technology, and data to create large-scale population impact. Currently, he serves as the VP of Product Managements at ONDC.&lt;/p&gt;&lt;p&gt;&lt;br&gt;&lt;/p&gt;Core Expertise:&lt;/strong&gt;&lt;/p&gt;&lt;ul&gt;&lt;li&gt;&lt;strong&gt;Fintech and Deeptech:&lt;/strong&gt; Extensive experience in the financial technology sector and deep technology, particularly in areas like hardware, AI, and IoT.&lt;/li&gt;&lt;li&gt;&lt;strong&gt;Product Management Strategy and Development:&lt;/strong&gt; Skilled in formulating and executing Product Management strategies, from initial concept (0 to 1 build) to market launch and beyond.&lt;/li&gt;&lt;li&gt;&lt;strong&gt;AI and Analytics:&lt;/strong&gt; Proficient in leveraging artificial intelligence and analytics for innovative Product Management development and enhancement.&lt;/li&gt;&lt;li&gt;&lt;strong&gt;Business Strategy and P&amp;amp;L Management:&lt;/strong&gt; Strong ability to drive business growth through strategic planning and effective P&amp;amp;L management.&lt;/li&gt;&lt;/ul&gt;&lt;p&gt;&lt;br&gt;&lt;/p&gt;Problem-Solving Approach:&lt;/strong&gt;&lt;/p&gt;&lt;p&gt;Mohit’s problem-solving approach involves a blend of strategic foresight and practical execution. He focuses on understanding market needs and technological trends to develop innovative solutions that address real-world challenges. By combining his deep technical knowledge with a keen business acumen, Mohit is adept at guiding Product Managements from ideation through to market success, ensuring scalability and sustainability.&lt;/p&gt;&lt;p&gt;&lt;br&gt;&lt;/p&gt;Impactful Projects:&lt;/strong&gt;&lt;/p&gt;&lt;ul&gt;&lt;li&gt;&lt;strong&gt;Product Management Development in Fintech:&lt;/strong&gt; Led the development and scaling of various Product Managements in the payments and lending sectors, significantly enhancing user experience and operational efficiency.&lt;/li&gt;&lt;li&gt;&lt;strong&gt;AI-Driven Innovations:&lt;/strong&gt; Spearheaded the creation of AI-powered solutions in both fintech and deeptech, driving advancements in Insuretech and data analytics.&lt;/li&gt;&lt;li&gt;&lt;strong&gt;Strategic Leadership:&lt;/strong&gt; As VP of Product Managements at ONDC, Mohit has been instrumental in shaping the organization’s Product Management portfolio, fostering innovation, and driving growth across multiple tech domains.&lt;/li&gt;&lt;/ul&gt;&lt;p&gt;&lt;br&gt;&lt;/p&gt;Consultation Style:&lt;/strong&gt;&lt;/p&gt;&lt;p&gt;Mohit adopts a collaborative and results-driven consultation style, focusing on understanding the unique needs and goals of his clients. He works closely with stakeholders to develop tailored strategies that align with their vision and objectives. His approach is characterized by a strong emphasis on innovation, scalability, and market relevance, ensuring that solutions not only meet current demands but also anticipate future challenges.&lt;/p&gt;</t>
  </si>
  <si>
    <t>https://www.linkedin.com/in/mohit-monga/</t>
  </si>
  <si>
    <t>mohitmongadce@gmail.com</t>
  </si>
  <si>
    <t>Angel Investing || Data Analytics || Fundraising || Go to Market Strategy || Product Development || Angel Investing || Data Analytics || Fundraising || Go to Market Strategy || Product Development || Angel Investing || Data Analytics || Fundraising || Go to Market Strategy || Product Development || Angel Investing || Data Analytics || Fundraising || Go to Market Strategy || Product Development || Angel Investing || Data Analytics || Fundraising || Go to Market Strategy || Product Development || Angel Investing || Data Analytics || Fundraising || Go to Market Strategy || Product Development || Angel Investing || Data Analytics || Fundraising || Go to Market Strategy || Product Development || Angel Investing || Data Analytics || Fundraising || Go to Market Strategy || Product Development || Angel Investing || Data Analytics || Fundraising || Go to Market Strategy || Product Development || Angel Investing || Data Analytics || Fundraising || Go to Market Strategy || Product Development || Product Management</t>
  </si>
  <si>
    <t>AI, Big Data &amp; Analytics || AI, Big Data &amp; Analytics || AI, Big Data &amp; Analytics || AI, Big Data &amp; Analytics || AI, Big Data &amp; Analytics || Banking &amp; Financial Services || Banking &amp; Financial Services || Banking &amp; Financial Services || Banking &amp; Financial Services || Banking &amp; Financial Services || CleanTech || CleanTech || CleanTech || CleanTech || CleanTech || FinTech || FinTech || FinTech || FinTech || FinTech || Technology &amp; Innovation || Technology &amp; Innovation || Technology &amp; Innovation || Technology &amp; Innovation || Technology &amp; Innovation || AI, Big Data &amp; Analytics || AI, Big Data &amp; Analytics || AI, Big Data &amp; Analytics || AI, Big Data &amp; Analytics || AI, Big Data &amp; Analytics || Banking &amp; Financial Services || Banking &amp; Financial Services || Banking &amp; Financial Services || Banking &amp; Financial Services || Banking &amp; Financial Services || CleanTech || CleanTech || CleanTech || CleanTech || CleanTech || FinTech || FinTech || FinTech || FinTech || FinTech || Technology &amp; Innovation || Technology &amp; Innovation || Technology &amp; Innovation || Technology &amp; Innovation || Technology &amp; Innovation || Fintech, Banking, Financial Services</t>
  </si>
  <si>
    <t>Mukul Agarwal</t>
  </si>
  <si>
    <t>Senior Partner</t>
  </si>
  <si>
    <t>Cadence Partners LLP</t>
  </si>
  <si>
    <t>Summary:&lt;/strong&gt;&lt;/p&gt;&lt;p&gt;Mr. Mukul is a seasoned business leader with over 30 years of experience in diverse management roles across global companies such as HPCL, Hughes Software Systems, and Dassault Systemes. With a background in finance, HR, and strategic operations, he has held senior positions including director roles on multiple boards. Currently, he serves as a virtual CFO, COO, and advisor to startups, focusing on their growth and strategic development. His extensive experience in managing cross-functional teams and strategic initiatives, coupled with his expertise in finance and operations, enables him to guide startups effectively in their evolution journey.&lt;/p&gt;&lt;p&gt;&lt;br&gt;&lt;/p&gt;Key Areas of Expertise:&lt;/strong&gt;&lt;/p&gt;&lt;ul&gt;&lt;li&gt;&lt;strong&gt;Business Management&lt;/strong&gt;: Over 30 years in senior management roles across various sectors.&lt;/li&gt;&lt;li&gt;&lt;strong&gt;Finance and Operations&lt;/strong&gt;: Expertise in finance, accounting, taxation, and corporate structuring.&lt;/li&gt;&lt;li&gt;&lt;strong&gt;Strategic Planning and Execution&lt;/strong&gt;: Managing strategic and operational initiatives from planning to execution.&lt;/li&gt;&lt;li&gt;&lt;strong&gt;Startup Mentoring&lt;/strong&gt;: Providing virtual CFO, COO, and advisory services to startups.&lt;/li&gt;&lt;/ul&gt;&lt;p&gt;&lt;br&gt;&lt;/p&gt;Strategic Contributions:&lt;/strong&gt;&lt;/p&gt;&lt;ul&gt;&lt;li&gt;&lt;strong&gt;Leadership in Multinational Firms&lt;/strong&gt;: Held senior positions and directed large teams in companies like HPCL and Dassault Systemes.&lt;/li&gt;&lt;li&gt;&lt;strong&gt;Cross-Functional Expertise&lt;/strong&gt;: Managed business functions including finance, HR, compliance, and sustainability.&lt;/li&gt;&lt;li&gt;&lt;strong&gt;Startup Advisory&lt;/strong&gt;: Acted as a virtual CFO and COO, guiding startups in their growth and development phases.&lt;/li&gt;&lt;/ul&gt;</t>
  </si>
  <si>
    <t>https://www.linkedin.com/in/mukul-agarwal-6172a713/</t>
  </si>
  <si>
    <t>POC (Shantanu) Email ID: shantanu@iksana.work</t>
  </si>
  <si>
    <t>POC is Shantanu : 9818989983</t>
  </si>
  <si>
    <t>Billing and revenue collection || Branding || Business Model Development || Compliance Assistance || Currency and Risk Management || Customer Relationship Management || Digital Marketing || ESOPs || Fundraising || Go to Market Strategy || Growth Strategy Formulation || Market research || Pricing Strategy || Public speaking || Sales Strategy || Social Media Marketing || Talent Acquisition || Tax Incentives || Team building || Billing and revenue collection || Branding || Business Model Development || Compliance Assistance || Currency and Risk Management || Customer Relationship Management || Digital Marketing || ESOPs || Fundraising || Go to Market Strategy || Growth Strategy Formulation || Market research || Pricing Strategy || Public speaking || Sales Strategy || Social Media Marketing || Talent Acquisition || Tax Incentives || Team building || Billing and revenue collection || Branding || Business Model Development || Compliance Assistance || Currency and Risk Management || Customer Relationship Management || Digital Marketing || ESOPs || Fundraising || Go to Market Strategy || Growth Strategy Formulation || Market research || Pricing Strategy || Public speaking || Sales Strategy || Social Media Marketing || Talent Acquisition || Tax Incentives || Team building || Billing and revenue collection || Branding || Business Model Development || Compliance Assistance || Currency and Risk Management || Customer Relationship Management || Digital Marketing || ESOPs || Fundraising || Go to Market Strategy || Growth Strategy Formulation || Market research || Pricing Strategy || Public speaking || Sales Strategy || Social Media Marketing || Talent Acquisition || Tax Incentives || Team building || Billing and revenue collection || Branding || Business Model Development || Compliance Assistance || Currency and Risk Management || Customer Relationship Management || Digital Marketing || ESOPs || Fundraising || Go to Market Strategy || Growth Strategy Formulation || Market research || Pricing Strategy || Public speaking || Sales Strategy || Social Media Marketing || Talent Acquisition || Tax Incentives || Team building || Billing and revenue collection || Branding || Business Model Development || Compliance Assistance || Currency and Risk Management || Customer Relationship Management || Digital Marketing || ESOPs || Fundraising || Go to Market Strategy || Growth Strategy Formulation || Market research || Pricing Strategy || Public speaking || Sales Strategy || Social Media Marketing || Talent Acquisition || Tax Incentives || Team building || Billing and revenue collection || Branding || Business Model Development || Compliance Assistance || Currency and Risk Management || Customer Relationship Management || Digital Marketing || ESOPs || Fundraising || Go to Market Strategy || Growth Strategy Formulation || Market research || Pricing Strategy || Public speaking || Sales Strategy || Social Media Marketing || Talent Acquisition || Tax Incentives || Team building || Billing and revenue collection || Branding || Business Model Development || Compliance Assistance || Currency and Risk Management || Customer Relationship Management || Digital Marketing || ESOPs || Fundraising || Go to Market Strategy || Growth Strategy Formulation || Market research || Pricing Strategy || Public speaking || Sales Strategy || Social Media Marketing || Talent Acquisition || Tax Incentives || Team building || Billing and revenue collection || Branding || Business Model Development || Compliance Assistance || Currency and Risk Management || Customer Relationship Management || Digital Marketing || ESOPs || Fundraising || Go to Market Strategy || Growth Strategy Formulation || Market research || Pricing Strategy || Public speaking || Sales Strategy || Social Media Marketing || Talent Acquisition || Tax Incentives || Team building || Business Finance || Buisness Operations</t>
  </si>
  <si>
    <t>CleanTech || CleanTech || CleanTech || CleanTech || CleanTech || CleanTech || CleanTech || CleanTech || CleanTech || CleanTech || CleanTech || CleanTech || CleanTech || CleanTech || CleanTech || CleanTech || CleanTech || CleanTech || CleanTech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FinTech || FinTech || FinTech || FinTech || FinTech || FinTech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Fintech, Banking, Financial Services</t>
  </si>
  <si>
    <t>Navneet Misra</t>
  </si>
  <si>
    <t>Investment Partner</t>
  </si>
  <si>
    <t>Raiser’s Edge</t>
  </si>
  <si>
    <t>Summary:&lt;/strong&gt;&lt;/p&gt;&lt;p&gt;Navneet is a seasoned professional with over 16 years of experience in creating and scaling new businesses. He currently serves as the Entrepreneur-In-Residence at Bombay Shaving Company, where he leads the strategy and execution of new distribution channels and ventures. He is also a Fund Manager at Barbershop with Shantanu.&lt;/p&gt;&lt;p&gt;&lt;br&gt;&lt;/p&gt;Core Expertise:&lt;/strong&gt;&lt;/p&gt;&lt;ul&gt;&lt;li&gt;Business Creation and Scaling&lt;/li&gt;&lt;li&gt;Strategic Planning and Execution&lt;/li&gt;&lt;li&gt;New Distribution Channels&lt;/li&gt;&lt;li&gt;Venture Development&lt;/li&gt;&lt;/ul&gt;&lt;p&gt;&lt;br&gt;&lt;/p&gt;Problem-Solving Approach:&lt;/strong&gt;&lt;/p&gt;&lt;p&gt;Employs innovative and strategic thinking to ideate, validate, and execute solutions that address market needs and deliver significant value to customers and stakeholders.&lt;/p&gt;&lt;p&gt;&lt;br&gt;&lt;/p&gt;Impactful Projects:&lt;/strong&gt;&lt;/p&gt;&lt;ul&gt;&lt;li&gt;Co-founded WagonBee, a car rental platform acquired by Goomo.&lt;/li&gt;&lt;li&gt;Launched RawKing, a cold-pressed juice company acquired by MonkeyBox.&lt;/li&gt;&lt;li&gt;Currently leading new venture strategies at Bombay Shaving Company, enhancing distribution and growth for the men's grooming brand.&lt;/li&gt;&lt;/ul&gt;</t>
  </si>
  <si>
    <t>https://www.linkedin.com/in/misranavneet/</t>
  </si>
  <si>
    <t>navneet.misra@gmail.com</t>
  </si>
  <si>
    <t>Angel Investing || Fundraising || Go to Market Strategy || Angel Investing || Fundraising || Go to Market Strategy || Angel Investing || Fundraising || Go to Market Strategy || Buisness Operations</t>
  </si>
  <si>
    <t>Consumer Products || Consumer Products || Consumer Products || Fashion &amp; Beauty || Fashion &amp; Beauty || Fashion &amp; Beauty || Retail &amp; e-Commerce || Retail &amp; e-Commerce || Retail &amp; e-Commerce || Consumer Products​</t>
  </si>
  <si>
    <t>Neelam Saxena</t>
  </si>
  <si>
    <t>Dean of Academic Affairs</t>
  </si>
  <si>
    <t>Institute of Management Studies</t>
  </si>
  <si>
    <t>Summary:&lt;/strong&gt;&lt;/p&gt;&lt;p&gt;Dr. Neelam is a seasoned expert with over three decades of experience across industry, academia, consulting, and start-up mentoring. She holds dual Ph.D.s in Management (Entrepreneurship Education) and Chemistry (Polymer Chemistry), along with an M.B.A. in Personnel and Marketing Management. Currently a Professor and Lead Director in Innovation and Entrepreneurship at Intel Trade LLC, Texas, Dr. Neelam is known for her work in mentoring women entrepreneurs, guiding over 50 enterprises, and driving innovation in entrepreneurial ecosystems.&lt;/p&gt;&lt;p&gt;&lt;br&gt;&lt;/p&gt;Key Areas of Expertise:&lt;/strong&gt;&lt;/p&gt;&lt;ul&gt;&lt;li&gt;Entrepreneurship Education&lt;/li&gt;&lt;li&gt;Innovation and Design Thinking&lt;/li&gt;&lt;li&gt;Start-up Mentorship&lt;/li&gt;&lt;li&gt;Incubation Management&lt;/li&gt;&lt;li&gt;Strategic Consulting&lt;/li&gt;&lt;/ul&gt;&lt;p&gt;&lt;br&gt;&lt;/p&gt;Strategic Contributions:&lt;/strong&gt;&lt;/p&gt;&lt;ul&gt;&lt;li&gt;Mentored women entrepreneurs under prestigious programs like Goldman Sachs, Cherie Blair Foundation, and Walmart.&lt;/li&gt;&lt;li&gt;Managed start-ups and established incubation centers as the former Head of Amity Centre for Entrepreneurship Development.&lt;/li&gt;&lt;li&gt;Guided eight doctoral research scholars on topics such as intrapreneurship and human-centric innovation.&lt;/li&gt;&lt;/ul&gt;&lt;p&gt;&lt;br&gt;&lt;/p&gt;Mentorship Philosophy:&lt;/strong&gt;&lt;/p&gt;&lt;p&gt;Dr. Neelam is dedicated to fostering entrepreneurial ecosystems by empowering aspiring entrepreneurs with strategic guidance, innovative thinking, and a deep understanding of market dynamics.&lt;/p&gt;&lt;p&gt;&lt;br&gt;&lt;/p&gt;Success Stories:&lt;/strong&gt;&lt;/p&gt;&lt;ul&gt;&lt;li&gt;Recognized as a jury member for the Entrepreneurship World Cup.&lt;/li&gt;&lt;li&gt;Designed a research-based entrepreneurship skills curriculum for school children.&lt;/li&gt;&lt;/ul&gt;</t>
  </si>
  <si>
    <t>https://www.linkedin.com/in/dr-neelam-saxena/</t>
  </si>
  <si>
    <t>neelamaced@gmail.com</t>
  </si>
  <si>
    <t>Business Model Development || Go to Market Strategy || Growth Strategy Formulation || Marketing || Strategic Planning || Business Model Development || Go to Market Strategy || Growth Strategy Formulation || Marketing || Strategic Planning || Business Model Development || Go to Market Strategy || Growth Strategy Formulation || Marketing || Strategic Planning || Business Model Development || Go to Market Strategy || Growth Strategy Formulation || Marketing || Strategic Planning || Business Model Development || Go to Market Strategy || Growth Strategy Formulation || Marketing || Strategic Planning || Entrepreneurship Coaching</t>
  </si>
  <si>
    <t>CleanTech || CleanTech || CleanTech || CleanTech || CleanTech || Education &amp; Training || Education &amp; Training || Education &amp; Training || Education &amp; Training || Education &amp; Training || Environment, Sustainability &amp; Governance (ESG) || Environment, Sustainability &amp; Governance (ESG) || Environment, Sustainability &amp; Governance (ESG) || Environment, Sustainability &amp; Governance (ESG) || Environment, Sustainability &amp; Governance (ESG) || Pharmaceuticals, Healthcare and Wellness || Pharmaceuticals, Healthcare and Wellness || Pharmaceuticals, Healthcare and Wellness || Pharmaceuticals, Healthcare and Wellness || Pharmaceuticals, Healthcare and Wellness || Social &amp; Community Services || Social &amp; Community Services || Social &amp; Community Services || Social &amp; Community Services || Social &amp; Community Services || Education &amp; Training</t>
  </si>
  <si>
    <t>Neelendra Nath</t>
  </si>
  <si>
    <t>Innovitas, nucleo</t>
  </si>
  <si>
    <t>Summary:&lt;/strong&gt;&amp;nbsp;Neelendra has extensive industry knowledge and expertise and is currently building POD, technology stack to simplify fundraising journey by enabling a transparent, trust based relation between startups and investors.&lt;/p&gt;&lt;p&gt;He has worked for leading organizations in the past such as Halliburton and Cognizant, developing strong skills in project management, business development, and marketing. Also, as the Founder and CEO of Innovitas, Neelendra is focused on building an inclusive global start-up ecosystem, helping startups turn their ideas into successful businesses.&lt;/p&gt;&lt;p&gt;He is also known for his pro bono work as a climate counselor and Earth ambassador. His interests include travel, music, and promoting world peace through youth initiatives.&lt;/p&gt;&lt;p&gt;&lt;br&gt;&lt;/p&gt;Core Expertise: &lt;/strong&gt;&lt;/p&gt;&lt;ul&gt;&lt;li&gt;&lt;strong&gt;Entrepreneurship&lt;/strong&gt;: Founding and leading startups, particularly in building inclusive global ecosystems.&lt;/li&gt;&lt;li&gt;&lt;strong&gt;Project Management&lt;/strong&gt;: Skilled in managing large-scale projects, ensuring they are completed on time and within budget.&lt;/li&gt;&lt;li&gt;&lt;strong&gt;Business Development&lt;/strong&gt;: Identifying growth opportunities and developing strategies to expand business operations.&lt;/li&gt;&lt;li&gt;&lt;strong&gt;International Business&lt;/strong&gt;: Proficient in navigating the complexities of global markets and international business operations.&lt;/li&gt;&lt;/ul&gt;&lt;p&gt;&lt;br&gt;&lt;/p&gt;Problem-Solving Approach&lt;/strong&gt;: Neelendra employs a strategic and holistic approach to problem-solving. He begins by thoroughly understanding the core issues and challenges faced by a business or project. Leveraging his extensive industry knowledge and experience, he develops innovative solutions tailored to the specific needs of the client. Neelendra emphasizes the importance of collaboration and inclusivity, working closely with stakeholders to ensure that solutions are practical and sustainable. His approach often involves integrating cutting-edge technology, strategic planning, and a deep understanding of market dynamics to drive success.&lt;/p&gt;&lt;p&gt;&lt;br&gt;&lt;/p&gt;Impactful Projects&lt;/strong&gt;:&lt;/p&gt;&lt;ul&gt;&lt;li&gt;&lt;strong&gt;Innovitas Start-up Ecosystem&lt;/strong&gt;: As the Founder and CEO of Innovitas, Neelendra has successfully created a supportive ecosystem for startups. His efforts have enabled numerous entrepreneurs to transform their ideas into thriving businesses, contributing to economic growth and innovation.&lt;/li&gt;&lt;li&gt;&lt;strong&gt;Climate Advocacy Initiatives&lt;/strong&gt;: Through his pro bono work as a climate counselor and Earth ambassador, Neelendra has led several initiatives aimed at promoting environmental sustainability and raising awareness about climate change. These initiatives have had a significant impact on communities and have inspired positive environmental actions.&lt;/li&gt;&lt;li&gt;&lt;strong&gt;Project Management&lt;/strong&gt;: At Halliburton and Cognizant, Neelendra managed large-scale projects that required meticulous planning, coordination, and execution. His ability to deliver successful outcomes in complex and challenging environments showcases his expertise in project management.&lt;/li&gt;&lt;/ul&gt;&lt;p&gt;&lt;br&gt;&lt;/p&gt;Consultation Style&lt;/strong&gt;: Neelendra prefers a collaborative and hands-on consultation style. He believes in working closely with clients to understand their unique needs and challenges, ensuring that solutions are customized and effective. His engagement methods include strategic workshops, one-on-one mentoring, and continuous feedback sessions to ensure that clients receive the support and guidance they need to succeed. Neelendra is committed to fostering a culture of innovation, sustainability, and inclusivity in all his consultations. He strives to create an environment where clients feel empowered to take bold steps towards achieving their business goals while also considering their social and environmental impact.&lt;/p&gt;</t>
  </si>
  <si>
    <t>https://www.linkedin.com/in/neelnath/</t>
  </si>
  <si>
    <t>neelnath@gmail.com</t>
  </si>
  <si>
    <t>Fundraising || Growth Strategy Formulation || Marketing || Fundraising || Growth Strategy Formulation || Marketing || Fundraising || Growth Strategy Formulation || Marketing || Fundraising || Growth Strategy Formulation || Marketing || Fundraising || Growth Strategy Formulation || Marketing || Fundraising || Growth Strategy Formulation || Marketing || Business Model Development || Strategic Planning</t>
  </si>
  <si>
    <t>AI, Big Data &amp; Analytics || AI, Big Data &amp; Analytics || AI, Big Data &amp; Analytics || FinTech || FinTech || FinTech || Social &amp; Community Services || Social &amp; Community Services || Social &amp; Community Services || AI, Big Data &amp; Analytics || AI, Big Data &amp; Analytics || AI, Big Data &amp; Analytics || FinTech || FinTech || FinTech || Social &amp; Community Services || Social &amp; Community Services || Social &amp; Community Services || Fintech, Banking, Financial Services</t>
  </si>
  <si>
    <t>Nikhil Antao</t>
  </si>
  <si>
    <t>Program Director</t>
  </si>
  <si>
    <t>Bayanihan Ventures</t>
  </si>
  <si>
    <t>Summary:&lt;/strong&gt; Nikhil is a seasoned expert with 16 years of experience in Strategy, People, and Technology roles across various sectors. Recently relocated from Germany to the Philippines, he is dedicated to supporting local Founders, particularly in Edtech, Agritech, and Healthtech, by improving deal flow and empowering the next generation of tech entrepreneurs.&lt;/p&gt;&lt;p&gt;&lt;br&gt;&lt;/p&gt;Core Expertise:&lt;/strong&gt;&lt;/p&gt;&lt;ul&gt;&lt;li&gt;Digital Transformation&lt;/li&gt;&lt;li&gt;Value Engineering&lt;/li&gt;&lt;li&gt;Product Management Development&lt;/li&gt;&lt;li&gt;Market Validation&lt;/li&gt;&lt;li&gt;Business Modelling&lt;/li&gt;&lt;li&gt;Fundraising&lt;/li&gt;&lt;/ul&gt;&lt;p&gt;&lt;br&gt;&lt;/p&gt;Problem-Solving Approach:&lt;/strong&gt; Nikhil leverages his extensive background in mentoring and coaching to guide aspiring entrepreneurs in developing strong business ideas, creating impactful pitch decks, and honing their presentation skills. He focuses on fostering collaboration and innovation, especially in ventures aligned with the UN Sustainable Development Goals.&lt;/p&gt;&lt;p&gt;&lt;br&gt;&lt;/p&gt;Impactful Projects:&lt;/strong&gt;&lt;/p&gt;&lt;ul&gt;&lt;li&gt;Successfully coached over 100 participants at the Frankfurt School of Finance &amp;amp; Management in fields such as Supply Chain, IoT, Mobility, ESG, and Education.&lt;/li&gt;&lt;li&gt;Co-Founder and Advisor at DESIGNERS WITHOUT BORDERS, driving global collaboration on impactful social projects.&lt;/li&gt;&lt;li&gt;Coach at Science &amp;amp; Startups, aiding researchers and Founders from the Berlin University Alliance in navigating market validation, business modelling, and fundraising challenges.&lt;/li&gt;&lt;/ul&gt;&lt;p&gt;&lt;br&gt;&lt;/p&gt;Consultation Style:&lt;/strong&gt; I believe in empowering Founders through collaborative mentorship, helping them transform their ideas into impactful ventures that address real-world challenges&lt;/p&gt;</t>
  </si>
  <si>
    <t>https://www.linkedin.com/in/nikhilantao/</t>
  </si>
  <si>
    <t>Philippines</t>
  </si>
  <si>
    <t>Davao</t>
  </si>
  <si>
    <t>nikhil@bayanihan.ventures</t>
  </si>
  <si>
    <t>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Business Model Development || Go to Market Strategy || Product Development || Prototyping &amp; Testing || Leadership Coaching || Strategic Planning</t>
  </si>
  <si>
    <t>AI, Big Data &amp; Analytics || AI, Big Data &amp; Analytics || AI, Big Data &amp; Analytics || AI, Big Data &amp; Analytics || CleanTech || CleanTech || CleanTech || CleanTech || Education &amp; Training || Education &amp; Training || Education &amp; Training || Education &amp; Training || FinTech || FinTech || FinTech || FinTech || Pharmaceuticals, Healthcare and Wellness || Pharmaceuticals, Healthcare and Wellness || Pharmaceuticals, Healthcare and Wellness || Pharmaceuticals, Healthcare and Wellness || Retail &amp; e-Commerce || Retail &amp; e-Commerce || Retail &amp; e-Commerce || Retail &amp; e-Commerce || Services || Services || Services || Services || AI, Big Data &amp; Analytics || AI, Big Data &amp; Analytics || AI, Big Data &amp; Analytics || AI, Big Data &amp; Analytics || CleanTech || CleanTech || CleanTech || CleanTech || Education &amp; Training || Education &amp; Training || Education &amp; Training || Education &amp; Training || FinTech || FinTech || FinTech || FinTech || Pharmaceuticals, Healthcare and Wellness || Pharmaceuticals, Healthcare and Wellness || Pharmaceuticals, Healthcare and Wellness || Pharmaceuticals, Healthcare and Wellness || Retail &amp; e-Commerce || Retail &amp; e-Commerce || Retail &amp; e-Commerce || Retail &amp; e-Commerce || Services || Services || Services || Services || Education &amp; Training || Software &amp; IT Services</t>
  </si>
  <si>
    <t>Nikhil Kulkarni</t>
  </si>
  <si>
    <t>Head and General Manager</t>
  </si>
  <si>
    <t>Nashik Engineering Cluster</t>
  </si>
  <si>
    <t>Summary&lt;/strong&gt;&lt;/p&gt;&lt;p&gt;Mr. Nikhil is an accomplished startup evangelist with over 25 years of experience in innovation and incubation. As the General Manager and Head of Innovation and Incubation at Nashik Engineering Cluster, he plays a pivotal role in supporting government policies and fostering regional startup ecosystems. With a robust background in patenting and research, he also serves as a mentor and advisor to various government and private initiatives, including Startup India and Atal Tinkering Labs. Mr. Nikhil's extensive network and expertise in technology incubation and startup development position him as a key figure in advancing business processes and innovation.&lt;/p&gt;&lt;p&gt;&lt;br&gt;&lt;/p&gt;Core Expertise&lt;/strong&gt;&lt;/p&gt;&lt;ul&gt;&lt;li&gt;&lt;strong&gt;Startup Development&lt;/strong&gt;&lt;/li&gt;&lt;li&gt;&lt;strong&gt;Innovation and Incubation&lt;/strong&gt;&lt;/li&gt;&lt;li&gt;&lt;strong&gt;Technology Incubation&lt;/strong&gt;&lt;/li&gt;&lt;li&gt;&lt;strong&gt;Product Management Incubation&lt;/strong&gt;&lt;/li&gt;&lt;li&gt;&lt;strong&gt;Research and Development&lt;/strong&gt;&lt;/li&gt;&lt;li&gt;&lt;strong&gt;Patent Filing&lt;/strong&gt;&lt;/li&gt;&lt;/ul&gt;&lt;p&gt;&lt;br&gt;&lt;/p&gt;Problem Solving Approach&lt;/strong&gt;&lt;/p&gt;&lt;ul&gt;&lt;li&gt;&lt;strong&gt;Knowledge Sharing&lt;/strong&gt;: Provides guidance on new trends, research, and design works to improve business processes.&lt;/li&gt;&lt;li&gt;&lt;strong&gt;Customized Solutions&lt;/strong&gt;: Tailors advice and support for MSME organizations and startups based on their specific needs and challenges.&lt;/li&gt;&lt;/ul&gt;&lt;p&gt;&lt;br&gt;&lt;/p&gt;Impactful Projects&lt;/strong&gt;&lt;/p&gt;&lt;ul&gt;&lt;li&gt;&lt;strong&gt;Nashik Engineering Cluster&lt;/strong&gt;: Leads innovation and incubation efforts, significantly contributing to regional startup ecosystems.&lt;/li&gt;&lt;li&gt;&lt;strong&gt;Published Patents and Research&lt;/strong&gt;: Holds 4 Indian patents and has published over 10 research articles, advancing knowledge in his fields of expertise.&lt;/li&gt;&lt;li&gt;&lt;strong&gt;Government and Industry Mentorship&lt;/strong&gt;: Acts as a mentor for multiple government and industry initiatives, including Startup India and Atal Tinkering Labs.&lt;/li&gt;&lt;/ul&gt;</t>
  </si>
  <si>
    <t>https://www.linkedin.com/in/nkdestiny/</t>
  </si>
  <si>
    <t>nikhil.nl@gmail.com</t>
  </si>
  <si>
    <t>Business Model Development || Government Funding || Product Development || Research Partnerships || Tech Strategy &amp; Infrastructure || Business Model Development || Government Funding || Product Development || Research Partnerships || Tech Strategy &amp; Infrastructure || Entrepreneurship Coaching</t>
  </si>
  <si>
    <t>AgriTech &amp; New Food || AgriTech &amp; New Food || AgriTech &amp; New Food || AgriTech &amp; New Food || AgriTech &amp; New Food || AgriTech &amp; New Food || AgriTech &amp; New Food || AgriTech &amp; New Food || AgriTech &amp; New Food || AgriTech &amp; New Food || Education &amp; Training || Software &amp; IT Services</t>
  </si>
  <si>
    <t>Nikhil Kumar Parmar</t>
  </si>
  <si>
    <t>Data Peace AI Technologies &amp; True Value Access</t>
  </si>
  <si>
    <t>Summary&lt;/strong&gt;&lt;/p&gt;&lt;p&gt;Mr. Nikhil is a technology enthusiast and data science expert serving as the Director of Tech Delivery at DataPeace AI. He leads a team in providing advanced cloud and data solutions, focusing on AI, machine learning, and scalable cloud technologies. His role involves creating solutions to manage complex data challenges and delivering comprehensive tech services globally. With a solid track record in Product Management development and innovation, Mr. Nikhil has co-founded several successful tech ventures and played a key role in scaling Product Managements and services across diverse industries. He is passionate about bridging the gap between machines and humans through cutting-edge technology.&lt;/p&gt;&lt;p&gt;&lt;br&gt;&lt;/p&gt;Core Expertise&lt;/strong&gt;&lt;/p&gt;&lt;ul&gt;&lt;li&gt;&lt;strong&gt;AI &amp;amp; Machine Learning&lt;/strong&gt;: Designing deep learning systems, particularly in computer vision.&lt;/li&gt;&lt;li&gt;&lt;strong&gt;Cloud Technologies&lt;/strong&gt;: Expertise in AWS, Azure, and GCP.&lt;/li&gt;&lt;li&gt;&lt;strong&gt;Product Management Management&lt;/strong&gt;: Development of market-ready Product Managements, focusing on SaaS.&lt;/li&gt;&lt;li&gt;&lt;strong&gt;Strategic Growth&lt;/strong&gt;: Identifying market trends and driving business growth.&lt;/li&gt;&lt;/ul&gt;&lt;p&gt;&lt;br&gt;&lt;/p&gt;Problem Solving Approach&lt;/strong&gt;&lt;/p&gt;&lt;ul&gt;&lt;li&gt;&lt;strong&gt;Data Management&lt;/strong&gt;: Solves client challenges related to data volume, velocity, variety, and value.&lt;/li&gt;&lt;li&gt;&lt;strong&gt;Cloud and Analytics&lt;/strong&gt;: Establishes data lakes, supports cloud journeys, and deploys analytics tools.&lt;/li&gt;&lt;li&gt;&lt;strong&gt;Comprehensive Solutions&lt;/strong&gt;: Implements Kubernetes at scale and delivers bot ecosystems.&lt;/li&gt;&lt;/ul&gt;&lt;p&gt;&lt;br&gt;&lt;/p&gt;Impactful Projects&lt;/strong&gt;&lt;/p&gt;&lt;ul&gt;&lt;li&gt;&lt;strong&gt;DataPeace AI&lt;/strong&gt;: Managed over 100 enterprise customers, delivering AI and cloud solutions.&lt;/li&gt;&lt;li&gt;&lt;strong&gt;True Value Access&lt;/strong&gt;: Spearheaded technology and Product Management vision, enhancing ROI through tech integration.&lt;/li&gt;&lt;li&gt;&lt;strong&gt;1UP Product Management Suite&lt;/strong&gt;: Co-founded and scaled to 250 clients and 4000 locations nationwide&lt;/li&gt;&lt;/ul&gt;</t>
  </si>
  <si>
    <t>https://www.linkedin.com/in/nikhilparmar07/</t>
  </si>
  <si>
    <t>nikhil@datapeace.in</t>
  </si>
  <si>
    <t>Data Analytics || Data Reporting || Deep Tech (Blockchain, AI, Robotics, AR/VR) || Growth Strategy Formulation || Product Development || Strategic Planning || Data Analytics || Data Reporting || Deep Tech (Blockchain, AI, Robotics, AR/VR) || Growth Strategy Formulation || Product Development || Strategic Planning || Data Analytics || Data Reporting || Deep Tech (Blockchain, AI, Robotics, AR/VR) || Growth Strategy Formulation || Product Development || Strategic Planning || Data Analytics || Data Reporting || Deep Tech (Blockchain, AI, Robotics, AR/VR) || Growth Strategy Formulation || Product Development || Strategic Planning || Data Analytics || Data Reporting || Deep Tech (Blockchain, AI, Robotics, AR/VR) || Growth Strategy Formulation || Product Development || Strategic Planning || Data Analytics || Data Reporting || Deep Tech (Blockchain, AI, Robotics, AR/VR) || Growth Strategy Formulation || Product Development || Strategic Planning || Product Management</t>
  </si>
  <si>
    <t>AI, Big Data &amp; Analytics || AI, Big Data &amp; Analytics || AI, Big Data &amp; Analytics || AI, Big Data &amp; Analytics || AI, Big Data &amp; Analytics || AI, Big Data &amp; Analytics || FinTech || FinTech || FinTech || FinTech || FinTech || FinTech || Real Estate &amp; Construction || Real Estate &amp; Construction || Real Estate &amp; Construction || Real Estate &amp; Construction || Real Estate &amp; Construction || Real Estate &amp; Construction || AI, Big Data &amp; Analytics || AI, Big Data &amp; Analytics || AI, Big Data &amp; Analytics || AI, Big Data &amp; Analytics || AI, Big Data &amp; Analytics || AI, Big Data &amp; Analytics || FinTech || FinTech || FinTech || FinTech || FinTech || FinTech || Real Estate &amp; Construction || Real Estate &amp; Construction || Real Estate &amp; Construction || Real Estate &amp; Construction || Real Estate &amp; Construction || Real Estate &amp; Construction || Deeptech</t>
  </si>
  <si>
    <t>Nikhil Parmar</t>
  </si>
  <si>
    <t>Impactful Pitch &amp; instapitch.io</t>
  </si>
  <si>
    <t>Summary&lt;/strong&gt;&lt;/p&gt;&lt;p&gt;Mr. Nikhil Parmar, Founder and CEO of Impactful Pitch, is a seasoned entrepreneur with over 10 years of experience in the startup ecosystem. An IIM Udaipur alumnus, he has been instrumental in raising over $500 million for more than 5,000 startups. His expertise spans fundraising strategy, investments, Product Management development, and growth. Mr. Nikhil also plays a significant role as an angel investor, supporting startups like Fitspire, Hesa, and Zypp Electric. Currently, he is leading the development of India’s first Generative AI-based Pitch Deck creation platform, with a mission to help 1 million entrepreneurs impact 1 billion lives.&lt;/p&gt;&lt;p&gt;&lt;br&gt;&lt;/p&gt;Core Expertise&lt;/strong&gt;&lt;/p&gt;&lt;ul&gt;&lt;li&gt;&lt;strong&gt;Fundraising Strategy&lt;/strong&gt;&lt;/li&gt;&lt;li&gt;&lt;strong&gt;Investments&lt;/strong&gt;&lt;/li&gt;&lt;li&gt;&lt;strong&gt;Startups&lt;/strong&gt;&lt;/li&gt;&lt;li&gt;&lt;strong&gt;Product Management Development&lt;/strong&gt;&lt;/li&gt;&lt;li&gt;&lt;strong&gt;Marketing&lt;/strong&gt;&lt;/li&gt;&lt;li&gt;&lt;strong&gt;Operations&lt;/strong&gt;&lt;/li&gt;&lt;li&gt;&lt;strong&gt;Growth&lt;/strong&gt;&lt;/li&gt;&lt;/ul&gt;&lt;p&gt;&lt;br&gt;&lt;/p&gt;Problem Solving Approach&lt;/strong&gt;&lt;/p&gt;&lt;ul&gt;&lt;li&gt;&lt;strong&gt;Empowerment of Founders&lt;/strong&gt;: Focused on uplifting and supporting startup Founders through strategic guidance and resources.&lt;/li&gt;&lt;li&gt;&lt;strong&gt;Angel Investment&lt;/strong&gt;: Provides financial backing and mentorship to early-stage startups.&lt;/li&gt;&lt;/ul&gt;&lt;p&gt;&lt;br&gt;&lt;/p&gt;Impactful Projects&lt;/strong&gt;&lt;/p&gt;&lt;ul&gt;&lt;li&gt;&lt;strong&gt;Impactful Pitch&lt;/strong&gt;: Enabled 5,000+ startups to raise over $500 million.&lt;/li&gt;&lt;li&gt;&lt;strong&gt;AI-based Pitch Deck Platform&lt;/strong&gt;: Building India's first Generative AI platform for pitch deck creation.&lt;/li&gt;&lt;li&gt;&lt;strong&gt;Angel Investments&lt;/strong&gt;: Supported startups such as Fitspire, Hesa, and Zypp Electric.&lt;/li&gt;&lt;/ul&gt;</t>
  </si>
  <si>
    <t>https://www.linkedin.com/in/nikhil-parmar-445420105/</t>
  </si>
  <si>
    <t>founder@impactfulpitch.com</t>
  </si>
  <si>
    <t>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Angel Investing || Fundraising || Go to Market Strategy || Government Funding || Pitch coaching || Business Finance</t>
  </si>
  <si>
    <t>AgriTech &amp; New Food || AgriTech &amp; New Food || AgriTech &amp; New Food || AgriTech &amp; New Food || AgriTech &amp; New Food || AI, Big Data &amp; Analytics || AI, Big Data &amp; Analytics || AI, Big Data &amp; Analytics || AI, Big Data &amp; Analytics || AI, Big Data &amp; Analytics || E-Commerce || E-Commerce || E-Commerce || E-Commerce || E-Commerce || EdTech || EdTech || EdTech || EdTech || EdTech || Fashion &amp; Beauty || Fashion &amp; Beauty || Fashion &amp; Beauty || Fashion &amp; Beauty || Fashion &amp; Beauty || Healthtech &amp; Wellness || Healthtech &amp; Wellness || Healthtech &amp; Wellness || Healthtech &amp; Wellness || Healthtech &amp; Wellness || Mobility || Mobility || Mobility || Mobility || Mobility || Services || Services || Services || Services || Services || AgriTech &amp; New Food || AgriTech &amp; New Food || AgriTech &amp; New Food || AgriTech &amp; New Food || AgriTech &amp; New Food || AI, Big Data &amp; Analytics || AI, Big Data &amp; Analytics || AI, Big Data &amp; Analytics || AI, Big Data &amp; Analytics || AI, Big Data &amp; Analytics || E-Commerce || E-Commerce || E-Commerce || E-Commerce || E-Commerce || EdTech || EdTech || EdTech || EdTech || EdTech || Fashion &amp; Beauty || Fashion &amp; Beauty || Fashion &amp; Beauty || Fashion &amp; Beauty || Fashion &amp; Beauty || Healthtech &amp; Wellness || Healthtech &amp; Wellness || Healthtech &amp; Wellness || Healthtech &amp; Wellness || Healthtech &amp; Wellness || Mobility || Mobility || Mobility || Mobility || Mobility || Services || Services || Services || Services || Services || AgriTech &amp; New Food || AgriTech &amp; New Food || AgriTech &amp; New Food || AgriTech &amp; New Food || AgriTech &amp; New Food || AI, Big Data &amp; Analytics || AI, Big Data &amp; Analytics || AI, Big Data &amp; Analytics || AI, Big Data &amp; Analytics || AI, Big Data &amp; Analytics || E-Commerce || E-Commerce || E-Commerce || E-Commerce || E-Commerce || EdTech || EdTech || EdTech || EdTech || EdTech || Fashion &amp; Beauty || Fashion &amp; Beauty || Fashion &amp; Beauty || Fashion &amp; Beauty || Fashion &amp; Beauty || Healthtech &amp; Wellness || Healthtech &amp; Wellness || Healthtech &amp; Wellness || Healthtech &amp; Wellness || Healthtech &amp; Wellness || Mobility || Mobility || Mobility || Mobility || Mobility || Services || Services || Services || Services || Services || Venture Funding</t>
  </si>
  <si>
    <t>Aparajita Prasad</t>
  </si>
  <si>
    <t>MetaConnect Consulting</t>
  </si>
  <si>
    <t>Summary:&lt;/strong&gt;&lt;/p&gt;&lt;p&gt;Dr. Aparajita Prasad is a seasoned Corporate Leader and Subject Matter Expert with over 18 years of global experience in Business Research, Strategy Consulting, and Analytics. Currently serving as Director at PwC, one of the Big Four accounting firms, she has previously held senior roles at Accenture, TCS, Evalueserve, and Heidrick &amp;amp; Struggles. Dr. Prasad is also the co-Founder of MetaConnect Consulting, an investor, and a mentor to start-ups, with a strong presence on advisory boards of incubators and accelerators. She is recognized for her leadership, adaptability, and commitment to mentoring and guiding others.&lt;/p&gt;&lt;p&gt;&lt;br&gt;&lt;/p&gt;Key Areas of Expertise:&lt;/strong&gt;&lt;/p&gt;&lt;ul&gt;&lt;li&gt;Business Research&lt;/li&gt;&lt;li&gt;Strategy Consulting&lt;/li&gt;&lt;li&gt;Analytics&lt;/li&gt;&lt;li&gt;Leadership Training&lt;/li&gt;&lt;li&gt;Corporate Strategy&lt;/li&gt;&lt;li&gt;Entrepreneurship and Start-up Mentorship&lt;/li&gt;&lt;/ul&gt;&lt;p&gt;&lt;br&gt;&lt;/p&gt;Strategic Contributions:&lt;/strong&gt;&lt;/p&gt;&lt;ul&gt;&lt;li&gt;Led large teams and business units, driving strategic initiatives in various organizations.&lt;/li&gt;&lt;li&gt;Co-founded MetaConnect Consulting, contributing significantly to its growth and development.&lt;/li&gt;&lt;li&gt;Advised numerous incubators and accelerators, providing strategic insights and guidance.&lt;/li&gt;&lt;/ul&gt;&lt;p&gt;&lt;br&gt;&lt;/p&gt;Mentorship Philosophy:&lt;/strong&gt;&lt;/p&gt;&lt;p&gt;Dr. Prasad is dedicated to helping others succeed, believing in the potential of every individual she mentors. She focuses on bringing out the best in her teams and mentees, adapting to different environments and challenges.&lt;/p&gt;&lt;p&gt;&lt;br&gt;&lt;/p&gt;Success Stories:&lt;/strong&gt;&lt;/p&gt;&lt;ul&gt;&lt;li&gt;Recognized with prestigious awards such as the “Prima Donna Women of Substance Award,” “Global Women in Leadership Award,” “Strategy Consultant of the Year Award,” “Business Excellence Award,” and the "Peter Drucker Memorial Award of Excellence."&lt;/li&gt;&lt;li&gt;Successfully transitioned from corporate roles to entrepreneurship, co-founding MetaConnect Consulting and investing in start-ups.&lt;/li&gt;&lt;li&gt;Renowned speaker and panelist at major industry events, contributing to leadership development and business excellence.&lt;/li&gt;&lt;/ul&gt;&lt;p&gt;&lt;br&gt;&lt;/p&gt;Awards and Recognition:&lt;/strong&gt;&lt;/p&gt;&lt;ul&gt;&lt;li&gt;Prima Donna Women of Substance Award&lt;/li&gt;&lt;li&gt;Global Women in Leadership Award&lt;/li&gt;&lt;li&gt;Strategy Consultant of the Year Award&lt;/li&gt;&lt;li&gt;Business Excellence Award&lt;/li&gt;&lt;li&gt;Peter Drucker Memorial Award of Excellence&lt;/li&gt;&lt;/ul&gt;</t>
  </si>
  <si>
    <t>https://www.linkedin.com/in/aparajitaprasad/</t>
  </si>
  <si>
    <t>aparajita123@gmail.com</t>
  </si>
  <si>
    <t>ESG Strategy</t>
  </si>
  <si>
    <t>Branding || Business Model Development || Go to Market Strategy || Market research || Organizational Development || Research Partnerships || Team building || Branding || Business Model Development || Go to Market Strategy || Market research || Organizational Development || Research Partnerships || Team building || Branding || Business Model Development || Go to Market Strategy || Market research || Organizational Development || Research Partnerships || Team building || Branding || Business Model Development || Go to Market Strategy || Market research || Organizational Development || Research Partnerships || Team building || Branding || Business Model Development || Go to Market Strategy || Market research || Organizational Development || Research Partnerships || Team building || Branding || Business Model Development || Go to Market Strategy || Market research || Organizational Development || Research Partnerships || Team building || Branding || Business Model Development || Go to Market Strategy || Market research || Organizational Development || Research Partnerships || Team building || Branding || Business Model Development || Go to Market Strategy || Market research || Organizational Development || Research Partnerships || Team building || Branding || Business Model Development || Go to Market Strategy || Market research || Organizational Development || Research Partnerships || Team building || Branding || Business Model Development || Go to Market Strategy || Market research || Organizational Development || Research Partnerships || Team building || Branding || Business Model Development || Go to Market Strategy || Market research || Organizational Development || Research Partnerships || Team building || Branding || Business Model Development || Go to Market Strategy || Market research || Organizational Development || Research Partnerships || Team building || Strategic Planning || Business Model Development</t>
  </si>
  <si>
    <t>Education &amp; Training || Education &amp; Training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Tourism &amp; Hospitality || Tourism &amp; Hospitality || Tourism &amp; Hospitality || Tourism &amp; Hospitality || Tourism &amp; Hospitality || Tourism &amp; Hospitality || Tourism &amp; Hospitality || Education &amp; Training || Education &amp; Training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Tourism &amp; Hospitality || Tourism &amp; Hospitality || Tourism &amp; Hospitality || Tourism &amp; Hospitality || Tourism &amp; Hospitality || Tourism &amp; Hospitality || Tourism &amp; Hospitality || Education &amp; Training || Education &amp; Training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Tourism &amp; Hospitality || Tourism &amp; Hospitality || Tourism &amp; Hospitality || Tourism &amp; Hospitality || Tourism &amp; Hospitality || Tourism &amp; Hospitality || Tourism &amp; Hospitality || Pharmaceuticals, Healthcare and Wellness</t>
  </si>
  <si>
    <t>Nikhilesh Tayal</t>
  </si>
  <si>
    <t>AI ML etc.</t>
  </si>
  <si>
    <t>&lt;p&gt;&lt;span style="background-color: transparent; color: rgb(34, 34, 34);"&gt;Nikhilesh is an IIT Kharagpur alumnus.&amp;nbsp;&lt;/span&gt;&lt;/p&gt;&lt;p&gt;&lt;br&gt;&lt;/p&gt;&lt;p&gt;&lt;span style="background-color: transparent; color: rgb(34, 34, 34);"&gt;He has 18+ years of work experience, of which 12+ is in entrepreneurship.&lt;/span&gt;&lt;/p&gt;&lt;p&gt;&lt;br&gt;&lt;/p&gt;&lt;p&gt;&lt;span style="background-color: transparent; color: rgb(34, 34, 34);"&gt;Earlier he worked as an AI team lead at iViZ Security.&lt;/span&gt;&lt;/p&gt;&lt;p&gt;&lt;br&gt;&lt;/p&gt;&lt;p&gt;&lt;span style="background-color: transparent; color: rgb(34, 34, 34);"&gt;He has been teaching maths and coding to students and professionals since 2005 as part-time.&lt;/span&gt;&lt;/p&gt;&lt;p&gt;&lt;br&gt;&lt;/p&gt;&lt;p&gt;&lt;span style="background-color: transparent; color: rgb(34, 34, 34);"&gt;Previously he has built 2 startups. He raised funding for his startup&amp;nbsp; - CvBhejo (a mobile-based recruitment platform) and then got a successful exit.&lt;/span&gt;&lt;/p&gt;&lt;p&gt;&lt;br&gt;&lt;/p&gt;&lt;p&gt;&lt;span style="background-color: transparent; color: rgb(34, 34, 34);"&gt;Currently, he is also a guest lecturer for Generative AI at IITs and NITs.&lt;/span&gt;&lt;/p&gt;&lt;p&gt;&lt;br&gt;&lt;/p&gt;&lt;p&gt;&lt;br&gt;&lt;/p&gt;</t>
  </si>
  <si>
    <t>https://www.linkedin.com/in/nikhileshtayal/</t>
  </si>
  <si>
    <t>Udaipur</t>
  </si>
  <si>
    <t>nt@aimletc.com</t>
  </si>
  <si>
    <t>Training &amp; Development || Entrepreneurship Coaching</t>
  </si>
  <si>
    <t>AI, Big Data &amp; Analytics || Education &amp; Training</t>
  </si>
  <si>
    <t>Niki Shah</t>
  </si>
  <si>
    <t>SN &amp; Co</t>
  </si>
  <si>
    <t>Summary&lt;/strong&gt;&lt;/p&gt;&lt;p&gt;Niki is a seasoned professional and a CA with over two decades of experience in Business Consulting &amp;amp; Coaching, Financial Advisory, and Valuation Expertise. Her passion lies in helping entrepreneurs and corporates unlock their potential and take their next big business idea from blueprint to seamless execution.&lt;/p&gt;&lt;p&gt;&lt;br&gt;&lt;/p&gt;Key Areas of Expertise: &lt;/strong&gt;&lt;/p&gt;&lt;ul&gt;&lt;li&gt;Business Consulting&lt;/li&gt;&lt;li&gt;Financial Advisory&lt;/li&gt;&lt;li&gt;Business Coaching&lt;/li&gt;&lt;li&gt;Valuation Expertise&lt;/li&gt;&lt;/ul&gt;&lt;p&gt;&lt;br&gt;&lt;/p&gt;Strategic Contributions: &lt;/strong&gt;&lt;/p&gt;&lt;p&gt;Niki's firm has worked in 7+ countries and 25+ sectors and is valued at more than 500+ companies. It has coached 300+ entrepreneurs from idea to implementation or helped them scale their businesses. It has also trained 800+ hours of 5000+ professionals on FEMA and valuations. Niki is a partner at S N &amp;amp; Co., specializing in providing comprehensive solutions that drive growth, improve profitability, and ensure compliance.&lt;/p&gt;&lt;p&gt;&lt;br&gt;&lt;/p&gt;Mentorship Philosophy:&lt;/strong&gt;&lt;/p&gt;&lt;p&gt;My passion lies in helping entrepreneurs and corporates unlock their potential and take their next big business idea from blueprint to seamless execution. Whether you're launching a startup, looking to scale your operations as a seasoned business owner or need assistance with financial matters, I'm here to be your trusted partner on this journey.&lt;/p&gt;&lt;p&gt;&lt;br&gt;&lt;/p&gt;Success Stories:&lt;/strong&gt; Niki has been invited as a keynote speaker to 15+ events, she has also coached 300+ entrepreneurs from idea to implementation and helped them scale their businesses.&lt;/p&gt;</t>
  </si>
  <si>
    <t>https://www.linkedin.com/in/canikishah/</t>
  </si>
  <si>
    <t>niki@snco.in</t>
  </si>
  <si>
    <t>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Angel Investing || Audit &amp; Compliance || Fundraising || Business Model Development || Investing</t>
  </si>
  <si>
    <t>Banking &amp; Financial Services || Banking &amp; Financial Services || Banking &amp; Financial Services || Energy &amp; Renewable Resources || Energy &amp; Renewable Resources || Energy &amp; Renewable Resources || Industrial Automation &amp; Manufacturing || Industrial Automation &amp; Manufacturing || Industrial Automation &amp; Manufacturing || Media, Arts &amp; Entertainment || Media, Arts &amp; Entertainment || Media, Arts &amp; Entertainment || Pharmaceuticals, Healthcare and Wellness || Pharmaceuticals, Healthcare and Wellness || Pharmaceuticals, Healthcare and Wellness || Real Estate &amp; Construction || Real Estate &amp; Construction || Real Estate &amp; Construction || Retail &amp; e-Commerce || Retail &amp; e-Commerce || Retail &amp; e-Commerce || Services || Services || Services || Textiles &amp; Apparel || Textiles &amp; Apparel || Textiles &amp; Apparel || Banking &amp; Financial Services || Banking &amp; Financial Services || Banking &amp; Financial Services || Energy &amp; Renewable Resources || Energy &amp; Renewable Resources || Energy &amp; Renewable Resources || Industrial Automation &amp; Manufacturing || Industrial Automation &amp; Manufacturing || Industrial Automation &amp; Manufacturing || Media, Arts &amp; Entertainment || Media, Arts &amp; Entertainment || Media, Arts &amp; Entertainment || Pharmaceuticals, Healthcare and Wellness || Pharmaceuticals, Healthcare and Wellness || Pharmaceuticals, Healthcare and Wellness || Real Estate &amp; Construction || Real Estate &amp; Construction || Real Estate &amp; Construction || Retail &amp; e-Commerce || Retail &amp; e-Commerce || Retail &amp; e-Commerce || Services || Services || Services || Textiles &amp; Apparel || Textiles &amp; Apparel || Textiles &amp; Apparel || Banking &amp; Financial Services || Banking &amp; Financial Services || Banking &amp; Financial Services || Energy &amp; Renewable Resources || Energy &amp; Renewable Resources || Energy &amp; Renewable Resources || Industrial Automation &amp; Manufacturing || Industrial Automation &amp; Manufacturing || Industrial Automation &amp; Manufacturing || Media, Arts &amp; Entertainment || Media, Arts &amp; Entertainment || Media, Arts &amp; Entertainment || Pharmaceuticals, Healthcare and Wellness || Pharmaceuticals, Healthcare and Wellness || Pharmaceuticals, Healthcare and Wellness || Real Estate &amp; Construction || Real Estate &amp; Construction || Real Estate &amp; Construction || Retail &amp; e-Commerce || Retail &amp; e-Commerce || Retail &amp; e-Commerce || Services || Services || Services || Textiles &amp; Apparel || Textiles &amp; Apparel || Textiles &amp; Apparel || Fintech, Banking, Financial Services</t>
  </si>
  <si>
    <t>Nirja Vasavada</t>
  </si>
  <si>
    <t>N R Institute of Business Administration</t>
  </si>
  <si>
    <t>Summary:&lt;/strong&gt;&lt;/p&gt;&lt;p&gt;Ms. Nirja is a dedicated educator with over 14 years of experience in teaching language and communication and 5 years of corporate training experience. As an Assistant Professor at GLS University, Gujarat, she is passionate about fostering mutual learning and growth through mentorship. Her expertise spans mentoring, student counseling, and teaching English as a foreign language. With a PhD in humanities, she has a strong background in communication, entrepreneurship, and gender sensitivity training, making her a well-rounded professional in the education management industry.&lt;/p&gt;&lt;p&gt;&lt;br&gt;&lt;/p&gt;Key Areas of Expertise:&lt;/strong&gt;&lt;/p&gt;&lt;ul&gt;&lt;li&gt;&lt;strong&gt;Language and Communication Teaching&lt;/strong&gt;: Over 14 years of experience in teaching language and communication.&lt;/li&gt;&lt;li&gt;&lt;strong&gt;Corporate Training&lt;/strong&gt;: 5 years of experience in corporate training.&lt;/li&gt;&lt;li&gt;&lt;strong&gt;Mentoring and Student Counseling&lt;/strong&gt;: Skilled in mentoring and providing guidance to students.&lt;/li&gt;&lt;li&gt;&lt;strong&gt;Professional Mentoring&lt;/strong&gt;: Expertise in teaching English as a Foreign Language and conducting entrepreneurship and gender sensitivity training.&lt;/li&gt;&lt;/ul&gt;&lt;p&gt;&lt;br&gt;&lt;/p&gt;Mentorship Philosophy:&lt;/strong&gt;&lt;/p&gt;&lt;p&gt;Ms. Nirja believes that mentoring is a process of mutual learning, development, and growth for both the mentees and the mentor, fostering a collaborative environment.&lt;/p&gt;</t>
  </si>
  <si>
    <t>https://www.linkedin.com/in/nirja-vasavada-b0905534</t>
  </si>
  <si>
    <t>nirja.vasavada@glsuniversity.ac.in</t>
  </si>
  <si>
    <t>Business Model Development || Market research || Business Model Development || Market research || Business Model Development || Market research || Business Model Development || Market research || Business Model Development || Market research || Business Model Development || Market research || Entrepreneurship Coaching</t>
  </si>
  <si>
    <t>Education &amp; Training || Education &amp; Training || Media, Arts &amp; Entertainment || Media, Arts &amp; Entertainment || Services || Services || Education &amp; Training || Education &amp; Training || Media, Arts &amp; Entertainment || Media, Arts &amp; Entertainment || Services || Services || Education &amp; Training</t>
  </si>
  <si>
    <t>Nirmal Satyendra</t>
  </si>
  <si>
    <t>Director, Enterprise Solutions</t>
  </si>
  <si>
    <t>UST</t>
  </si>
  <si>
    <t>Summary:&lt;/strong&gt;&lt;/p&gt;&lt;p&gt;Nirmal is a seasoned professional with over 25 years of experience working across startups, large enterprises, and government agencies. His unique blend of expertise in both technology and business allows him to bring an optimal balance and strategic vision to every initiative he undertakes. Nirmal's career is marked by his versatility in managing diverse projects, from Product Management incubation to open-source development, consistently delivering high-impact results.&lt;/p&gt;&lt;p&gt;&lt;br&gt;&lt;/p&gt;Core Expertise:&lt;/strong&gt; Nirmal specializes in several key areas, including:&lt;/p&gt;&lt;ul&gt;&lt;li&gt;Organization Building&lt;/li&gt;&lt;li&gt;Vendor Management&lt;/li&gt;&lt;li&gt;Delivery and Technology Leadership&lt;/li&gt;&lt;li&gt;Application Development&lt;/li&gt;&lt;li&gt;Analytics&lt;/li&gt;&lt;li&gt;Artificial Intelligence (AI)&lt;/li&gt;&lt;li&gt;Robotic Process Automation (RPA)&lt;/li&gt;&lt;li&gt;DevOps&lt;/li&gt;&lt;li&gt;Cloud Computing (GCP &amp;amp; AWS)&lt;/li&gt;&lt;/ul&gt;&lt;p&gt;&lt;br&gt;&lt;/p&gt;Problem-Solving Approach:&lt;/strong&gt; Nirmal's problem-solving approach is rooted in his ability to seamlessly integrate technology with business objectives. His dual proficiency enables him to craft solutions that are not only innovative but also aligned with strategic goals, ensuring sustainable success and growth for the organizations he collaborates with.&lt;/p&gt;&lt;p&gt;&lt;br&gt;&lt;/p&gt;Impactful Projects:&lt;/strong&gt; Nirmal has led several high-impact projects throughout his career, including:&lt;/p&gt;&lt;ul&gt;&lt;li&gt;&lt;strong&gt;Entrepreneurship:&lt;/strong&gt; Founded an SEZ company from 2003 to 2009, successfully selling intellectual property to HSBC.&lt;/li&gt;&lt;li&gt;&lt;strong&gt;Product Management Incubation:&lt;/strong&gt; Incubated and brought to market over 20 Product Managements within startups and large enterprises. He also established a greenfield Product Management incubation center at EdgeVerve, an Infosys company.&lt;/li&gt;&lt;li&gt;&lt;strong&gt;Open Source Development:&lt;/strong&gt; Played a pivotal role in building oeCloud.io, an open-source project aimed at developing cloud-native applications.&lt;/li&gt;&lt;li&gt;&lt;strong&gt;Research &amp;amp; Publishing:&lt;/strong&gt; Published three IEEE papers, contributed to various journals and blogs, and authored the book "Soft Side of Engineering" (ISBN 8183511333) in 2011.&lt;/li&gt;&lt;li&gt;&lt;strong&gt;Leadership:&lt;/strong&gt; Nirmal has consistently built and nurtured high-performance teams in both startups and large enterprises, capable of assembling a high-caliber, 50-person team quickly.&lt;/li&gt;&lt;li&gt;&lt;strong&gt;Delivery:&lt;/strong&gt; Successfully led teams of up to 300 members, delivering projects and Product Managements in a customized and contextualized Agile manner. He has extensive experience working with geographically distributed and culturally diverse teams.&lt;/li&gt;&lt;li&gt;&lt;strong&gt;Stakeholder Management:&lt;/strong&gt; Worked closely with investors, C-level executives, and government officials, ensuring alignment with strategic goals and stakeholder interests.&lt;/li&gt;&lt;/ul&gt;</t>
  </si>
  <si>
    <t>https://www.linkedin.com/in/iambns/</t>
  </si>
  <si>
    <t>nirmal.satyendra9@gmail.com</t>
  </si>
  <si>
    <t>98492 83825</t>
  </si>
  <si>
    <t>Business Model Development || Data Analytics || Go to Market Strategy || Tech Strategy &amp; Infrastructure || Business Model Development || Data Analytics || Go to Market Strategy || Tech Strategy &amp; Infrastructure || Business Model Development || Data Analytics || Go to Market Strategy || Tech Strategy &amp; Infrastructure || Business Model Development || Data Analytics || Go to Market Strategy || Tech Strategy &amp; Infrastructure || Business Model Development || Data Analytics || Go to Market Strategy || Tech Strategy &amp; Infrastructure || Business Model Development || Data Analytics || Go to Market Strategy || Tech Strategy &amp; Infrastructure || HR Consulting || IT Consulting</t>
  </si>
  <si>
    <t>AI, Big Data &amp; Analytics || AI, Big Data &amp; Analytics || AI, Big Data &amp; Analytics || AI, Big Data &amp; Analytics || FinTech || FinTech || FinTech || FinTech || Technology &amp; Innovation || Technology &amp; Innovation || Technology &amp; Innovation || Technology &amp; Innovation || AI, Big Data &amp; Analytics || AI, Big Data &amp; Analytics || AI, Big Data &amp; Analytics || AI, Big Data &amp; Analytics || FinTech || FinTech || FinTech || FinTech || Technology &amp; Innovation || Technology &amp; Innovation || Technology &amp; Innovation || Technology &amp; Innovation || Software &amp; IT Services</t>
  </si>
  <si>
    <t>Nirmallya Roy Chowdhury</t>
  </si>
  <si>
    <t xml:space="preserve">Radicle </t>
  </si>
  <si>
    <t>Summary:&lt;/strong&gt;&lt;/p&gt;&lt;p&gt;Nirmallya is on a mission to help 100+ brand owners turn their brands into valuable assets by 2025. With over 29 years of diverse experience in marketing and business functions across a wide range of industries, he has crafted 50+ brands and aims to create 48 more.&lt;/p&gt;&lt;p&gt;&lt;br&gt;&lt;/p&gt;Core Expertise:&lt;/strong&gt;&lt;/p&gt;&lt;p&gt;Nirmallya specializes in developing and executing marketing and sales strategies for various consumer-related Product Managements and services. His expertise spans across industries including FMCG, food, durables, lifestyle, construction, transportation, telecom, tobacco, alcohol, garments, retail, IT, healthcare, engineering, agrochemicals, real estate, e-commerce, fintech, and edutech. He excels in understanding consumer behavior, particularly in middle and low-income groups, small towns, and rural markets.&lt;/p&gt;&lt;p&gt;&lt;br&gt;&lt;/p&gt;Problem-Solving Approach:&lt;/strong&gt;&lt;/p&gt;&lt;p&gt;Nirmallya employs a comprehensive approach to business and market planning, utilizing his deep understanding of consumer behavior and market dynamics to craft effective brand and marketing strategies. He integrates 360-degree marketing communication programs across digital, print, electronic, events, retail, direct marketing, and CRM channels.&lt;/p&gt;&lt;p&gt;&lt;br&gt;&lt;/p&gt;Impactful Projects:&lt;/strong&gt;&lt;/p&gt;&lt;ul&gt;&lt;li&gt;Developed and executed successful brand strategies for over 50 brands across various sectors.&lt;/li&gt;&lt;li&gt;Implemented effective marketing communication programs and campaigns that enhanced brand visibility and consumer engagement.&lt;/li&gt;&lt;li&gt;Led market planning and brand development initiatives across India, Bangladesh, and Nepal, contributing to the growth and success of numerous ventures.&lt;/li&gt;&lt;/ul&gt;&lt;p&gt;&lt;br&gt;&lt;/p&gt;Consultation Style:&lt;/strong&gt; Nirmallya offers hands-on mentorship and strategic guidance for brand and marketing development. He provides personalized support and insights to individuals looking to craft their brand strategy or seeking mentorship for their ventures.&lt;/p&gt;</t>
  </si>
  <si>
    <t>https://www.linkedin.com/in/nirmallyaroychowdhury/</t>
  </si>
  <si>
    <t>nirmallya@theradicles.com</t>
  </si>
  <si>
    <t>Branding || Digital Marketing || Go to Market Strategy || Marketing || Branding || Digital Marketing || Go to Market Strategy || Marketing || Branding || Digital Marketing || Go to Market Strategy || Marketing || Branding || Digital Marketing || Go to Market Strategy || Marketing || Branding || Digital Marketing || Go to Market Strategy || Marketing || Branding || Digital Marketing || Go to Market Strategy || Marketing || Branding || Digital Marketing || Go to Market Strategy || Marketing || Branding || Digital Marketing || Go to Market Strategy || Marketing || Branding || Digital Marketing || Go to Market Strategy || Marketing || Branding || Digital Marketing || Go to Market Strategy || Marketing || Marketing &amp; Branding</t>
  </si>
  <si>
    <t>Agriculture &amp; Food Processing || Agriculture &amp; Food Processing || Agriculture &amp; Food Processing || Agriculture &amp; Food Processing || Consumer Products || Consumer Products || Consumer Products || Consumer Products || Education &amp; Training || Education &amp; Training || Education &amp; Training || Education &amp; Training || Real Estate &amp; Construction || Real Estate &amp; Construction || Real Estate &amp; Construction || Real Estate &amp; Construction || Retail &amp; e-Commerce || Retail &amp; e-Commerce || Retail &amp; e-Commerce || Retail &amp; e-Commerce || Agriculture &amp; Food Processing || Agriculture &amp; Food Processing || Agriculture &amp; Food Processing || Agriculture &amp; Food Processing || Consumer Products || Consumer Products || Consumer Products || Consumer Products || Education &amp; Training || Education &amp; Training || Education &amp; Training || Education &amp; Training || Real Estate &amp; Construction || Real Estate &amp; Construction || Real Estate &amp; Construction || Real Estate &amp; Construction || Retail &amp; e-Commerce || Retail &amp; e-Commerce || Retail &amp; e-Commerce || Retail &amp; e-Commerce || Consumer Products​</t>
  </si>
  <si>
    <t>Nitesh Sharma</t>
  </si>
  <si>
    <t>Growth Marketing</t>
  </si>
  <si>
    <t>SMARTe</t>
  </si>
  <si>
    <t>Summary:&lt;/strong&gt;&lt;/p&gt;&lt;p&gt;Nitesh is a seasoned growth marketing expert with 11 years of experience, specializing in performance marketing and demand generation. He has a strong track record of driving user growth for both B2C and B2B companies, utilizing innovative and effective marketing strategies to deliver tangible results.&lt;/p&gt;&lt;p&gt;&lt;br&gt;&lt;/p&gt;Core Expertise:&lt;/strong&gt; Nitesh's expertise spans a wide range of marketing disciplines, including:&lt;/p&gt;&lt;ul&gt;&lt;li&gt;&lt;strong&gt;Demand Generation&lt;/strong&gt;: Implementing strategies to generate high-quality leads and drive sales.&lt;/li&gt;&lt;li&gt;&lt;strong&gt;Growth Marketing&lt;/strong&gt;: Focusing on scalable and sustainable growth tactics.&lt;/li&gt;&lt;li&gt;&lt;strong&gt;Performance Marketing&lt;/strong&gt;: Optimizing campaigns across various channels to maximize ROI.&lt;/li&gt;&lt;li&gt;&lt;strong&gt;Search Engine Marketing (SEM)&lt;/strong&gt;: Creating and managing paid search campaigns.&lt;/li&gt;&lt;li&gt;&lt;strong&gt;Search Engine Optimization (SEO)&lt;/strong&gt;: Enhancing organic visibility and traffic.&lt;/li&gt;&lt;li&gt;&lt;strong&gt;Marketing Consulting&lt;/strong&gt;: Providing strategic advice to improve overall marketing effectiveness.&lt;/li&gt;&lt;/ul&gt;&lt;p&gt;&lt;br&gt;&lt;/p&gt;Problem-Solving Approach:&lt;/strong&gt;&lt;/p&gt;&lt;p&gt;Nitesh approaches marketing challenges with a data-driven mindset, leveraging analytics and the latest technologies to inform decision-making. He is adept at understanding the nuances of different industries and tailoring his strategies to meet specific business goals. His focus on continuous optimization ensures that campaigns are not only effective but also efficient in terms of resource allocation.&lt;/p&gt;&lt;p&gt;&lt;br&gt;&lt;/p&gt;Impactful Projects:&lt;/strong&gt;&lt;/p&gt;&lt;p&gt;Throughout his career, Nitesh has successfully led numerous marketing initiatives that have significantly impacted businesses' bottom lines. He has experience creating targeted campaigns across paid search, social media, email, and display advertising, which have consistently generated leads and increased sales. His work spans diverse industries, including SaaS, Fintech, and eCommerce, where he has demonstrated the ability to adapt to varying market dynamics.&lt;/p&gt;&lt;p&gt;&lt;br&gt;&lt;/p&gt;Consultation Style:&lt;/strong&gt;&lt;/p&gt;&lt;p&gt;Nitesh is passionate about mentoring and developing marketing teams, sharing his extensive knowledge of data-driven marketing. He takes a collaborative approach, working closely with clients to understand their unique challenges and providing tailored solutions. By focusing on building a deep understanding of the latest tools and technologies, Nitesh helps businesses optimize their marketing efforts and achieve maximum return on investment.&lt;/p&gt;</t>
  </si>
  <si>
    <t>https://www.linkedin.com/in/growthbynitesh/</t>
  </si>
  <si>
    <t>growthbynitesh@gmail.com</t>
  </si>
  <si>
    <t>Digital Marketing || Marketing || Social Media Marketing || Digital Marketing || Marketing || Social Media Marketing || Digital Marketing || Marketing || Social Media Marketing || Digital Marketing || Marketing || Social Media Marketing || Digital Marketing || Marketing || Social Media Marketing || Digital Marketing || Marketing || Social Media Marketing || Marketing &amp; Branding || Entrepreneurship Coaching</t>
  </si>
  <si>
    <t>Consumer Products || Consumer Products || Consumer Products || Retail &amp; e-Commerce || Retail &amp; e-Commerce || Retail &amp; e-Commerce || Technology &amp; Innovation || Technology &amp; Innovation || Technology &amp; Innovation || Consumer Products || Consumer Products || Consumer Products || Retail &amp; e-Commerce || Retail &amp; e-Commerce || Retail &amp; e-Commerce || Technology &amp; Innovation || Technology &amp; Innovation || Technology &amp; Innovation || Retail &amp; e-Commerce</t>
  </si>
  <si>
    <t>Nitika Mittal</t>
  </si>
  <si>
    <t>Associate Vice President</t>
  </si>
  <si>
    <t>Arka Investment Advisory Services Private Limited</t>
  </si>
  <si>
    <t>Strategy &amp; Investment Specialist | Startup Advisor | Growth Advocate | Story Teller
As a seasoned strategy and investment specialist, I am passionate about driving growth and innovation within the startup ecosystem. With extensive experience in financial analysis, market strategy, and operational execution, I help entrepreneurs navigate the complexities of fundraising and strategic development.
My career is built on a solid foundation of advising startups at various stages, from seed funding to scaling operations.
I excel at identifying high-potential investment opportunities and developing strategic plans that align with both short-term goals and long-term vision.
Let’s connect to explore strategic pathways and investment opportunities that drive innovation and success.</t>
  </si>
  <si>
    <t>https://www.linkedin.com/in/mittalnitika</t>
  </si>
  <si>
    <t>nitika.mttl2012@gmail.com</t>
  </si>
  <si>
    <t>Budgeting &amp; Financial Modeling || Fundraising || Pitch coaching || Budgeting &amp; Financial Modeling || Fundraising || Pitch coaching || Budgeting &amp; Financial Modeling || Fundraising || Pitch coaching || Budgeting &amp; Financial Modeling || Fundraising || Pitch coaching || Budgeting &amp; Financial Modeling || Fundraising || Pitch coaching || Budgeting &amp; Financial Modeling || Fundraising || Pitch coaching || Business Finance || Investing</t>
  </si>
  <si>
    <t>Agriculture &amp; Food Processing || Agriculture &amp; Food Processing || Agriculture &amp; Food Processing || FinTech || FinTech || FinTech || Real Estate &amp; Construction || Real Estate &amp; Construction || Real Estate &amp; Construction || Agriculture &amp; Food Processing || Agriculture &amp; Food Processing || Agriculture &amp; Food Processing || FinTech || FinTech || FinTech || Real Estate &amp; Construction || Real Estate &amp; Construction || Real Estate &amp; Construction || Fintech, Banking, Financial Services</t>
  </si>
  <si>
    <t>Nitin Kapoor</t>
  </si>
  <si>
    <t>IBA Crafts</t>
  </si>
  <si>
    <t>Summary:&lt;/strong&gt;&lt;/p&gt;&lt;p&gt;Nitin Kapoor is the CEO and co-Founder of IBA Crafts Private Limited, a leading e-commerce platform for Indian ethnic Product Managements based in Noida. With an MBA in Marketing and Accounting from Amity University and extensive experience in HNI Wealth Advisory at Kotak Wealth and Standard Chartered, Nitin has transformed IBA Crafts into the largest online seller of Indian ethnic Product Managements. His leadership focuses on new Product Management development, vendor and clientele management, and global Product Management sourcing.&lt;/p&gt;&lt;p&gt;&lt;br&gt;&lt;/p&gt;Core Expertise:&lt;/strong&gt;&lt;/p&gt;&lt;ul&gt;&lt;li&gt;&lt;strong&gt;E-commerce Strategy:&lt;/strong&gt; Expertise in bridging global trade gaps and enhancing online sales for Indian ethnic Product Managements.&lt;/li&gt;&lt;li&gt;&lt;strong&gt;Product Management Development:&lt;/strong&gt; Leading new Product Management development and innovating to meet market demands.&lt;/li&gt;&lt;li&gt;&lt;strong&gt;Vendor and Clientele Management:&lt;/strong&gt; Managing relationships with vendors and high-profile clientele.&lt;/li&gt;&lt;li&gt;&lt;strong&gt;Global Sourcing:&lt;/strong&gt; Overseeing the sourcing of Product Managements on an international scale.&lt;/li&gt;&lt;/ul&gt;&lt;p&gt;&lt;br&gt;&lt;/p&gt;Problem-Solving Approach:&lt;/strong&gt;&lt;/p&gt;&lt;p&gt;Nitin’s approach to problem-solving involves a thorough examination of industry shortcomings and a commitment to innovation. Recognizing issues such as overProduct Managemention, high storage and distribution costs, and environmental damage, he developed Textech—a proprietary platform designed to address these challenges. Textech aims to revolutionize the garment industry with solutions like AR/VR features for design visualization, reducing waste, and improving efficiency in Product Managemention and logistics.&lt;/p&gt;&lt;p&gt;&lt;br&gt;&lt;/p&gt;Impactful Projects:&lt;/strong&gt;&lt;/p&gt;&lt;ul&gt;&lt;li&gt;&lt;strong&gt;IBA Crafts:&lt;/strong&gt; Under Nitin’s leadership, IBA Crafts has become the largest online seller of Indian ethnic Product Managements, breaking barriers in global trade and setting new standards in the e-commerce space.&lt;/li&gt;&lt;li&gt;&lt;strong style="color: rgb(0, 0, 0);"&gt;Moomaya&lt;/strong&gt;&lt;strong&gt;:&lt;/strong&gt; Developed to tackle major issues in the garment industry, including overProduct Managemention and pollution. Textech’s AR/VR capabilities provide cost-effective design visualization and reduce wastage.&lt;/li&gt;&lt;/ul&gt;&lt;p&gt;&lt;br&gt;&lt;/p&gt;Consultation Style:&lt;/strong&gt;&lt;/p&gt;&lt;p&gt;Nitin is an advocate for leveraging technology to solve industry-specific problems while maintaining a critical perspective on its limitations. His consultation approach is collaborative and solution-oriented, focusing on understanding client needs and implementing innovative strategies to address complex challenges. He is open to discussing IBA Crafts and Textech, providing insights into how these initiatives can drive positive change in the garment industry.&lt;/p&gt;</t>
  </si>
  <si>
    <t>https://www.linkedin.com/in/nitinkapoorjustintime/</t>
  </si>
  <si>
    <t>nitin@ibacrafts.com</t>
  </si>
  <si>
    <t>Go to Market Strategy || Process Optimization || Go to Market Strategy || Process Optimization || Go to Market Strategy || Process Optimization || Go to Market Strategy || Process Optimization || Go to Market Strategy || Process Optimization || Go to Market Strategy || Process Optimization || Go to Market Strategy || Process Optimization || Go to Market Strategy || Process Optimization || E-commerce Management || Entrepreneurship Coaching</t>
  </si>
  <si>
    <t>Environment, Sustainability &amp; Governance (ESG) || Environment, Sustainability &amp; Governance (ESG) || Fashion &amp; Beauty || Fashion &amp; Beauty || Industrial Automation &amp; Manufacturing || Industrial Automation &amp; Manufacturing || Retail &amp; e-Commerce || Retail &amp; e-Commerce || Environment, Sustainability &amp; Governance (ESG) || Environment, Sustainability &amp; Governance (ESG) || Fashion &amp; Beauty || Fashion &amp; Beauty || Industrial Automation &amp; Manufacturing || Industrial Automation &amp; Manufacturing || Retail &amp; e-Commerce || Retail &amp; e-Commerce || Textiles &amp; Apparel</t>
  </si>
  <si>
    <t>Nitin Mathur</t>
  </si>
  <si>
    <t>Startup Mentor and Advisor</t>
  </si>
  <si>
    <t>Nitin Mathur Consults</t>
  </si>
  <si>
    <t>Summary: &lt;/strong&gt;&lt;/p&gt;&lt;p&gt;Nitin Mathur has a distinguished career spanning over 23 years, focusing on strategy, marketing, and sales. With a robust background in building and scaling teams, business units, and organizations, Nitin has consistently driven profitability while effectively mitigating risk. His extensive experience encompasses leading research, insight, data, analytics, Product Management, and technology functions within both large corporate and development sector organizations. Nitin has also founded and led a travel startup as CEO and has provided strategic consulting, coaching, and mentorship to other startups and their executive leadership teams.&amp;nbsp;&lt;/p&gt;&lt;p&gt;&lt;br&gt;&lt;/p&gt;Core Expertise: &lt;/strong&gt;&lt;/p&gt;&lt;ul&gt;&lt;li&gt;Strategy and Marketing&lt;/li&gt;&lt;li&gt;Sales and Business Development&lt;/li&gt;&lt;li&gt;Research and Insights&lt;/li&gt;&lt;li&gt;Data and Analytics&lt;/li&gt;&lt;li&gt;Product Management and Technology&lt;/li&gt;&lt;li&gt;Leadership&lt;/li&gt;&lt;li&gt;Startup Consulting&lt;/li&gt;&lt;li&gt;Mentorship&lt;/li&gt;&lt;/ul&gt;&lt;p&gt;&lt;br&gt;&lt;/p&gt;Problem-Solving Approach:&lt;/strong&gt;&lt;/p&gt;&lt;p&gt;Nitin utilizes a data-driven methodology to address and solve challenges within various functions and industries. He emphasizes a comprehensive understanding of the problem context, leveraging insights from data and analytics to inform decision-making. His approach involves: Conducting thorough research and analysis to identify root causes. Developing strategic plans that align with business objectives. Implementing solutions that are scalable and sustainable. Continuously monitoring and optimizing processes to ensure effectiveness.&lt;/p&gt;&lt;p&gt;&lt;br&gt;&lt;/p&gt;Impactful Projects: &lt;/strong&gt;&lt;/p&gt;&lt;ul&gt;&lt;li&gt;&lt;strong&gt;Team Building and Leadership: &lt;/strong&gt;Nitin has successfully built and led cross-functional teams, ensuring cohesive performance and alignment with strategic goals.&lt;/li&gt;&lt;li&gt;&lt;strong&gt;Business Unit Development:&lt;/strong&gt; He has developed and scaled business units from inception, driving significant revenue growth and profitability.&lt;/li&gt;&lt;li&gt;&lt;strong&gt;Risk Mitigation:&lt;/strong&gt; Implemented strategies to identify and mitigate risks, ensuring stable business operations.&lt;/li&gt;&lt;li&gt;&lt;strong&gt;Corporate and Development Sector Leadership:&lt;/strong&gt; Led critical functions such as research, data, and Product Management development, driving innovation and informed decision-making within large organizations.&lt;/li&gt;&lt;li&gt;&lt;strong&gt;Entrepreneurial Ventures:&lt;/strong&gt; As the Founder and CEO of a travel startup, Nitin scaled the business effectively. He also provided strategic advice and mentorship to various startups, aiding their growth and success.&amp;nbsp;&lt;/li&gt;&lt;/ul&gt;&lt;p&gt;&lt;br&gt;&lt;/p&gt;Consultation Style: &lt;/strong&gt;&lt;/p&gt;&lt;ul&gt;&lt;li&gt;Nitin prefers a collaborative and hands-on consultation style, tailoring his guidance to meet the unique needs of each client. He focuses on:&lt;/li&gt;&lt;li&gt;Understanding Client Needs: Engaging with clients to thoroughly understand their challenges and goals.&lt;/li&gt;&lt;li&gt;Data-Driven Decision Making: Leveraging data and analytics to provide actionable insights and recommendations.&lt;/li&gt;&lt;li&gt;Customized Solutions: Developing tailored strategies and solutions that align with the client's specific context and objectives.&lt;/li&gt;&lt;li&gt;Continuous Support: Offering ongoing support and mentorship to ensure successful implementation and optimization of solutions.&lt;/li&gt;&lt;/ul&gt;&lt;p&gt;&lt;br&gt;&lt;/p&gt;&lt;p&gt;Nitin's extensive experience and strategic insights make him an invaluable consultant for businesses looking to grow and thrive. His commitment to fostering innovation and sustainable growth ensures that his clients receive practical, actionable advice tailored to their unique needs.&lt;/p&gt;</t>
  </si>
  <si>
    <t>https://www.linkedin.com/in/tinmathur/</t>
  </si>
  <si>
    <t>nitinmathur1978@gmail.com</t>
  </si>
  <si>
    <t>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Business Model Development || Deep Tech (Blockchain, AI, Robotics, AR/VR) || Go to Market Strategy || Product Development || Prototyping &amp; Testing || Strategic Planning || Product Management || Entrepreneurship Coaching</t>
  </si>
  <si>
    <t>AI, Big Data &amp; Analytics || AI, Big Data &amp; Analytics || AI, Big Data &amp; Analytics || AI, Big Data &amp; Analytics || AI, Big Data &amp; Analytics || AI, Big Data &amp; Analytics || Education &amp; Training || Education &amp; Training || Education &amp; Training || Education &amp; Training || Education &amp; Training || Education &amp; Training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AI, Big Data &amp; Analytics || AI, Big Data &amp; Analytics || AI, Big Data &amp; Analytics || AI, Big Data &amp; Analytics || AI, Big Data &amp; Analytics || AI, Big Data &amp; Analytics || Education &amp; Training || Education &amp; Training || Education &amp; Training || Education &amp; Training || Education &amp; Training || Education &amp; Training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AI, Big Data &amp; Analytics || AI, Big Data &amp; Analytics || AI, Big Data &amp; Analytics || AI, Big Data &amp; Analytics || AI, Big Data &amp; Analytics || AI, Big Data &amp; Analytics || Education &amp; Training || Education &amp; Training || Education &amp; Training || Education &amp; Training || Education &amp; Training || Education &amp; Training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AI, Big Data &amp; Analytics || AI, Big Data &amp; Analytics || AI, Big Data &amp; Analytics || AI, Big Data &amp; Analytics || AI, Big Data &amp; Analytics || AI, Big Data &amp; Analytics || Education &amp; Training || Education &amp; Training || Education &amp; Training || Education &amp; Training || Education &amp; Training || Education &amp; Training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Software &amp; IT Services</t>
  </si>
  <si>
    <t>Kaushik Bose</t>
  </si>
  <si>
    <t>Co-Founder of WellnessFusion and Brain Box Catalysts</t>
  </si>
  <si>
    <t>WellnessFusion and Brain Box Catalysts</t>
  </si>
  <si>
    <t>Summary:&lt;/strong&gt;&amp;nbsp;Kaushik is a dynamic leader with a rich background in B2B sales, entrepreneurship, and leadership. His career spans over two decades, marked by significant achievements in both corporate and startup environments. Graduating from MDI, Gurgaon, Kaushik embarked on a journey through prominent IT companies, transitioned to successful entrepreneurship, and now excels in the Deep Tech and Electric Vehicle (EV) sectors. His diverse experiences and insightful leadership have made a substantial impact across various industries.&lt;/p&gt;&lt;p&gt;&lt;br&gt;&lt;/p&gt;Core Expertise:&lt;/strong&gt;&lt;/p&gt;&lt;ul&gt;&lt;li&gt;&lt;strong&gt;Podcasting:&lt;/strong&gt;&amp;nbsp;Host of the "Brain Box" podcast, where Kaushik engages with CEOs, MDs, and leaders to share insights on leadership and wellness. Ranked 9th in India in 2022, the podcast underscores his commitment to promoting balanced success.&lt;/li&gt;&lt;li&gt;&lt;strong&gt;B2B Sales:&lt;/strong&gt;&amp;nbsp;With 14 years of experience in B2B sales, Kaushik has worked with IT giants like Wipro, SAP, IBM, and GBM across India, Bangladesh, and the UAE. He has closed six deals over $1 million, showcasing his expertise in high-stakes negotiations.&lt;/li&gt;&lt;li&gt;&lt;strong&gt;Entrepreneurship:&lt;/strong&gt;&amp;nbsp;Co-founded two B2C brands in 2017, scaling them to 18 franchises within four years, demonstrating his ability to build and grow businesses.&lt;/li&gt;&lt;li&gt;&lt;strong&gt;Leadership &amp;amp; Consulting:&lt;/strong&gt;&amp;nbsp;Served as Chief Business Officer for startups in Deep Tech and EV sectors, and has consulted for over 50 startups, providing strategic guidance and driving innovation.&lt;/li&gt;&lt;/ul&gt;&lt;p&gt;&lt;br&gt;&lt;/p&gt;Problem-Solving Approach&lt;/strong&gt;: Kaushik’s approach to problem-solving is characterized by a blend of strategic insight and practical execution. His experience in high-value B2B sales has honed his skills in understanding complex market dynamics and devising effective solutions. In his entrepreneurial ventures, he demonstrated resilience and innovation, overcoming challenges through strategic planning and operational excellence. His leadership in startups and consulting roles is marked by a focus on growth, scalability, and sustainable business practices.&lt;/p&gt;&lt;p&gt;&lt;br&gt;&lt;/p&gt;Impactful Projects:&lt;/strong&gt;&lt;/p&gt;&lt;ul&gt;&lt;li&gt;&lt;strong&gt;Podcast Influence:&lt;/strong&gt;&amp;nbsp;Hosted "Brain Box," featuring discussions with influential leaders on leadership and wellness, earning a top 10 ranking in India in 2022.&lt;/li&gt;&lt;li&gt;&lt;strong&gt;B2B Sales Achievements:&lt;/strong&gt;&amp;nbsp;Closed multiple deals over $1 million, significantly boosting revenue and market presence in key regions.&lt;/li&gt;&lt;li&gt;&lt;strong&gt;Entrepreneurial Success:&lt;/strong&gt;&amp;nbsp;Established and expanded two B2C brands to 18 franchises, achieving successful exits.&lt;/li&gt;&lt;li&gt;&lt;strong&gt;Startup Leadership:&lt;/strong&gt;&amp;nbsp;Led Deep Tech and EV startups as CBO, driving strategic growth and innovation.&lt;/li&gt;&lt;/ul&gt;&lt;p&gt;&lt;br&gt;&lt;/p&gt;Consultation Style&lt;/strong&gt;: Kaushik’s consultation style is collaborative and strategic. He engages deeply with startups and executives to understand their unique challenges and goals. His approach involves offering practical advice, strategic insights, and actionable solutions tailored to each client’s needs. By leveraging his extensive experience and network, Kaushik provides valuable guidance that drives growth and innovation.&lt;/p&gt;</t>
  </si>
  <si>
    <t>https://www.linkedin.com/in/kaushik-bose</t>
  </si>
  <si>
    <t>bosekaushik@gmail.com</t>
  </si>
  <si>
    <t>Marketing: Content &amp; Media</t>
  </si>
  <si>
    <t>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Branding || Go to Market Strategy || Marketing || Sales Strategy || Media &amp; PR || Marketing &amp; Branding</t>
  </si>
  <si>
    <t>Advanced Manufacturing &amp; Robotics || Advanced Manufacturing &amp; Robotics || Advanced Manufacturing &amp; Robotics || Advanced Manufacturing &amp; Robotics || AI, Big Data &amp; Analytics || AI, Big Data &amp; Analytics || AI, Big Data &amp; Analytics || AI, Big Data &amp; Analytics || CleanTech || CleanTech || CleanTech || CleanTech || Fashion &amp; Beauty || Fashion &amp; Beauty || Fashion &amp; Beauty || Fashion &amp; Beauty || Healthtech &amp; Wellness || Healthtech &amp; Wellness || Healthtech &amp; Wellness || Healthtech &amp; Wellness || Media &amp; Entertainment || Media &amp; Entertainment || Media &amp; Entertainment || Media &amp; Entertainment || Real Estate &amp; Housing || Real Estate &amp; Housing || Real Estate &amp; Housing || Real Estate &amp; Housing || Services || Services || Services || Services || Advanced Manufacturing &amp; Robotics || Advanced Manufacturing &amp; Robotics || Advanced Manufacturing &amp; Robotics || Advanced Manufacturing &amp; Robotics || AI, Big Data &amp; Analytics || AI, Big Data &amp; Analytics || AI, Big Data &amp; Analytics || AI, Big Data &amp; Analytics || CleanTech || CleanTech || CleanTech || CleanTech || Fashion &amp; Beauty || Fashion &amp; Beauty || Fashion &amp; Beauty || Fashion &amp; Beauty || Healthtech &amp; Wellness || Healthtech &amp; Wellness || Healthtech &amp; Wellness || Healthtech &amp; Wellness || Media &amp; Entertainment || Media &amp; Entertainment || Media &amp; Entertainment || Media &amp; Entertainment || Real Estate &amp; Housing || Real Estate &amp; Housing || Real Estate &amp; Housing || Real Estate &amp; Housing || Services || Services || Services || Services || Media, Arts &amp; Entertainment</t>
  </si>
  <si>
    <t>Om Anand Kumar</t>
  </si>
  <si>
    <t>BindBee</t>
  </si>
  <si>
    <t>Summary:&lt;/strong&gt;&lt;/p&gt;&lt;p&gt;Om is a seasoned entrepreneur and business leader with extensive experience in SaaS, retail, and FMCG industries. As the Co-Founder and CEO of Bindbee, an Integration SaaS company, Om has successfully navigated the challenges of building and scaling a startup from India to serve markets in the US and EU. His background includes pivotal roles in leading business development and sales teams, as well as expertise in Product Management development and market expansion.&lt;/p&gt;&lt;p&gt;&lt;br&gt;&lt;/p&gt;Core Expertise:&lt;/strong&gt;&lt;/p&gt;&lt;ul&gt;&lt;li&gt;Sales and Business Development&lt;/li&gt;&lt;li&gt;Product Management Development&lt;/li&gt;&lt;li&gt;Market Strategy&lt;/li&gt;&lt;/ul&gt;&lt;p&gt;&lt;br&gt;&lt;/p&gt;Preferred Industries&lt;/strong&gt;&lt;/p&gt;&lt;ul&gt;&lt;li&gt;SaaS (Software as a Service)&lt;/li&gt;&lt;li&gt;Retail and FMCG (Fast-Moving Consumer Goods)&lt;/li&gt;&lt;/ul&gt;&lt;p&gt;&lt;br&gt;&lt;/p&gt;&lt;p&gt;&lt;br&gt;&lt;/p&gt;Problem-Solving Approach:&lt;/strong&gt;&lt;/p&gt;&lt;p&gt;Om leverages a combination of strategic planning, innovative thinking, and a deep understanding of market dynamics to develop and implement effective sales and growth strategies. He focuses on building scalable processes, fostering strong team collaboration, and driving revenue growth through targeted market expansion.&lt;/p&gt;&lt;p&gt;&lt;br&gt;&lt;/p&gt;Impactful Projects:&lt;/strong&gt;&lt;/p&gt;&lt;ul&gt;&lt;li&gt;Successfully raised Pre-seed, Seed, and Series A funding rounds for Bindbee, enabling significant Product Management development and market penetration in the US and EU.&lt;/li&gt;&lt;li&gt;At FieldAssist, led a team to digitalize and automate the CPG industry, enhancing sales and demand generation, and securing major enterprise deals.&lt;/li&gt;&lt;li&gt;Co-founded Terre Brown, where he managed operations, scaled the team, and expanded into international markets, demonstrating his ability to grow a business from the ground up.&lt;/li&gt;&lt;/ul&gt;&lt;p&gt;&lt;br&gt;&lt;/p&gt;&lt;p&gt;&lt;br&gt;&lt;/p&gt;&lt;p&gt;&lt;br&gt;&lt;/p&gt;</t>
  </si>
  <si>
    <t>https://www.linkedin.com/in/om-anand-unifyx?utm_source=share&amp;utm_campaign=share_via&amp;utm_content=profile&amp;utm_medium=ios_app</t>
  </si>
  <si>
    <t>om@bindbee.dev</t>
  </si>
  <si>
    <t>Business Model Development || Fundraising || Go to Market Strategy || Product Development || Sales Strategy || Business Model Development || Fundraising || Go to Market Strategy || Product Development || Sales Strategy || Business Model Development || Fundraising || Go to Market Strategy || Product Development || Sales Strategy || Business Model Development || Fundraising || Go to Market Strategy || Product Development || Sales Strategy || Business Model Development || Fundraising || Go to Market Strategy || Product Development || Sales Strategy || Business Model Development || Fundraising || Go to Market Strategy || Product Development || Sales Strategy || Product Management || Software Development</t>
  </si>
  <si>
    <t>Consumer Products || Consumer Products || Consumer Products || Consumer Products || Consumer Products || Retail &amp; e-Commerce || Retail &amp; e-Commerce || Retail &amp; e-Commerce || Retail &amp; e-Commerce || Retail &amp; e-Commerce || Technology &amp; Innovation || Technology &amp; Innovation || Technology &amp; Innovation || Technology &amp; Innovation || Technology &amp; Innovation || Consumer Products || Consumer Products || Consumer Products || Consumer Products || Consumer Products || Retail &amp; e-Commerce || Retail &amp; e-Commerce || Retail &amp; e-Commerce || Retail &amp; e-Commerce || Retail &amp; e-Commerce || Technology &amp; Innovation || Technology &amp; Innovation || Technology &amp; Innovation || Technology &amp; Innovation || Technology &amp; Innovation || Software &amp; IT Services</t>
  </si>
  <si>
    <t>Pallavi Tyagi</t>
  </si>
  <si>
    <t>26 Technology Services</t>
  </si>
  <si>
    <t>Summary:&lt;/strong&gt;&amp;nbsp;&lt;/p&gt;&lt;p&gt;Pallavi is a dynamic entrepreneur and the Founder of 26Tech, a company dedicated to providing flexible, customized, and scalable marketing solutions for bootstrapped companies. Her entrepreneurial spirit and growth mindset have been pivotal to her success. Before founding 26Tech, Pallavi leveraged her analytical skills and results-oriented approach as an automotive engineer, gaining experience across five continents. This global perspective, combined with her role as co-Founder of a government-recognized children’s digital publication startup, has given her a deep understanding of the complexities involved in scaling ventures.&lt;/p&gt;&lt;p&gt;&lt;br&gt;&lt;/p&gt;Core Expertise&lt;/strong&gt;:&lt;/p&gt;&lt;ul&gt;&lt;li&gt;&lt;strong&gt;Marketing Solutions&lt;/strong&gt;: Specializes in delivering flexible and scalable marketing solutions tailored for bootstrapped companies.&lt;/li&gt;&lt;li&gt;&lt;strong&gt;Engineering Background&lt;/strong&gt;: Utilizes her experience as an automotive engineer to apply analytical and data-driven strategies in marketing.&lt;/li&gt;&lt;li&gt;&lt;strong&gt;Startup Experience&lt;/strong&gt;: Co-Founder of a government-recognized children's digital publication, providing her with hands-on experience in scaling ventures.&lt;/li&gt;&lt;li&gt;&lt;strong&gt;Leadership and Mentorship&lt;/strong&gt;: Active in empowering future leaders through workshops and mentorship programs, impacting over 700 individuals.&lt;/li&gt;&lt;li&gt;&lt;strong&gt;Thought Leadership&lt;/strong&gt;: Serves on the board of the Army Institute of Technology's Innovation Council in Pune and recognized as a "LinkedIn Top Voice."&lt;/li&gt;&lt;/ul&gt;&lt;p&gt;&lt;br&gt;&lt;/p&gt;Problem-Solving Approach&lt;/strong&gt;:&lt;/p&gt;&lt;p&gt;Pallavi’s approach to problem-solving is driven by her entrepreneurial mindset and global experience. She focuses on:&lt;/p&gt;&lt;ul&gt;&lt;li&gt;&lt;strong&gt;Customization&lt;/strong&gt;: Tailoring marketing strategies to the unique needs of bootstrapped companies to ensure flexibility and scalability.&lt;/li&gt;&lt;li&gt;&lt;strong&gt;Data-Driven Decisions&lt;/strong&gt;: Applying analytical skills developed from her engineering background to make informed decisions and optimize marketing efforts.&lt;/li&gt;&lt;li&gt;&lt;strong&gt;Hands-On Experience&lt;/strong&gt;: Utilizing practical insights gained from her previous startup and engineering roles to address and solve business challenges effectively.&lt;/li&gt;&lt;li&gt;&lt;strong&gt;Global Perspective&lt;/strong&gt;: Leveraging her international experience to bring innovative solutions and strategies from diverse markets.&lt;/li&gt;&lt;li&gt;&lt;strong&gt;Empowerment and Education&lt;/strong&gt;: Conducting workshops and mentorship programs to guide and support entrepreneurs and future leaders.&lt;/li&gt;&lt;/ul&gt;&lt;p&gt;&lt;br&gt;&lt;/p&gt;Impactful Projects&lt;/strong&gt;:&lt;/p&gt;&lt;ul&gt;&lt;li&gt;&lt;strong&gt;26Tech&lt;/strong&gt;: Founded and grew 26Tech to provide bespoke marketing solutions that help bootstrapped companies scale effectively.&lt;/li&gt;&lt;li&gt;&lt;strong&gt;Children’s Digital Publication&lt;/strong&gt;: Co-founded a successful startup recognized by the government, demonstrating her ability to navigate and scale ventures.&lt;/li&gt;&lt;li&gt;&lt;strong&gt;Mentorship Programs&lt;/strong&gt;: Impacted over 700 individuals through workshops and mentorship, fostering the development of future leaders.&lt;/li&gt;&lt;li&gt;&lt;strong&gt;Board Membership&lt;/strong&gt;: Contributed to the Army Institute of Technology’s Innovation Council, influencing and guiding technological and entrepreneurial initiatives.&lt;/li&gt;&lt;li&gt;&lt;strong&gt;LinkedIn Top Voice&lt;/strong&gt;: Earned recognition as a top influencer on LinkedIn, reflecting her thought leadership and impact in the industry.&lt;/li&gt;&lt;/ul&gt;&lt;p&gt;&lt;br&gt;&lt;/p&gt;Consultation Style&lt;/strong&gt;:&lt;/p&gt;&lt;p&gt;Pallavi’s consultation style is collaborative, insightful, and empowering. She emphasizes:&lt;/p&gt;&lt;ul&gt;&lt;li&gt;&lt;strong&gt;Personalized Strategies&lt;/strong&gt;: Developing customized marketing solutions based on the specific needs and goals of each client.&lt;/li&gt;&lt;li&gt;&lt;strong&gt;Data-Driven Insights&lt;/strong&gt;: Utilizing her analytical skills to provide evidence-based recommendations and solutions.&lt;/li&gt;&lt;li&gt;&lt;strong&gt;Hands-On Support&lt;/strong&gt;: Offering practical advice and support based on her extensive experience in startups and engineering.&lt;/li&gt;&lt;li&gt;&lt;strong&gt;Leadership Development&lt;/strong&gt;: Providing mentorship and guidance to help individuals and businesses achieve their full potential.&lt;/li&gt;&lt;li&gt;&lt;strong&gt;Global Insights&lt;/strong&gt;: Drawing from her international experience to offer innovative perspectives and strategies.&lt;/li&gt;&lt;/ul&gt;</t>
  </si>
  <si>
    <t>https://www.linkedin.com/in/pallavityagi</t>
  </si>
  <si>
    <t>pallavi.tyagi.b@gmail.com</t>
  </si>
  <si>
    <t>Branding || Digital Marketing || Go to Market Strategy || Marketing || Social Media Marketing || Branding || Digital Marketing || Go to Market Strategy || Marketing || Social Media Marketing || Branding || Digital Marketing || Go to Market Strategy || Marketing || Social Media Marketing || Branding || Digital Marketing || Go to Market Strategy || Marketing || Social Media Marketing || Branding || Digital Marketing || Go to Market Strategy || Marketing || Social Media Marketing || Branding || Digital Marketing || Go to Market Strategy || Marketing || Social Media Marketing || Marketing &amp; Branding || Entrepreneurship Coaching</t>
  </si>
  <si>
    <t>Automobiles &amp; Auto Components || Automobiles &amp; Auto Components || Automobiles &amp; Auto Components || Automobiles &amp; Auto Components || Automobiles &amp; Auto Components || Fashion &amp; Beauty || Fashion &amp; Beauty || Fashion &amp; Beauty || Fashion &amp; Beauty || Fashion &amp; Beauty || Technology &amp; Innovation || Technology &amp; Innovation || Technology &amp; Innovation || Technology &amp; Innovation || Technology &amp; Innovation || Automobiles &amp; Auto Components || Automobiles &amp; Auto Components || Automobiles &amp; Auto Components || Automobiles &amp; Auto Components || Automobiles &amp; Auto Components || Fashion &amp; Beauty || Fashion &amp; Beauty || Fashion &amp; Beauty || Fashion &amp; Beauty || Fashion &amp; Beauty || Technology &amp; Innovation || Technology &amp; Innovation || Technology &amp; Innovation || Technology &amp; Innovation || Technology &amp; Innovation || Automotive &amp; Auto Components</t>
  </si>
  <si>
    <t>Paramjeet Singh</t>
  </si>
  <si>
    <t>Trainer</t>
  </si>
  <si>
    <t>Union Learning Academy at Union Bank of India</t>
  </si>
  <si>
    <t>Summary:&lt;/strong&gt;&lt;/p&gt;&lt;p&gt;Mr. Paramjeet is a distinguished faculty member with 22 years of experience in management, specializing in research, e-learning, organizational development, and educational leadership. Holding a PhD in Business Administration and Management from Bhopal, he currently trains at Union Learning Academy. His expertise spans branding, social media marketing, training and development, employee engagement, and learning management systems. Mr. Paramjeet's deep knowledge and hands-on experience make him a valuable asset in fostering leadership and development within organizations.&lt;/p&gt;&lt;p&gt;&lt;br&gt;&lt;/p&gt;Key Areas of Expertise:&lt;/strong&gt;&lt;/p&gt;&lt;ul&gt;&lt;li&gt;Branding&lt;/li&gt;&lt;li&gt;Social Media Marketing&lt;/li&gt;&lt;li&gt;Training and Development&lt;/li&gt;&lt;li&gt;Employee Engagement&lt;/li&gt;&lt;li&gt;Learning Management Systems&lt;/li&gt;&lt;/ul&gt;&lt;p&gt;&lt;br&gt;&lt;/p&gt;Strategic Contributions:&lt;/strong&gt;&lt;/p&gt;&lt;ul&gt;&lt;li&gt;Extensive experience in management and organizational development training.&lt;/li&gt;&lt;li&gt;Developed and implemented e-learning solutions to enhance educational outcomes.&lt;/li&gt;&lt;li&gt;Contributed to branding and social media marketing strategies that drive organizational success.&lt;/li&gt;&lt;/ul&gt;&lt;p&gt;&lt;br&gt;&lt;/p&gt;Mentorship Philosophy:&lt;/strong&gt;&lt;/p&gt;&lt;p&gt;Mr. Paramjeet emphasizes practical training and development, integrating research and theory with hands-on learning. He is committed to enhancing employee engagement and leadership through innovative educational strategies.&lt;/p&gt;&lt;p&gt;&lt;br&gt;&lt;/p&gt;Success Stories:&lt;/strong&gt;&lt;/p&gt;&lt;ul&gt;&lt;li&gt;Successful implementation of e-learning programs and training modules at Union Learning Academy.&lt;/li&gt;&lt;li&gt;Notable contributions to branding and social media marketing initiatives that improved organizational visibility.&lt;/li&gt;&lt;li&gt;Enhanced organizational development through strategic employee engagement practices.&lt;/li&gt;&lt;/ul&gt;</t>
  </si>
  <si>
    <t>https://www.linkedin.com/in/prof-dr-paramjeet-singh-184ba798</t>
  </si>
  <si>
    <t>drpjs1408@gmail.com</t>
  </si>
  <si>
    <t>Branding || Business Model Development || Social Media Marketing || Team building || Training &amp; Development || Branding || Business Model Development || Social Media Marketing || Team building || Training &amp; Development || Branding || Business Model Development || Social Media Marketing || Team building || Training &amp; Development || Branding || Business Model Development || Social Media Marketing || Team building || Training &amp; Development || Branding || Business Model Development || Social Media Marketing || Team building || Training &amp; Development || HR Consulting || Market Research</t>
  </si>
  <si>
    <t>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Services || Services || Services || Services ||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Education &amp; Training</t>
  </si>
  <si>
    <t>Ponguri Parthasarathy</t>
  </si>
  <si>
    <t>Deep Technology Healthcare Startups</t>
  </si>
  <si>
    <t>Summary&lt;/strong&gt;:&lt;/p&gt;&lt;p&gt;Mr. Ponguri is a seasoned business mentor with extensive experience in pharma sales and marketing, particularly in the diabetes and cardiology sectors. A former Sanofi professional, he has a proven track record of excellence, highlighted by winning the OPPI Marketing Excellence Award. Mr. Ponguri specializes in marketing and consulting, with a strong focus on driving growth and innovation within the healthcare industry. His expertise is sought after by startups and established companies alike.&lt;/p&gt;&lt;p&gt;&lt;br&gt;&lt;/p&gt;Key Areas of Expertise:&lt;/strong&gt;&lt;/p&gt;&lt;ul&gt;&lt;li&gt;&lt;strong&gt;Pharma Sales &amp;amp; Marketing&lt;/strong&gt;: Specialized in diabetes and cardiology portfolios.&lt;/li&gt;&lt;li&gt;&lt;strong&gt;Marketing Strategy&lt;/strong&gt;: Award-winning expertise in developing and executing effective marketing strategies.&lt;/li&gt;&lt;li&gt;&lt;strong&gt;Business Consulting&lt;/strong&gt;: Provides strategic consulting services to healthcare startups and established firms.&lt;/li&gt;&lt;/ul&gt;&lt;p&gt;&lt;br&gt;&lt;/p&gt;Strategic Contributions:&lt;/strong&gt;&lt;/p&gt;&lt;ul&gt;&lt;li&gt;&lt;strong&gt;Marketing Excellence&lt;/strong&gt;: Recognized with the OPPI Marketing Excellence Award for outstanding achievements in pharmaceutical marketing.&lt;/li&gt;&lt;li&gt;&lt;strong&gt;Portfolio Management&lt;/strong&gt;: Successfully managed critical portfolios in diabetes and cardiology, driving significant business growth.&lt;/li&gt;&lt;/ul&gt;&lt;p&gt;&lt;br&gt;&lt;/p&gt;Mentorship Philosophy:&lt;/strong&gt;&lt;/p&gt;&lt;p&gt;Mr. Ponguri believes in empowering entrepreneurs and professionals through strategic guidance, practical insights, and fostering innovation. His mentorship approach is rooted in sharing real-world experiences and helping mentees navigate challenges to achieve success.&lt;/p&gt;</t>
  </si>
  <si>
    <t>https://www.linkedin.com/in/ponguriparthasarathy/</t>
  </si>
  <si>
    <t>partha6x@gmail.com</t>
  </si>
  <si>
    <t>Branding || Business Model Development || Go to Market Strategy || Marketing || Sales Strategy || Strategic Planning || Marketing &amp; Branding</t>
  </si>
  <si>
    <t>Paroma Ganguly</t>
  </si>
  <si>
    <t>PurposeFuLoop</t>
  </si>
  <si>
    <t>About
Paroma Ganguly is a development communication and social impact professional with experience in driving inclusive growth and ecosystem development across social and entrepreneurial platforms. She has worked with thought leadership networks and contributed to workshops and conclaves focused on sustainable and inclusive development, entrepreneurship, and community impact. Paroma actively engages with changemakers and supports women’s empowerment and leadership in business and social sectors. 
Skillset
Development Communication &amp; Strategy
Social Impact &amp; Community Engagement
Leadership in Ecosystem Building
Women’s Empowerment Initiatives
Stakeholder Collaboration &amp; Facilitation
Workshop &amp; Program Design</t>
  </si>
  <si>
    <t>https://www.linkedin.com/in/paroma-ganguly-6889b32b/</t>
  </si>
  <si>
    <t>paromaganguly.connect@gmail.com</t>
  </si>
  <si>
    <t>Branding || Market research || Marketing || Branding || Market research || Marketing || Branding || Market research || Marketing || Branding || Market research || Marketing || Marketing &amp; Branding</t>
  </si>
  <si>
    <t>Media, Arts &amp; Entertainment || Media, Arts &amp; Entertainment || Media, Arts &amp; Entertainment || Pharmaceuticals, Healthcare and Wellness || Pharmaceuticals, Healthcare and Wellness || Pharmaceuticals, Healthcare and Wellness || Media, Arts &amp; Entertainment || Media, Arts &amp; Entertainment || Media, Arts &amp; Entertainment || Pharmaceuticals, Healthcare and Wellness || Pharmaceuticals, Healthcare and Wellness || Pharmaceuticals, Healthcare and Wellness || Social &amp; Community Services</t>
  </si>
  <si>
    <t>Payal Motla</t>
  </si>
  <si>
    <t>Audit Associate</t>
  </si>
  <si>
    <t>Madeline Advisory Pvt Ltd</t>
  </si>
  <si>
    <t>Summary:&lt;/strong&gt;&lt;/p&gt;&lt;p&gt;Ms. Payal is an experienced freelance business consultant and financial trainer with expertise in B2B collaborations and sales. She has been working on various projects, including freelance speaking engagements, financial training, and business development for companies in HR, education, and financial services. She also offers consulting services by appointment, leveraging her knowledge in financial accounting, business consulting, and personal tax planning to help businesses thrive.&lt;/p&gt;&lt;p&gt;&lt;br&gt;&lt;/p&gt;Key Areas of Expertise:&lt;/strong&gt;&lt;/p&gt;&lt;ul&gt;&lt;li&gt;&lt;strong&gt;Financial Training&lt;/strong&gt;: Conducting freelance speaking engagements as a financial trainer.&lt;/li&gt;&lt;li&gt;&lt;strong&gt;Business Consulting&lt;/strong&gt;: Providing consultancy services with a focus on HR, education, and financial services.&lt;/li&gt;&lt;li&gt;&lt;strong&gt;B2B Collaboration&lt;/strong&gt;: Facilitating business-to-business deals and partnerships.&lt;/li&gt;&lt;li&gt;&lt;strong&gt;Sales and Business Development&lt;/strong&gt;: Supporting companies in sales and business growth on a freelance basis.&lt;/li&gt;&lt;li&gt;&lt;strong&gt;Financial Advisory&lt;/strong&gt;: Specializing in financial accounting and personal tax planning.&lt;/li&gt;&lt;/ul&gt;</t>
  </si>
  <si>
    <t>https://www.linkedin.com/in/payal-motla-79794438</t>
  </si>
  <si>
    <t>manikum.asso@gmail.com</t>
  </si>
  <si>
    <t>Business Finance || Legal and Compliance</t>
  </si>
  <si>
    <t>Phani Pattamatta</t>
  </si>
  <si>
    <t>Fractional Executive</t>
  </si>
  <si>
    <t>IPhi Group</t>
  </si>
  <si>
    <t>Summary&lt;/strong&gt;&lt;/p&gt;&lt;p&gt;Mr. Phani, a seasoned business leader with over 25 years of experience, has held leadership roles in Fortune 500 companies and managed startup ecosystems. He has a strong entrepreneurial spirit, passionate about mentoring next-gen entrepreneurs, youth innovators, and coaching incubator CEOs. His expertise spans managing large P&amp;amp;L operations, setting up global Offshore Development Centers (ODCs), and advising SMEs on growth strategies. Currently, he serves as a Fractional Executive, leveraging his corporate experience to drive impactful transformations in growing businesses, universities, and startups. He also advises tech SMEs on scaling GCC business opportunities and serves on the board of HYSEA.&lt;/p&gt;&lt;p&gt;&lt;br&gt;&lt;/p&gt;Core Expertise&lt;/strong&gt;&lt;/p&gt;&lt;ul&gt;&lt;li&gt;Strategic Planning&lt;/li&gt;&lt;li&gt;Business Advisory&lt;/li&gt;&lt;li&gt;Business Transformation&lt;/li&gt;&lt;li&gt;Leadership Development&lt;/li&gt;&lt;li&gt;Mentoring&lt;/li&gt;&lt;/ul&gt;&lt;p&gt;&lt;br&gt;&lt;/p&gt;Problem Solving Approach&lt;/strong&gt;&lt;/p&gt;&lt;ul&gt;&lt;li&gt;Focuses on building strong teams and developing effective operational plans.&lt;/li&gt;&lt;li&gt;Implements strategic decision-making and operational excellence to drive growth.&lt;/li&gt;&lt;/ul&gt;&lt;p&gt;&lt;br&gt;&lt;/p&gt;Impactful Projects&lt;/strong&gt;&lt;/p&gt;&lt;ul&gt;&lt;li&gt;Managed large P&amp;amp;L operations and established ODCs in India.&lt;/li&gt;&lt;li&gt;Played a key role in setting up global business units and transforming India operations at Bourntec Solutions.&lt;/li&gt;&lt;li&gt;Advised tech SMEs on growth plans and strategies to scale GCC business opportunities.&lt;/li&gt;&lt;/ul&gt;&lt;p&gt;&lt;br&gt;&lt;/p&gt;Consulting Style&lt;/strong&gt;&lt;/p&gt;&lt;ul&gt;&lt;li&gt;As a Fractional Executive, he shares knowledge from his corporate experience to help growing businesses, universities, and startups scale faster and make a significant impact.&lt;/li&gt;&lt;li&gt;Passionate about nurturing entrepreneurs and youth innovators through coaching and mentorship.&lt;/li&gt;&lt;/ul&gt;</t>
  </si>
  <si>
    <t>https://www.linkedin.com/in/phanipattamatta/</t>
  </si>
  <si>
    <t>phani@iphigroup.com</t>
  </si>
  <si>
    <t>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Business Model Development || Fundraising || Growth Strategy Formulation || Strategic Planning || Training &amp; Development || Strategic Planning</t>
  </si>
  <si>
    <t>AI, Big Data &amp; Analytics || AI, Big Data &amp; Analytics || AI, Big Data &amp; Analytics || AI, Big Data &amp; Analytics || AI, Big Data &amp; Analytics || Education &amp; Training || Education &amp; Training || Education &amp; Training || Education &amp; Training || Education &amp; Training || FinTech || FinTech || FinTech || FinTech || FinTech || Services || Services || Services || Services || Services || Technology &amp; Innovation || Technology &amp; Innovation || Technology &amp; Innovation || Technology &amp; Innovation || Technology &amp; Innovation || AI, Big Data &amp; Analytics || AI, Big Data &amp; Analytics || AI, Big Data &amp; Analytics || AI, Big Data &amp; Analytics || AI, Big Data &amp; Analytics || Education &amp; Training || Education &amp; Training || Education &amp; Training || Education &amp; Training || Education &amp; Training || FinTech || FinTech || FinTech || FinTech || FinTech || Services || Services || Services || Services || Services || Technology &amp; Innovation || Technology &amp; Innovation || Technology &amp; Innovation || Technology &amp; Innovation || Technology &amp; Innovation || AI, Big Data &amp; Analytics || AI, Big Data &amp; Analytics || AI, Big Data &amp; Analytics || AI, Big Data &amp; Analytics || AI, Big Data &amp; Analytics || Education &amp; Training || Education &amp; Training || Education &amp; Training || Education &amp; Training || Education &amp; Training || FinTech || FinTech || FinTech || FinTech || FinTech || Services || Services || Services || Services || Services || Technology &amp; Innovation || Technology &amp; Innovation || Technology &amp; Innovation || Technology &amp; Innovation || Technology &amp; Innovation || Software &amp; IT Services</t>
  </si>
  <si>
    <t>Piyush Dalke</t>
  </si>
  <si>
    <t>Shri Sant Gajanan Maharaj College of Engineering, Shegaon</t>
  </si>
  <si>
    <t>https://vidwan.inflibnet.ac.in/profile/499809</t>
  </si>
  <si>
    <t>padpvpit@gmail.com</t>
  </si>
  <si>
    <t>Research and Development</t>
  </si>
  <si>
    <t>Prototyping &amp; Testing || Research Partnerships || Prototyping &amp; Testing || Research Partnerships || Research and Development || Entrepreneurship Coaching</t>
  </si>
  <si>
    <t>Education &amp; Training || Education &amp; Training || Pharmaceuticals, Healthcare and Wellness || Pharmaceuticals, Healthcare and Wellness || Education &amp; Training</t>
  </si>
  <si>
    <t>Piyush Jangid</t>
  </si>
  <si>
    <t>AVP - Strategy and Operations</t>
  </si>
  <si>
    <t>Ecom Express Limited</t>
  </si>
  <si>
    <t>Summary:&lt;/strong&gt;&lt;/p&gt;&lt;p&gt;Piyush is a seasoned supply chain leader with deep expertise in operations strategy, specializing in first-mile and last-mile logistics. He has a proven track record in operational excellence, process engineering, capacity planning, and managing large-scale logistics networks.&lt;/p&gt;&lt;p&gt;&lt;br&gt;&lt;/p&gt;Core Expertise:&lt;/strong&gt;&lt;/p&gt;&lt;p&gt;Piyush has successfully led initiatives across various supply chain functions, including reverse logistics, seller and customer management, cost optimization, and gig workforce scaling. His key strengths include developing efficient logistics processes, driving cost transformation, and improving operational performance.&lt;/p&gt;&lt;p&gt;&lt;br&gt;&lt;/p&gt;Problem-Solving Approach:&lt;/strong&gt;&lt;/p&gt;&lt;p&gt;Piyush focuses on identifying opportunities for growth and efficiency within supply chains. He has implemented industry-first strategies such as daily payouts to gig workers and a 72% variable manpower structure for last-mile delivery. Piyush leverages data-driven insights to optimize processes, ensuring cost savings and improved service quality.&lt;/p&gt;&lt;p&gt;&lt;br&gt;&lt;/p&gt;Impactful Projects:&lt;/strong&gt;&lt;/p&gt;&lt;ul&gt;&lt;li&gt;As the Head of Operations Excellence at Ecom Express, Piyush scaled the gig workforce from 8,000 to 16,000 daily active users in just four months.&lt;/li&gt;&lt;li&gt;At Shadowfax, he managed over 1,200 last-mile delivery hubs, scaling delivery capacity from 90,000 orders per day to 850,000 orders per day, achieving 10x growth in three years.&lt;/li&gt;&lt;li&gt;Piyush also led control tower operations, managing a network of over 7,800 delivery pin codes and ensuring 98% compliance with service-level agreements (S2A).&lt;/li&gt;&lt;/ul&gt;&lt;p&gt;&lt;br&gt;&lt;/p&gt;Consulting Style:&lt;/strong&gt;&lt;/p&gt;&lt;p&gt;Piyush prefers a hands-on, data-driven approach to consulting. He collaborates closely with teams, focusing on process improvements and scalability while maintaining cost efficiency.&lt;/p&gt;</t>
  </si>
  <si>
    <t>https://www.linkedin.com/in/jangidpiyush/</t>
  </si>
  <si>
    <t>jangidp22@gmail.com</t>
  </si>
  <si>
    <t>Performance Management || Strategic Planning || Supply Chain Management || Sustainable Operations || Performance Management || Strategic Planning || Supply Chain Management || Sustainable Operations || Buisness Operations || Supply Chain Management</t>
  </si>
  <si>
    <t>Transportation &amp; Logistics || Transportation &amp; Logistics || Transportation &amp; Logistics || Transportation &amp; Logistics || Transportation &amp; Logistics || Transportation &amp; Logistics || Transportation &amp; Logistics || Transportation &amp; Logistics || Transportation &amp; Logistics</t>
  </si>
  <si>
    <t>Prabhat Kumar</t>
  </si>
  <si>
    <t>ML360 Educations</t>
  </si>
  <si>
    <t>Summary: &lt;/strong&gt;&lt;/p&gt;&lt;p&gt;Prabhat is an achievement-oriented professional with nearly 16 years of extensive experience in Data Analysis and Data Science. He possesses a deep expertise in managing Product Management lifecycle activities, including Business Requirement Document (BRD) preparation, design management, market analysis, issues control and resolution, cost management, and other cross-functional tasks. His background includes a robust focus on business analysis, from As-Is / To-Be Analysis to documenting functional specifications and determining business scenarios. Prabhat is also skilled in building data models and applying learning algorithms in both supervised and unsupervised learning projects.&lt;/p&gt;&lt;p&gt;&lt;br&gt;&lt;/p&gt;Key Areas of Expertise:&lt;/strong&gt;&lt;/p&gt;&lt;p&gt;Data Analysis Data Science Product Management Lifecycle Management Business Requirement Documentation (BRD) Design Management Market Analysis Issue Control and Resolution Cost Management Business Analysis Gap Analysis Functional Mapping Data Modeling Supervised and Unsupervised Learning&lt;/p&gt;&lt;p&gt;&lt;br&gt;&lt;/p&gt;Strategic Contributions:&lt;/strong&gt;&lt;/p&gt;&lt;p&gt;Prabhat has made significant contributions to various projects through his expertise in data analysis and data science. He has been instrumental in preparing comprehensive Business Requirement Documents (BRDs) and managing design and market analysis activities. His proficiency in business analysis includes mapping and finalizing requirements, documenting functional specifications, and defining business scenarios. Prabhat’s ability to apply learning algorithms and build data models has enhanced the effectiveness of supervised and unsupervised learning projects. His skills in Gap Analysis and Functional Mapping have led to the design of customized solutions that optimize business practices and procedures.&lt;/p&gt;&lt;p&gt;&lt;br&gt;&lt;/p&gt;Mentorship Philosophy: &lt;/strong&gt;Prabhat’s mentorship philosophy revolves around leveraging analytical skills and a structured approach to problem-solving. He believes in guiding mentees through a detailed process that includes understanding business requirements, performing Gap Analysis, and designing optimal solutions. His approach focuses on fostering a deep understanding of data science principles and their application in real-world scenarios. Prabhat is dedicated to helping others develop strong analytical skills, improve their business analysis capabilities, and achieve effective solutions through data-driven insights.&lt;/p&gt;</t>
  </si>
  <si>
    <t>https://www.linkedin.com/in/pkprabhat/</t>
  </si>
  <si>
    <t>connect@analystprabhat.in</t>
  </si>
  <si>
    <t>Data Analytics || Go to Market Strategy || Data Analytics || Go to Market Strategy || Data Analytics || Go to Market Strategy || Data Analytics || Go to Market Strategy || Data Analytics || Go to Market Strategy || Data Analytics || Go to Market Strategy || Data Analytics || Go to Market Strategy || Data Analytics || Go to Market Strategy || Data Analytics || Go to Market Strategy || Data Analytics || Go to Market Strategy || Data Analytics || Go to Market Strategy || Data Analytics || Go to Market Strategy || Content Strategy || Data Analytics</t>
  </si>
  <si>
    <t>AI, Big Data &amp; Analytics || AI, Big Data &amp; Analytics || Education &amp; Training || Education &amp; Training || FinTech || FinTech || AI, Big Data &amp; Analytics || AI, Big Data &amp; Analytics || Education &amp; Training || Education &amp; Training || FinTech || FinTech || AI, Big Data &amp; Analytics || AI, Big Data &amp; Analytics || Education &amp; Training || Education &amp; Training || FinTech || FinTech || AI, Big Data &amp; Analytics || AI, Big Data &amp; Analytics || Education &amp; Training || Education &amp; Training || FinTech || FinTech || Education &amp; Training</t>
  </si>
  <si>
    <t>Rakesh Kumar</t>
  </si>
  <si>
    <t>Founder &amp; Startups' Accelerator</t>
  </si>
  <si>
    <t>ARISE (Agri Startups' Incubator &amp; Accelerator)</t>
  </si>
  <si>
    <t>Summary:&lt;/strong&gt;&lt;/p&gt;&lt;p&gt;Rakesh is a seasoned professional with over 20 years of experience as a serial entrepreneur, startup consultant, mentor, and social entrepreneur. He holds a postgraduate degree in Business Economics and has a deep passion for fostering socially responsible enterprises. Throughout his career, Rakesh has been instrumental in building sustainable and scalable portfolios for impact investors, providing valuable guidance to startups, and championing a ground-up approach to innovation and positive change.&lt;/p&gt;&lt;p&gt;&lt;br&gt;&lt;/p&gt;Core Expertise:&lt;/strong&gt;&lt;/p&gt;&lt;ul&gt;&lt;li&gt;&lt;strong&gt;Leadership Development: &lt;/strong&gt;Expertise in nurturing leadership qualities and facilitating organizational growth.&lt;/li&gt;&lt;li&gt;&lt;strong&gt;Management Consulting:&lt;/strong&gt; Proficient in advising businesses on strategy, operations, and market positioning.&lt;/li&gt;&lt;li&gt;&lt;strong&gt;Public Relations and Marketing Consulting:&lt;/strong&gt; Skilled in creating effective communication strategies and enhancing brand presence.&lt;/li&gt;&lt;li&gt;&lt;strong&gt;Project Management: &lt;/strong&gt;Experienced in overseeing projects from inception to completion, ensuring successful outcomes.&lt;/li&gt;&lt;li&gt;&lt;strong&gt;Non-profit Consulting: &lt;/strong&gt;Committed to supporting non-profit organizations in achieving their mmediaissions.&lt;/li&gt;&lt;li&gt;&lt;strong&gt;Corporate Training and Career Development Coaching:&lt;/strong&gt; Specializes in training and coaching professionals for career advancement.&lt;/li&gt;&lt;/ul&gt;&lt;p&gt;&lt;br&gt;&lt;/p&gt;Problem-Solving Approach:&lt;/strong&gt;&lt;/p&gt;&lt;p&gt;Rakesh employs a comprehensive and empathetic approach to problem-solving, focusing on understanding the unique challenges faced by each organization. He leverages his extensive experience in corporate training, academic research, and innovation to provide tailored solutions that foster leadership and drive sustainable change. His methodology includes in-depth development policy research and analysis, enabling businesses to align innovation with social responsibility.&lt;/p&gt;&lt;p&gt;&lt;br&gt;&lt;/p&gt;Impactful Projects:&lt;/strong&gt;&lt;/p&gt;&lt;ul&gt;&lt;li&gt;&lt;strong&gt;ARISE (Agri Startups' Incubator &amp;amp; Accelerator):&lt;/strong&gt; As the Founder, Rakesh has played a pivotal role in supporting agritech startups, helping them develop innovative solutions and scale their impact.&lt;/li&gt;&lt;li&gt;&lt;strong&gt;Revive India Foundation:&lt;/strong&gt; In his role as a Development Research Analyst, Rakesh has conducted extensive research to support initiatives aimed at revitalizing India's social and economic landscape.&lt;/li&gt;&lt;li&gt;&lt;strong&gt;EdgeOn Innovation Network:&lt;/strong&gt; As a Research &amp;amp; Innovation Analyst, he has contributed to fostering innovation and supporting startups in navigating complex market dynamics.&lt;/li&gt;&lt;/ul&gt;&lt;p&gt;&lt;br&gt;&lt;/p&gt;Consultation Style:&lt;/strong&gt;&lt;/p&gt;&lt;p&gt;Rakesh is known for his collaborative and insightful consultation style. He prioritizes understanding his client's specific needs and offers practical, actionable advice. His approach is characterized by a commitment to fostering leadership and facilitating positive change. Rakesh's consultations are deeply rooted in a strong sense of social responsibility, ensuring that business innovation goes hand-in-hand with societal impact.&lt;/p&gt;&lt;p&gt;&lt;br&gt;&lt;/p&gt;&lt;p&gt;Rakesh continues to make a significant impact through his work with startups, non-profits, and academic institutions. He always strives to create a better tomorrow by aligning business goals with the greater good.&lt;/p&gt;</t>
  </si>
  <si>
    <t>https://www.linkedin.com/in/rakesh-kumar-73a1a991/</t>
  </si>
  <si>
    <t>edgeoninnovation@gmail.com</t>
  </si>
  <si>
    <t>Business Model Development || Go to Market Strategy || Media and PR || Training &amp; Development || Entrepreneurship Coaching</t>
  </si>
  <si>
    <t>AgriTech &amp; New Food || AgriTech &amp; New Food || AgriTech &amp; New Food || Agritech &amp; Food Processing</t>
  </si>
  <si>
    <t>Thryza Dow</t>
  </si>
  <si>
    <t>Impact Head: Entrepreneurship</t>
  </si>
  <si>
    <t>Idobro Impact Solutions</t>
  </si>
  <si>
    <t>Summary:&lt;/strong&gt;&lt;/p&gt;&lt;p&gt;Thryza is an accomplished leader in the Entrepreneurship Vertical at Idobro Impact Solutions, specializing in climate entrepreneurship, circular businesses, women-owned enterprises, and supporting low-income groups. Her career is dedicated to fostering impactful entrepreneurship across India, Nepal, and Sri Lanka, working with entrepreneurs from diverse sectors.&lt;/p&gt;&lt;p&gt;&lt;br&gt;&lt;/p&gt;Core Expertise:&lt;/strong&gt;&lt;/p&gt;&lt;p&gt;Thryza's expertise includes designing and implementing capacity-building programs tailored for early-stage startups, with a particular focus on circular businesses and market entry challenges. She has successfully established two incubation programs in Nepal, empowering budding entrepreneurs in the region.&lt;/p&gt;&lt;p&gt;&lt;br&gt;&lt;/p&gt;Problem-Solving Approach:&lt;/strong&gt;&lt;/p&gt;&lt;p&gt;Thryza is passionate about addressing market entry challenges for circular businesses by developing solutions that replace conventional Product Managements. Her approach is rooted in evidence-driven program incubation, aimed at helping social entrepreneurs achieve their business goals.&lt;/p&gt;&lt;p&gt;&lt;br&gt;&lt;/p&gt;Impactful Projects:&lt;/strong&gt;&lt;/p&gt;&lt;ul&gt;&lt;li&gt;Built a network of over 120 social entrepreneurs in Nepal.&lt;/li&gt;&lt;li&gt;Established partnerships with incubation centers, universities, and local media platforms to increase visibility and create a steady source of social businesses.&lt;/li&gt;&lt;li&gt;Conceptualized and successfully implemented need-based, evidence-driven incubation programs for early-stage social businesses in Kathmandu.&lt;/li&gt;&lt;/ul&gt;&lt;p&gt;&lt;br&gt;&lt;/p&gt;Consultation Style:&lt;/strong&gt;&lt;/p&gt;&lt;p&gt;Thryza is keen on collaborating with like-minded professionals and organizations. She is open to exploring synergies and potential partnerships, especially in the areas of climate entrepreneurship and circular businesses.&lt;/p&gt;</t>
  </si>
  <si>
    <t>https://www.linkedin.com/in/thryzadow/</t>
  </si>
  <si>
    <t>thryza.dow@idobro.com</t>
  </si>
  <si>
    <t>Corporate Social Responsibility || ESG Strategy || Strategic Planning || Training &amp; Development || Corporate Social Responsibility || ESG Strategy || Strategic Planning || Training &amp; Development || Entrepreneurship Coaching || Investing</t>
  </si>
  <si>
    <t>CleanTech || CleanTech || CleanTech || CleanTech || Environment, Sustainability &amp; Governance (ESG) || Environment, Sustainability &amp; Governance (ESG) || Environment, Sustainability &amp; Governance (ESG) || Environment, Sustainability &amp; Governance (ESG) || Environment, Sustainability &amp; Governance (ESG)</t>
  </si>
  <si>
    <t>Pradeep Rathi</t>
  </si>
  <si>
    <t>Arjun Rathi Design Pvt. Ltd. and Moarvi Exports Pvt. Ltd.</t>
  </si>
  <si>
    <t>Summary: &lt;/strong&gt;&lt;/p&gt;&lt;p&gt;Pradeep is an esteemed Entrepreneurship and Innovation ecosystem enabler with over 34 years of successful experience, primarily focused on ROI, broad leadership, shared value, CSR, and operational expertise. Based in Mumbai, India, Pradeep has led limited companies and managed global operations throughout his corporate career. He holds diverse business interests in real estate, financial services, FMCG, and business startup incubation &amp;amp; acceleration. Passionate about fostering entrepreneurship, grassroots leadership, and strong communities, Pradeep is dedicated to inspiring and motivating individuals to create impactful Product Managements and build transformative companies.&lt;/p&gt;&lt;p&gt;&lt;br&gt;&lt;/p&gt;Core Expertise:&lt;/strong&gt;&lt;/p&gt;&lt;p&gt;Entrepreneurship &amp;amp; Innovation: Extensive experience in enabling and supporting entrepreneurship and innovation ecosystems, driving business growth and impactful change. Leadership: Proven track record in heading limited companies and managing global operations, demonstrating broad leadership capabilities. Business Interests: Active in real estate, financial services, FMCG, and startup incubation &amp;amp; acceleration, showcasing versatility in various sectors. CSR &amp;amp; Shared Value: Emphasizes the importance of corporate social responsibility and creating shared value through business practices. Operational Expertise: Strong background in operational management, focusing on efficiency, ROI, and strategic execution.&lt;/p&gt;&lt;p&gt;&lt;br&gt;&lt;/p&gt;Problem-Solving Approach:&lt;/strong&gt;&lt;/p&gt;&lt;ul&gt;&lt;li&gt;&lt;strong&gt;ROI-Focused&lt;/strong&gt;: Prioritizes return on investment in all ventures, ensuring that strategies and initiatives deliver tangible financial benefits.&lt;/li&gt;&lt;li&gt;&lt;strong&gt;Broad Leadership: &lt;/strong&gt;Utilizes extensive leadership experience to guide and manage complex global operations effectively.&lt;/li&gt;&lt;li&gt;&lt;strong&gt;Shared Value Creation:&lt;/strong&gt; Advocates for business practices that create shared value, integrating CSR into core business strategies.&lt;/li&gt;&lt;li&gt;&lt;strong&gt;Innovation &amp;amp; Entrepreneurship:&lt;/strong&gt; Supports and nurtures innovative ideas and entrepreneurial ventures, providing the tools and guidance needed for success.&lt;/li&gt;&lt;li&gt;&lt;strong&gt;Operational Efficiency: &lt;/strong&gt;Applies deep operational expertise to streamline processes, enhance performance, and achieve strategic goals.&lt;/li&gt;&lt;/ul&gt;&lt;p&gt;&lt;br&gt;&lt;/p&gt;Impactful Projects:&lt;/strong&gt;&lt;/p&gt;&lt;ul&gt;&lt;li&gt;&lt;strong&gt;Leadership in Corporations: &lt;/strong&gt;Successfully led limited companies and managed global operations, showcasing high-level leadership and strategic management.&lt;/li&gt;&lt;li&gt;&lt;strong&gt;Business Interests:&lt;/strong&gt; Engaged in diverse sectors, including real estate, financial services, FMCG, and startup incubation, demonstrating broad business acumen.&lt;/li&gt;&lt;li&gt;&lt;strong&gt;Startup Incubation &amp;amp; Acceleration:&lt;/strong&gt; Contributed to the growth and development of startups through incubation and acceleration programs.&lt;/li&gt;&lt;li&gt;&lt;strong&gt;Community Building: &lt;/strong&gt;Focused on fostering strong communities and grassroots leadership, impacting local and global entrepreneurial ecosystems.&lt;/li&gt;&lt;li&gt;&lt;strong&gt;Innovative Ventures:&lt;/strong&gt; Supported and inspired creative minds to develop impactful Product Managements and build transformative companies.&lt;/li&gt;&lt;/ul&gt;&lt;p&gt;&lt;br&gt;&lt;/p&gt;Consultation Style:&lt;/strong&gt;&lt;/p&gt;&lt;ul&gt;&lt;li&gt;&lt;strong&gt;Inspirational and Motivational: &lt;/strong&gt;Works to inspire and motivate individuals and teams to achieve their vision and create meaningful change.&lt;/li&gt;&lt;li&gt;&lt;strong&gt;Holistic Approach: &lt;/strong&gt;Integrates broad leadership, operational expertise, and a focus on ROI to provide comprehensive guidance and support.&lt;/li&gt;&lt;li&gt;&lt;strong&gt;Passionate Engagement: &lt;/strong&gt;Draws on his passion for entrepreneurship, creative minds, and community building to engage deeply with clients and stakeholders.&lt;/li&gt;&lt;li&gt;&lt;strong&gt;Global Perspective: &lt;/strong&gt;Leverages extensive global experience to offer valuable insights and strategic direction across various business sectors.&lt;/li&gt;&lt;li&gt;&lt;strong&gt;Mission-Driven:&lt;/strong&gt; Committed to enabling, inspiring, and motivating people to "Change the World" through innovative and impactful business practices.&lt;/li&gt;&lt;/ul&gt;&lt;p&gt;&lt;br&gt;&lt;/p&gt;&lt;p&gt;Pradeep’s extensive experience, broad leadership capabilities, and passion for entrepreneurship make him a valuable asset for fostering innovation, driving growth, and creating impactful change in the business world.&lt;/p&gt;</t>
  </si>
  <si>
    <t>https://www.linkedin.com/in/pjrathi/</t>
  </si>
  <si>
    <t>pr@3izone.com</t>
  </si>
  <si>
    <t>Branding || Fundraising || Market access || Marketing || Branding || Fundraising || Market access || Marketing || Branding || Fundraising || Market access || Marketing || Branding || Fundraising || Market access || Marketing || Branding || Fundraising || Market access || Marketing || Branding || Fundraising || Market access || Marketing || Branding || Fundraising || Market access || Marketing || Branding || Fundraising || Market access || Marketing || Branding || Fundraising || Market access || Marketing || Branding || Fundraising || Market access || Marketing || Strategic Planning || Investing</t>
  </si>
  <si>
    <t>Consumer Products || Consumer Products || Consumer Products || Consumer Products || Pharmaceuticals, Healthcare and Wellness || Pharmaceuticals, Healthcare and Wellness || Pharmaceuticals, Healthcare and Wellness || Pharmaceuticals, Healthcare and Wellness || Real Estate &amp; Construction || Real Estate &amp; Construction || Real Estate &amp; Construction || Real Estate &amp; Construction || Retail &amp; e-Commerce || Retail &amp; e-Commerce || Retail &amp; e-Commerce || Retail &amp; e-Commerce || Services || Services || Services || Services || Consumer Products || Consumer Products || Consumer Products || Consumer Products || Pharmaceuticals, Healthcare and Wellness || Pharmaceuticals, Healthcare and Wellness || Pharmaceuticals, Healthcare and Wellness || Pharmaceuticals, Healthcare and Wellness || Real Estate &amp; Construction || Real Estate &amp; Construction || Real Estate &amp; Construction || Real Estate &amp; Construction || Retail &amp; e-Commerce || Retail &amp; e-Commerce || Retail &amp; e-Commerce || Retail &amp; e-Commerce || Services || Services || Services || Services || Software &amp; IT Services</t>
  </si>
  <si>
    <t>Prafulla Shinde</t>
  </si>
  <si>
    <t>Regional Marketing Manager</t>
  </si>
  <si>
    <t>LyondellBasell</t>
  </si>
  <si>
    <t>Summary:&lt;/strong&gt;&lt;/p&gt;&lt;p&gt;Prafulla is a seasoned business professional with over 18 years of experience in the polymer sector, specializing in Sales, Marketing, and New Business Development. He currently serves as the Regional Marketing Manager at LyondellBasell, where he is responsible for overseeing Product Managements such as PM, Catalloy, PB-1, EP, and SP across Africa, the Middle East, and India. In this role, Prafulla ensures the consistent execution of business strategies and pricing policies, contributing significantly to the company's market share and presence.&lt;/p&gt;&lt;p&gt;Prafulla's expertise extends to commercial excellence, market analysis, strategy management, and Product Management launches. He has a proven track record of driving sales and expanding market applications, leveraging his deep understanding of market dynamics and customer needs. His work is characterized by a commitment to innovation and sustainability, themes that also underpin his PhD research at the Swiss School of Business and Management. His doctoral studies focus on sustainability and circularity in the polymer industry, demonstrating his dedication to integrating these crucial principles into business practices.&lt;/p&gt;&lt;p&gt;&lt;br&gt;&lt;/p&gt;Key Areas of Expertise:&lt;/strong&gt;&lt;/p&gt;&lt;ul&gt;&lt;li&gt;&lt;strong&gt;Commercial Excellence:&lt;/strong&gt; Prafulla has consistently optimized business processes to enhance profitability and market penetration. His strategic insights have led to substantial growth in market share and successful expansion into new market applications.&lt;/li&gt;&lt;li&gt;&lt;strong&gt;Market Analysis &amp;amp; Strategy Management:&lt;/strong&gt; He excels in analyzing market trends and customer needs, enabling him to craft effective business strategies. His ability to translate market insights into actionable business plans has been instrumental in his career.&lt;/li&gt;&lt;li&gt;&lt;strong&gt;Product Management Launch &amp;amp; Development:&lt;/strong&gt; Prafulla has successfully managed numerous Product Management launches, significantly impacting sales and market expansion. His strategic approach to business development complements his expertise in this area.&lt;/li&gt;&lt;li&gt;&lt;strong&gt;Sustainability &amp;amp; Circularity:&lt;/strong&gt; His academic and professional focus on sustainability reflects a commitment to advancing environmentally responsible practices within the industry. Prafulla’s research explores innovative ways to incorporate circular economy principles into polymer Product Managemention and management.&lt;/li&gt;&lt;li&gt;&lt;strong&gt;Leadership &amp;amp; Innovation:&lt;/strong&gt; Prafulla is focused on achieving advanced leadership roles, driven by his passion for modern trends and innovative solutions. His career reflects a dedication to pushing the boundaries of traditional business practices to foster a more sustainable future.&lt;/li&gt;&lt;/ul&gt;&lt;p&gt;&lt;br&gt;&lt;/p&gt;Strategic Contributions:&lt;/strong&gt;&lt;/p&gt;&lt;p&gt;Prafulla's contributions to the industry are significant. At LyondellBasell, he has been instrumental in aligning regional business strategies with broader corporate goals, ensuring consistent growth and market adaptation. His previous roles include Senior Business Manager at Dow, where he led sales and business development for Polyethylene (Packaging &amp;amp; Specialty Plastics) and the Specialty Plastics Business in India. At Cabot Corporation, he managed sales and business development for the India Subcontinent, focusing on reinforcement materials.&lt;/p&gt;&lt;p&gt;&lt;br&gt;&lt;/p&gt;Consultation Style:&lt;/strong&gt;&lt;/p&gt;&lt;p&gt;Prafulla’s consultation style is collaborative and client-focused. He works closely with clients and stakeholders to understand their specific challenges and provide tailored solutions. His approach emphasizes innovative and sustainable practices, integrating his extensive market knowledge and strategic insights to drive business growth. Prafulla is also committed to sharing his expertise through speaking engagements and volunteer work, contributing to the industry’s broader knowledge base.&lt;/p&gt;&lt;p&gt;&lt;br&gt;&lt;/p&gt;Mentorship Philosophy:&lt;/strong&gt;&lt;/p&gt;&lt;p&gt;Prafulla’s mentorship approach is hands-on and collaborative, providing personalized guidance to help businesses overcome challenges and seize opportunities. He is dedicated to fostering a culture of continuous learning and innovation, aiming to help startups and established businesses alike achieve sustainable growth and operational excellence. His focus on sustainability and modern business trends positions him as a forward-thinking leader in the polymer sector.&lt;/p&gt;</t>
  </si>
  <si>
    <t>https://www.linkedin.com/in/dr-prafulla-shinde-551b131b</t>
  </si>
  <si>
    <t>prafullashinde2006@gmail.com</t>
  </si>
  <si>
    <t>Go to Market Strategy || Market access || Marketing || Sales Strategy || Go to Market Strategy || Market access || Marketing || Sales Strategy || Marketing &amp; Branding || HR Consulting</t>
  </si>
  <si>
    <t>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Manufacturing</t>
  </si>
  <si>
    <t>Prajakta Mandar Joshi</t>
  </si>
  <si>
    <t>AWEC Foundation</t>
  </si>
  <si>
    <t>Summary&lt;/strong&gt;&lt;/p&gt;&lt;p&gt;Ms. Prajakta Mandar's career, spanning over two decades, has seen her excel in a variety of techno-commercial roles, seamlessly bridging the corporate, academic, and entrepreneurial sectors. Her journey includes launching innovative ventures in women's travel and homestay aggregation, where she successfully transformed ideas into thriving businesses. Beyond her entrepreneurial endeavors, she has generously shared her expertise with educational and governmental institutions, offering valuable insights and guidance that foster growth and innovation.&lt;/p&gt;&lt;p&gt;&lt;br&gt;&lt;/p&gt;Key Areas of Expertise&lt;/strong&gt;&lt;/p&gt;&lt;p&gt;Prajakta's career has been defined by a unique blend of techno-commercial acumen, a passion for entrepreneurship, and deep academic insights. She has utilized these strengths in advisory roles, providing strategic advice that balances technological potential with commercial viability. Her ability to navigate these complex landscapes has made her a sought-after advisor and thought leader.&lt;/p&gt;&lt;p&gt;&lt;br&gt;&lt;/p&gt;Strategic Contributions&lt;/strong&gt;&lt;/p&gt;&lt;p&gt;Her contributions are wide-ranging, from building startups from the ground up to providing strategic guidance on Industry 4.0 readiness to universities. Whether she is steering a new business towards scalability or shaping the strategic direction of advisory boards, her focus remains on creating pathways to success. Her work has consistently demonstrated a commitment to fostering innovation and preparing organizations for future challenges.&lt;/p&gt;&lt;p&gt;&lt;br&gt;&lt;/p&gt;Mentorship Philosophy&lt;/strong&gt;&lt;/p&gt;&lt;p&gt;Prajakta believes deeply in the transformative power of mentorship. Her mentorship philosophy involves a hands-on, pragmatic approach, guiding startups to realize their potential and advising educational institutions on aligning with future industry needs. She actively contributes to the broader discourse on Industry 4.0 preparation, aiming to equip the next generation of leaders and innovators with the necessary tools to thrive. Through these efforts, she continues to make a significant impact on those she mentors and the industries she serves.&lt;/p&gt;</t>
  </si>
  <si>
    <t>https://www.linkedin.com/in/dr-prajakta-m-joshi-31464061</t>
  </si>
  <si>
    <t>prajaktajoshi112@gmail.com</t>
  </si>
  <si>
    <t>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Business Model Development || Government Funding || Growth Strategy Formulation || Strategic Planning || Entrepreneurship Coaching</t>
  </si>
  <si>
    <t>Banking &amp; Financial Services || Banking &amp; Financial Services || Banking &amp; Financial Services || Banking &amp; Financial Services || Education &amp; Training || Education &amp; Training || Education &amp; Training || Education &amp; Training || FinTech || FinTech || FinTech || FinTech || Real Estate &amp; Construction || Real Estate &amp; Construction || Real Estate &amp; Construction || Real Estate &amp; Construction || Tourism &amp; Hospitality || Tourism &amp; Hospitality || Tourism &amp; Hospitality || Tourism &amp; Hospitality || Banking &amp; Financial Services || Banking &amp; Financial Services || Banking &amp; Financial Services || Banking &amp; Financial Services || Education &amp; Training || Education &amp; Training || Education &amp; Training || Education &amp; Training || FinTech || FinTech || FinTech || FinTech || Real Estate &amp; Construction || Real Estate &amp; Construction || Real Estate &amp; Construction || Real Estate &amp; Construction || Tourism &amp; Hospitality || Tourism &amp; Hospitality || Tourism &amp; Hospitality || Tourism &amp; Hospitality || Banking &amp; Financial Services || Banking &amp; Financial Services || Banking &amp; Financial Services || Banking &amp; Financial Services || Education &amp; Training || Education &amp; Training || Education &amp; Training || Education &amp; Training || FinTech || FinTech || FinTech || FinTech || Real Estate &amp; Construction || Real Estate &amp; Construction || Real Estate &amp; Construction || Real Estate &amp; Construction || Tourism &amp; Hospitality || Tourism &amp; Hospitality || Tourism &amp; Hospitality || Tourism &amp; Hospitality || Tourism &amp; Hospitality</t>
  </si>
  <si>
    <t>Umasankaran P</t>
  </si>
  <si>
    <t>FFF Advertising Private Limited</t>
  </si>
  <si>
    <t>Summary:&lt;/strong&gt;&lt;/p&gt;&lt;p&gt;Mr. Umasankaran is a versatile professional with roles spanning project leadership at StartupTN, Founder and CEO of Free Famous Food, and branding and marketing consultant. With a background in communication and design, Mr. Umasankaran brings a unique perspective to the F&amp;amp;B industry, offering a business model that allows customers to experience Product Managements for free before purchasing. His passion for arts and design is reflected in his previous work and achievements, including presenting a unique artistic piece to Singapore's former president and authoring a book on Hindu temples.&lt;/p&gt;&lt;p&gt;&lt;br&gt;&lt;/p&gt;&lt;p&gt;Key Areas of Expertise:&lt;/p&gt;&lt;ul&gt;&lt;li&gt;Project Leadership&lt;/li&gt;&lt;li&gt;Branding &amp;amp; Marketing&lt;/li&gt;&lt;li&gt;F&amp;amp;B Industry Innovations&lt;/li&gt;&lt;li&gt;Design &amp;amp; Communication&lt;/li&gt;&lt;li&gt;Startup Mentorship&lt;/li&gt;&lt;/ul&gt;&lt;p&gt;&lt;br&gt;&lt;/p&gt;Strategic Contributions:&lt;/strong&gt;&lt;/p&gt;&lt;ul&gt;&lt;li&gt;Introduced a business model for F&amp;amp;B companies that allows customers to sample Product Managements for free, enhancing consumer trust and engagement.&lt;/li&gt;&lt;li&gt;Developed a unique approach to marketing that minimizes risk for both advertisers and consumers.&lt;/li&gt;&lt;/ul&gt;&lt;p&gt;&lt;br&gt;&lt;/p&gt;Mentorship Philosophy:&lt;/strong&gt;&lt;/p&gt;&lt;p&gt;Mr. Umasankaran believes in offering genuine value without gimmicks. His approach involves providing real experiences and leveraging innovative models to foster trust and consumer satisfaction.&lt;/p&gt;&lt;p&gt;&lt;br&gt;&lt;/p&gt;Success Stories:&lt;/strong&gt;&lt;/p&gt;&lt;ul&gt;&lt;li&gt;Founder of Free Famous Food, implementing a successful model for sampling Product Managements.&lt;/li&gt;&lt;li&gt;Established “Aadhii Designs” and contributed to the artistic and design community in Singapore.&lt;/li&gt;&lt;li&gt;Authored a book on “The Heritage of Hindu Temples in Singapore,” showcasing his commitment to cultural heritage.&lt;/li&gt;&lt;/ul&gt;&lt;p&gt;&lt;br&gt;&lt;/p&gt;</t>
  </si>
  <si>
    <t>https://www.linkedin.com/in/umasankaran2011/</t>
  </si>
  <si>
    <t>Trichy</t>
  </si>
  <si>
    <t>umasankaran@startuptn.in
umasankaran2805@gmail.com</t>
  </si>
  <si>
    <t>Branding || Business Model Development || Customer Relationship Management || Go to Market Strategy || Social Media Marketing || Branding || Business Model Development || Customer Relationship Management || Go to Market Strategy || Social Media Marketing || Branding || Business Model Development || Customer Relationship Management || Go to Market Strategy || Social Media Marketing || Branding || Business Model Development || Customer Relationship Management || Go to Market Strategy || Social Media Marketing || Branding || Business Model Development || Customer Relationship Management || Go to Market Strategy || Social Media Marketing || Marketing &amp; Branding || Business Model Development</t>
  </si>
  <si>
    <t>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Retail &amp; e-Commerce || Retail &amp; e-Commerce || Retail &amp; e-Commerce || Retail &amp; e-Commerce || Retail &amp; e-Commerce || Services || Services || Services || Services || Services || Tourism &amp; Hospitality || Tourism &amp; Hospitality || Tourism &amp; Hospitality || Tourism &amp; Hospitality || Tourism &amp; Hospitality || Agritech &amp; Food Processing</t>
  </si>
  <si>
    <t>Prakash D Sathe</t>
  </si>
  <si>
    <t>Indite Technologies | Co-Founder BD Head &amp; Mentor of xLogia</t>
  </si>
  <si>
    <t>Summary:&lt;/strong&gt;&lt;/p&gt;&lt;p&gt;Mr. Prakash is a seasoned Business Executive with over 22 years of experience in business management, specializing in strategy and leadership. He has a proven track record of influencing revenue growth while maintaining a sharp focus on profitability by creating value. Mr. Prakash excels in consulting Product Management development teams to design customer-centric Product Managements, reduce technology costs, and de-risk investments. He has extensive experience managing cross-functional teams across major geographies, including North America, the Middle East, Europe, and India. As a business consultant and mentor, he assists business divisions in exceeding their fiscal year revenue objectives.&lt;/p&gt;&lt;p&gt;&lt;br&gt;&lt;/p&gt;Key Areas of Expertise:&lt;/strong&gt;&lt;/p&gt;&lt;ol&gt;&lt;li&gt;Business Management&lt;/li&gt;&lt;li&gt;Strategic Leadership&lt;/li&gt;&lt;li&gt;Product Management Development Consulting&lt;/li&gt;&lt;li&gt;Cross-Functional Team Management&lt;/li&gt;&lt;li&gt;Revenue Growth and Profitability&lt;/li&gt;&lt;/ol&gt;</t>
  </si>
  <si>
    <t>https://www.linkedin.com/in/prakash-d-sathe-b1101b2/</t>
  </si>
  <si>
    <t>prakashdsathe@yahoo.com</t>
  </si>
  <si>
    <t>Billing and revenue collection || Business Model Development || Currency and Risk Management || Customer Relationship Management || Data Analytics || Digital Marketing || ESOPs || Fundraising || Go to Market Strategy || Growth Strategy Formulation || Market research || Performance Metrics || Pricing Strategy || Product Development || Prototyping &amp; Testing || Sales Strategy || Social Media Marketing || Talent Acquisition || Team building || Tech Strategy &amp; Infrastructure || UI/UX Design || Billing and revenue collection || Business Model Development || Currency and Risk Management || Customer Relationship Management || Data Analytics || Digital Marketing || ESOPs || Fundraising || Go to Market Strategy || Growth Strategy Formulation || Market research || Performance Metrics || Pricing Strategy || Product Development || Prototyping &amp; Testing || Sales Strategy || Social Media Marketing || Talent Acquisition || Team building || Tech Strategy &amp; Infrastructure || UI/UX Design || Billing and revenue collection || Business Model Development || Currency and Risk Management || Customer Relationship Management || Data Analytics || Digital Marketing || ESOPs || Fundraising || Go to Market Strategy || Growth Strategy Formulation || Market research || Performance Metrics || Pricing Strategy || Product Development || Prototyping &amp; Testing || Sales Strategy || Social Media Marketing || Talent Acquisition || Team building || Tech Strategy &amp; Infrastructure || UI/UX Design || Billing and revenue collection || Business Model Development || Currency and Risk Management || Customer Relationship Management || Data Analytics || Digital Marketing || ESOPs || Fundraising || Go to Market Strategy || Growth Strategy Formulation || Market research || Performance Metrics || Pricing Strategy || Product Development || Prototyping &amp; Testing || Sales Strategy || Social Media Marketing || Talent Acquisition || Team building || Tech Strategy &amp; Infrastructure || UI/UX Design || Billing and revenue collection || Business Model Development || Currency and Risk Management || Customer Relationship Management || Data Analytics || Digital Marketing || ESOPs || Fundraising || Go to Market Strategy || Growth Strategy Formulation || Market research || Performance Metrics || Pricing Strategy || Product Development || Prototyping &amp; Testing || Sales Strategy || Social Media Marketing || Talent Acquisition || Team building || Tech Strategy &amp; Infrastructure || UI/UX Design || Business Model Development</t>
  </si>
  <si>
    <t>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Software &amp; IT Services</t>
  </si>
  <si>
    <t>Prakash Nimbalkar</t>
  </si>
  <si>
    <t>Co Founder of Aasabie | Venture Partner</t>
  </si>
  <si>
    <t>Aurone Ventures</t>
  </si>
  <si>
    <t>Summary:&lt;/strong&gt;&lt;/p&gt;&lt;p&gt;With over two decades of leadership experience in Marketing and Communication, Prakash specializes in launching and scaling brands and is currently a consultant in Marketing, Branding, and Digital Marketing. His passion lies in working with startups and new ventures, providing guidance and coaching to young and ambitious entrepreneurs. Prakash's expertise spans across educational services, SME incubation, and international training. He is dedicated to mentoring and consulting on go-to-market strategies, problem-solution fit, idea evaluation, and Product Management-market fit.&lt;/p&gt;&lt;p&gt;&lt;br&gt;&lt;/p&gt;Core Expertise:&lt;/strong&gt;&lt;/p&gt;&lt;ul&gt;&lt;li&gt;Marketing Strategy and Branding&lt;/li&gt;&lt;li&gt;Digital Marketing&lt;/li&gt;&lt;li&gt;Startup Mentorship and Consulting&lt;/li&gt;&lt;li&gt;Business Development and Growth Scaling&lt;/li&gt;&lt;li&gt;Educational Services and Incubation&lt;/li&gt;&lt;li&gt;B2B Marketing&lt;/li&gt;&lt;/ul&gt;&lt;p&gt;&lt;br&gt;&lt;/p&gt;Strategic Contributions:&lt;/strong&gt;&lt;/p&gt;&lt;ul&gt;&lt;li&gt;Successfully launched and grown multiple brands.&lt;/li&gt;&lt;li&gt;Scaled business operations across various sectors.&lt;/li&gt;&lt;li&gt;Provided strategic marketing and business advice to startups and new ventures.&lt;/li&gt;&lt;li&gt;Engaged in educational and incubation programs, mentoring young entrepreneurs.&lt;/li&gt;&lt;/ul&gt;&lt;p&gt;&lt;br&gt;&lt;/p&gt;Mentorship Philosophy:&lt;/strong&gt;&lt;/p&gt;&lt;ul&gt;&lt;li&gt;Passionate about guiding and coaching entrepreneurs through the startup journey.&lt;/li&gt;&lt;li&gt;Focused on validating ideas, analyzing markets, and developing effective go-to-market strategies.&lt;/li&gt;&lt;li&gt;Committed to using creative and innovative approaches to solve business challenges.&lt;/li&gt;&lt;/ul&gt;&lt;p&gt;&lt;br&gt;&lt;/p&gt;Success Stories:&lt;/strong&gt;&lt;/p&gt;&lt;ul&gt;&lt;li&gt;Supported numerous startups with go-to-market strategies and Product Management positioning.&lt;/li&gt;&lt;li&gt;Delivered impactful consulting services leading to successful brand launches and growth.&lt;/li&gt;&lt;li&gt;Mentored entrepreneurs in refining their business models and achieving market fit.&lt;/li&gt;&lt;/ul&gt;</t>
  </si>
  <si>
    <t>https://www.linkedin.com/in/prakash-nimbalkar/</t>
  </si>
  <si>
    <t>prakashnimbal@gmail.com</t>
  </si>
  <si>
    <t>Branding || Business Model Development || Digital Marketing || Go to Market Strategy || Growth Strategy Formulation || Branding || Business Model Development || Digital Marketing || Go to Market Strategy || Growth Strategy Formulation || Branding || Business Model Development || Digital Marketing || Go to Market Strategy || Growth Strategy Formulation || Branding || Business Model Development || Digital Marketing || Go to Market Strategy || Growth Strategy Formulation || Branding || Business Model Development || Digital Marketing || Go to Market Strategy || Growth Strategy Formulation || Branding || Business Model Development || Digital Marketing || Go to Market Strategy || Growth Strategy Formulation || Branding || Business Model Development || Digital Marketing || Go to Market Strategy || Growth Strategy Formulation || Branding || Business Model Development || Digital Marketing || Go to Market Strategy || Growth Strategy Formulation || Branding || Business Model Development || Digital Marketing || Go to Market Strategy || Growth Strategy Formulation || Branding || Business Model Development || Digital Marketing || Go to Market Strategy || Growth Strategy Formulation || Branding || Business Model Development || Digital Marketing || Go to Market Strategy || Growth Strategy Formulation || Branding || Business Model Development || Digital Marketing || Go to Market Strategy || Growth Strategy Formulation || Go to Market Strategy || Entrepreneurship Coaching</t>
  </si>
  <si>
    <t>Fashion &amp; Beauty || Fashion &amp; Beauty || Fashion &amp; Beauty || Fashion &amp; Beauty || Fashion &amp; Beauty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Services || Services || Services || Services || Services || Fashion &amp; Beauty || Fashion &amp; Beauty || Fashion &amp; Beauty || Fashion &amp; Beauty || Fashion &amp; Beauty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Services || Services || Services || Services || Services || Fashion &amp; Beauty || Fashion &amp; Beauty || Fashion &amp; Beauty || Fashion &amp; Beauty || Fashion &amp; Beauty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Services || Services || Services || Services || Services || Education &amp; Training</t>
  </si>
  <si>
    <t>Pranav Joshi</t>
  </si>
  <si>
    <t>Director, Finance &amp; Business Strategy at Tsecond Inc.</t>
  </si>
  <si>
    <t>Summary: &lt;/strong&gt;&lt;/p&gt;&lt;p&gt;Pranav is a seasoned professional dedicated to aligning organizational strategies with operational efficiency to help businesses achieve their aspirations. With extensive experience across various sectors, including manufacturing, IT, mining, oil &amp;amp; natural gas exploration, retail, and agro-businesses, Pranav has worked with start-ups, multinational companies, private and public sector entities, and banks. His expertise in developing systems and processes to streamline operations and his decade-long experience in mentoring start-up Founders reflect his commitment to enhancing business efficiency and financial soundness.&lt;/p&gt;&lt;p&gt;&lt;br&gt;&lt;/p&gt;Core Expertise: &lt;/strong&gt;&lt;/p&gt;&lt;ul&gt;&lt;li&gt;&lt;strong&gt;Strategic Alignment:&lt;/strong&gt; Pranav specializes in aligning organizational strategies with operational processes to ensure that companies meet their aspirations and operational goals.&lt;/li&gt;&lt;li&gt;&lt;strong&gt;Diverse Industry Experience:&lt;/strong&gt; His experience spans multiple industries, including manufacturing, IT, mining, oil &amp;amp; natural gas exploration, retail, and agro-businesses, equipping him with a broad understanding of different business environments.&lt;/li&gt;&lt;li&gt;&lt;strong&gt;Financial Systems Development:&lt;/strong&gt; Pranav is adept at developing systems and processes that simplify and enhance everyday business operations, making them more efficient and manageable.&lt;/li&gt;&lt;li&gt;&lt;strong&gt;Mentorship:&lt;/strong&gt; Over the past decade, he has mentored start-up Founders, providing valuable guidance on financial and operational challenges.&lt;/li&gt;&lt;li&gt;&lt;strong&gt;Financial Reporting and Compliance:&lt;/strong&gt; Pranav focuses on building financially sound and compliant start-ups, making them appealing to investors and stakeholders.&lt;/li&gt;&lt;li&gt;&lt;strong&gt;Problem-Solving Approach:&lt;/strong&gt; Problem Understanding: Pranav begins by deeply understanding the problems faced by organizations, particularly focusing on challenges related to finance and financial reporting.&lt;/li&gt;&lt;/ul&gt;&lt;p&gt;&lt;br&gt;&lt;/p&gt;Impactful Projects:&lt;/strong&gt;&lt;/p&gt;&lt;ul&gt;&lt;li&gt;&lt;strong&gt;Operational Efficiency:&lt;/strong&gt; Pranav has successfully developed and implemented systems that have significantly improved operational efficiency in various organizations.&lt;/li&gt;&lt;li&gt;&lt;strong&gt; Financial Guidance: &lt;/strong&gt;His work with start-ups includes helping them establish sound financial practices and reporting structures, which are crucial for attracting investment and ensuring sustainability.&lt;/li&gt;&lt;li&gt;&lt;strong&gt;Sector-Specific Projects:&lt;/strong&gt; His diverse industry experience has allowed him to tackle unique challenges and provide tailored solutions across sectors like manufacturing, IT, mining, and retail.&lt;/li&gt;&lt;/ul&gt;&lt;p&gt;&lt;br&gt;&lt;/p&gt;Consultation Style:&lt;/strong&gt;&lt;/p&gt;&lt;ul&gt;&lt;li&gt;&lt;strong&gt;Collaborative Approach:&lt;/strong&gt; Pranav works closely with organizations to understand their specific challenges and develop customized solutions that align with their strategic goals.&lt;/li&gt;&lt;li&gt;&lt;strong&gt;Hands-On Mentorship:&lt;/strong&gt; His mentoring style involves direct interaction with start-up Founders, providing practical advice and support on financial and operational issues.&lt;/li&gt;&lt;li&gt;&lt;strong&gt;Systematic Development: &lt;/strong&gt;He focuses on creating systems and processes that simplify operations and enhance efficiency, reflecting his commitment to practical solutions.&lt;/li&gt;&lt;li&gt;&lt;strong&gt;Financial Insight:&lt;/strong&gt; Pranav provides valuable insights into financial reporting and compliance, helping organizations build a solid foundation for growth and investor appeal.&lt;/li&gt;&lt;li&gt;&lt;strong&gt;Sustainable Solutions: &lt;/strong&gt;He aims to develop financially sound and compliant start-ups that are sustainable and attractive to investors and stakeholders, ensuring long-term success.&lt;/li&gt;&lt;/ul&gt;&lt;p&gt;&lt;br&gt;&lt;/p&gt;&lt;p&gt;Pranav’s expertise in aligning strategies with operations and his commitment to financial soundness and efficiency make him a valuable asset for organizations seeking to achieve their aspirations and overcome operational and financial challenges.&lt;/p&gt;</t>
  </si>
  <si>
    <t>https://www.linkedin.com/in/capranavjoshi/</t>
  </si>
  <si>
    <t>pranav@workbetter.co.in</t>
  </si>
  <si>
    <t>Fundraising || Fundraising || Fundraising || Fundraising || Fundraising || Fundraising || Fundraising || Fundraising || Business Finance</t>
  </si>
  <si>
    <t>Energy &amp; Renewable Resources || FinTech || Retail &amp; e-Commerce || Technology &amp; Innovation || Energy &amp; Renewable Resources || FinTech || Retail &amp; e-Commerce || Technology &amp; Innovation || Fintech, Banking, Financial Services</t>
  </si>
  <si>
    <t>Pranob Kumar Mishra</t>
  </si>
  <si>
    <t>KOHINOOR BUSINESS SCHOOL</t>
  </si>
  <si>
    <t>Summary:&lt;/strong&gt;&lt;/p&gt;&lt;p&gt;Mr. Pranob has over three decades of diverse experience, starting as a Personnel Officer in the pharmaceutical industry and advancing to General Manager within seven years. He transitioned into management consultancy and entrepreneurship, establishing computer education infrastructure in Jharkhand through government-funded initiatives. Since 2003, he has focused on management education, with special interests in Motivation, Leadership, Organizational Design, Change Management, and Strategic Management. He is also a certified Level 1 Entrepreneurship Educator with the National Entrepreneurship Network (NEN) of the Wadhwani Foundation.&lt;/p&gt;&lt;p&gt;&lt;br&gt;&lt;/p&gt;Key Areas of Expertise:&lt;/strong&gt;&lt;/p&gt;&lt;ul&gt;&lt;li&gt;&lt;strong&gt;Human Resource Management&lt;/strong&gt;: Expertise in HR practices and industrial and labor laws.&lt;/li&gt;&lt;li&gt;&lt;strong&gt;Project Planning and Implementation&lt;/strong&gt;: Successful handling of government-funded projects.&lt;/li&gt;&lt;li&gt;&lt;strong&gt;Management Education&lt;/strong&gt;: Focus on Motivation, Leadership, Organizational Structure, Change Management, and Strategic Management.&lt;/li&gt;&lt;li&gt;&lt;strong&gt;Entrepreneurship Education&lt;/strong&gt;: Certified Level 1 Entrepreneurship Educator with NEN.&lt;/li&gt;&lt;/ul&gt;&lt;p&gt;&lt;br&gt;&lt;/p&gt;Strategic Contributions:&lt;/strong&gt;&lt;/p&gt;&lt;ul&gt;&lt;li&gt;&lt;strong&gt;Government Projects&lt;/strong&gt;: Established computer education infrastructure in high schools and colleges across Bokaro district under government schemes.&lt;/li&gt;&lt;li&gt;&lt;strong&gt;Management Consultancy&lt;/strong&gt;: Provided consultancy in various aspects of organizational management and change.&lt;/li&gt;&lt;li&gt;&lt;strong&gt;Education&lt;/strong&gt;: Transitioned to full-time management teaching, contributing to the development of future leaders and managers.&lt;/li&gt;&lt;/ul&gt;&lt;p&gt;&lt;br&gt;&lt;/p&gt;Mentorship Philosophy:&lt;/strong&gt;&lt;/p&gt;&lt;p&gt;Mr. Pranob’s philosophy centers on fostering growth through effective leadership and strategic management. He emphasizes the importance of motivation and organizational development in driving change and achieving ethical governance.&lt;/p&gt;</t>
  </si>
  <si>
    <t>https://www.linkedin.com/in/pranob-kumar-mishra-585a2b339/</t>
  </si>
  <si>
    <t>mishrapk786@gmail.com</t>
  </si>
  <si>
    <t>Mobile: 9922696997/9372677649
Landline: 022 67887722 (Office)</t>
  </si>
  <si>
    <t>Entrepreneurship Coaching</t>
  </si>
  <si>
    <t>E-Commerce || EdTech || Fashion &amp; Beauty || Healthtech &amp; Wellness || IT &amp; Communication || Media &amp; Entertainment || Real Estate &amp; Housing || Social Enterprise || Tourism || E-Commerce || EdTech || Fashion &amp; Beauty || Healthtech &amp; Wellness || IT &amp; Communication || Media &amp; Entertainment || Real Estate &amp; Housing || Social Enterprise || Tourism || Education &amp; Training</t>
  </si>
  <si>
    <t>Prasad Akhani</t>
  </si>
  <si>
    <t>PFA &amp; Associates LLP</t>
  </si>
  <si>
    <t>Summary:&lt;/strong&gt; Prasad is a Chartered Accountant with over 10 years of experience in the financial services industry, specializing in e-commerce advisory, ERP implementation, virtual CFO services, business strategy, and innovative audit solutions. He currently serves as the managing partner at PFA &amp;amp; Associates LLP, a leading firm that provides comprehensive and customized financial solutions to businesses across various sectors and stages.&lt;/p&gt;&lt;p&gt;&lt;br&gt;&lt;/p&gt;Core Expertise:&lt;/strong&gt; Prasad's core expertise lies in business modeling, financial inclusion, investment advisory, and e-commerce strategies. His background in direct and indirect tax enables him to provide holistic financial guidance. He also has significant experience in virtual CFO roles, assisting startups in navigating financial challenges and fostering rapid growth.&lt;/p&gt;&lt;p&gt;&lt;br&gt;&lt;/p&gt;Problem-Solving Approach:&lt;/strong&gt; Prasad leverages his extensive knowledge and network to empower entrepreneurs and startups, guiding them in scaling their ventures and overcoming obstacles. He is passionate about fostering innovation and creating social impact, particularly in emerging markets.&lt;/p&gt;&lt;p&gt;&lt;br&gt;&lt;/p&gt;Impactful Projects:&lt;/strong&gt;&lt;/p&gt;&lt;ul&gt;&lt;li&gt;As a Business Mentor at Vittakosh and a Startup Mentor at Ankpal, Prasad actively supports entrepreneurs, helping them achieve their goals through tailored mentorship and advisory services.&lt;/li&gt;&lt;li&gt;He is the Founder of ANKPAL, a SaaS-based cloud accounting platform designed to connect business owners, Chartered Accountants, and banks on a common platform, enhancing collaboration and efficiency.&lt;/li&gt;&lt;li&gt;Prasad has delivered seminars on startup finance and corporate planning at prestigious institutions, including the CA Institute, GUSEC, IHUB, and Payoneer Payment Gateway, showcasing his commitment to knowledge sharing and professional development.&lt;/li&gt;&lt;/ul&gt;&lt;p&gt;&lt;br&gt;&lt;/p&gt;Consultation Style:&lt;/strong&gt; Prasad’s approach to consulting is collaborative and empowering. He believes that "intelligence with intellect evolves not only you but everyone around you," and he strives to create an environment where innovation and growth can thrive. He is dedicated to nurturing talent and supporting Founders in their entrepreneurial journeys, helping them navigate the complexities of the financial landscape.&lt;/p&gt;</t>
  </si>
  <si>
    <t>https://www.linkedin.com/in/ca-prasad-akhani-0a593022/</t>
  </si>
  <si>
    <t>prasad@teampfa.in</t>
  </si>
  <si>
    <t>Audit &amp; Compliance || Investment Banking || Tax Incentives || Audit &amp; Compliance || Investment Banking || Tax Incentives || Audit &amp; Compliance || Investment Banking || Tax Incentives || Audit &amp; Compliance || Investment Banking || Tax Incentives || Business Finance</t>
  </si>
  <si>
    <t>Banking &amp; Financial Services || Banking &amp; Financial Services || Banking &amp; Financial Services || Retail &amp; e-Commerce || Retail &amp; e-Commerce || Retail &amp; e-Commerce || Banking &amp; Financial Services || Banking &amp; Financial Services || Banking &amp; Financial Services || Retail &amp; e-Commerce || Retail &amp; e-Commerce || Retail &amp; e-Commerce || Fintech, Banking, Financial Services</t>
  </si>
  <si>
    <t>Prasad Roodagi</t>
  </si>
  <si>
    <t>Bright Business School</t>
  </si>
  <si>
    <t>Summary:&lt;/strong&gt;&lt;/p&gt;&lt;p&gt;Mr. Prasad is a seasoned academic with over 20 years of experience in management education, specializing in Entrepreneurship and startups. As a Charter Member of TiE, an organization dedicated to fostering entrepreneurship, he has a strong commitment to nurturing new ventures. He holds a PhD in SME and an MBA in Marketing, complementing his background in mechanical engineering. His passion for mentoring startups has been a driving force for the past decade.&lt;/p&gt;&lt;p&gt;&lt;br&gt;&lt;/p&gt;Key Areas of Expertise:&lt;/strong&gt;&lt;/p&gt;&lt;ul&gt;&lt;li&gt;&lt;strong&gt;Entrepreneurship&lt;/strong&gt;: Extensive experience in mentoring startups and fostering new business ventures.&lt;/li&gt;&lt;li&gt;&lt;strong&gt;Education&lt;/strong&gt;: Over 20 years in management education, focusing on entrepreneurship and startup dynamics.&lt;/li&gt;&lt;li&gt;&lt;strong&gt;SME Management&lt;/strong&gt;: Deep understanding of Small and Medium Enterprises, supported by a PhD in the field.&lt;/li&gt;&lt;li&gt;&lt;strong&gt;Marketing&lt;/strong&gt;: MBA in Marketing, providing a solid foundation in strategic business practices.&lt;/li&gt;&lt;/ul&gt;&lt;p&gt;&lt;br&gt;&lt;/p&gt;Strategic Contributions:&lt;/strong&gt;&lt;/p&gt;&lt;ul&gt;&lt;li&gt;&lt;strong&gt;TiE Membership&lt;/strong&gt;: Actively involved in TiE, contributing to the growth and development of entrepreneurial ventures.&lt;/li&gt;&lt;li&gt;&lt;strong&gt;Startup Mentoring&lt;/strong&gt;: Passionate mentor for startups, leveraging extensive experience to guide new entrepreneurs.&lt;/li&gt;&lt;/ul&gt;&lt;p&gt;&lt;br&gt;&lt;/p&gt;Mentorship Philosophy:&lt;/strong&gt;&lt;/p&gt;&lt;p&gt;Mr. Prasad believes in empowering startups through hands-on mentorship and strategic guidance. He emphasizes the importance of practical knowledge and real-world experience in navigating the challenges of entrepreneurship&lt;/p&gt;</t>
  </si>
  <si>
    <t>https://www.linkedin.com/in/prasad-roodagi-a3611a26/</t>
  </si>
  <si>
    <t>Devanhalli</t>
  </si>
  <si>
    <t>prasadroodagi@gmail.com</t>
  </si>
  <si>
    <t>Business Model Development || Market research || Marketing || Business Model Development || Market research || Marketing || Entrepreneurship Coaching</t>
  </si>
  <si>
    <t>Education &amp; Training || Education &amp; Training || Education &amp; Training || Education &amp; Training || Education &amp; Training || Education &amp; Training || Education &amp; Training</t>
  </si>
  <si>
    <t>Prasanna Kumar</t>
  </si>
  <si>
    <t>Senior Manager -Software Engineering (R&amp;D)</t>
  </si>
  <si>
    <t>Mavenir</t>
  </si>
  <si>
    <t>Summary:&lt;/strong&gt;&lt;/p&gt;&lt;p&gt;Prasanna is an engineer at heart with 18 years of diverse experience across IT, OTT, Cloud, Banking, and Telecom OSS/BSS sectors. He has worked with leading global organizations like Tata Play, Mavenir, and Ericsson, as well as Indian government entities, successfully ideating, building, and disrupting Product Managements and services. Prasanna holds advanced management credentials from UCLA Anderson and IIM Calcutta, combined with a strong engineering foundation from Uttar Pradesh Technical University.&lt;/p&gt;&lt;p&gt;&lt;br&gt;&lt;/p&gt;Core Expertise:&lt;/strong&gt;&lt;/p&gt;&lt;p&gt;Prasanna’s expertise spans Product Management Design, Presales, Technology Roadmap, and Delivery. His background in collaborating with Product Management organizations, R&amp;amp;D teams, global system integrators, and communication service providers gives him a unique perspective on technology and business challenges.&lt;/p&gt;</t>
  </si>
  <si>
    <t>https://www.linkedin.com/in/2prasanna/</t>
  </si>
  <si>
    <t>prasannakran@gmail.com</t>
  </si>
  <si>
    <t>Business Model Development || KPI Governance || Product Development || Tech Strategy &amp; Infrastructure || Technical Support || Business Model Development || KPI Governance || Product Development || Tech Strategy &amp; Infrastructure || Technical Support || Business Model Development || KPI Governance || Product Development || Tech Strategy &amp; Infrastructure || Technical Support || Business Model Development || KPI Governance || Product Development || Tech Strategy &amp; Infrastructure || Technical Support || IT Consulting || Product Management Management</t>
  </si>
  <si>
    <t>Banking &amp; Financial Services || Banking &amp; Financial Services || Banking &amp; Financial Services || Banking &amp; Financial Services || Banking &amp; Financial Services || Telecommunications || Telecommunications || Telecommunications || Telecommunications || Telecommunications || Banking &amp; Financial Services || Banking &amp; Financial Services || Banking &amp; Financial Services || Banking &amp; Financial Services || Banking &amp; Financial Services || Telecommunications || Telecommunications || Telecommunications || Telecommunications || Telecommunications || Telecommunications</t>
  </si>
  <si>
    <t>Prasanna Lohar</t>
  </si>
  <si>
    <t>Chief Innovation Officer</t>
  </si>
  <si>
    <t>Diamante Blockchain</t>
  </si>
  <si>
    <t>Summary:&lt;/strong&gt;&lt;/p&gt;&lt;p&gt;Prasanna is an award-winning CXO banker, digital architect, industry innovator, board member, fintech influencer, startup mentor, leadership coach, and bank advisor with over 24 years of experience at all levels of engineering, management, and innovation. He has worked globally for banks, fintech, micro-finance, engineering, and multinational companies, specializing in digital and architecture transformation. His expertise extends to cutting-edge technology adoption, strategy, assimilation, experimentation, innovative customer servicing and engagement, robust architecture implementation, fintech and startup alignment, and open innovation practices. Prasanna collaborates with government, BigTech, fintech, banks, and academia.&lt;/p&gt;&lt;p&gt;&lt;br&gt;&lt;/p&gt;Core Expertise:&lt;/strong&gt;&lt;/p&gt;&lt;ul&gt;&lt;li&gt;&lt;span style="color: inherit;"&gt;Organization Strategy, Leadership Development &amp;amp; Employee Engagement Programs, BU &amp;amp; Company Setup&lt;/span&gt;&lt;/li&gt;&lt;li&gt;&lt;span style="color: inherit;"&gt;Emerging Tech CoE Champion: Blockchain, Artificial Intelligence, Big Data, RPA, Cloud&lt;/span&gt;&lt;/li&gt;&lt;li&gt;&lt;span style="color: inherit;"&gt;Innovation Program &amp;amp; Framework Management&lt;/span&gt;&lt;/li&gt;&lt;li&gt;&lt;span style="color: inherit;"&gt;Advisor to BigTech and Governments&lt;/span&gt;&lt;/li&gt;&lt;li&gt;&lt;span style="color: inherit;"&gt;Business Models with Fintech, Startup, and Open Banking Acceleration&lt;/span&gt;&lt;/li&gt;&lt;li&gt;&lt;span style="color: inherit;"&gt;Digital Transformation Strategy for Banking Ecosystem&lt;/span&gt;&lt;/li&gt;&lt;li&gt;&lt;span style="color: inherit;"&gt;Banking, Payments, Acquiring &amp;amp; Card Issuance, Fintech&lt;/span&gt;&lt;/li&gt;&lt;li&gt;&lt;span style="color: inherit;"&gt;Banking Product Managements, Applications, Core, and Customer Digital Channels Expert&lt;/span&gt;&lt;/li&gt;&lt;li&gt;&lt;span style="color: inherit;"&gt;Engineering, DevOps, Enterprise Architecture, API Banking, Public Infrastructure Platform Expert&lt;/span&gt;&lt;/li&gt;&lt;/ul&gt;&lt;p&gt;&lt;br&gt;&lt;/p&gt;Problem-Solving Approach:&lt;/strong&gt;&lt;/p&gt;&lt;p&gt;Prasanna employs a strategic and innovative methodology to address and solve industry-specific challenges. His approach involves leveraging emerging technologies, fostering open innovation, and implementing robust architectural solutions. He collaborates closely with stakeholders across various sectors, including government and academia, to drive digital transformation and enhance customer engagement.&lt;/p&gt;&lt;p&gt;&lt;br&gt;&lt;/p&gt;Impactful Projects:&lt;/strong&gt;&lt;/p&gt;&lt;ul&gt;&lt;li&gt;&lt;strong style="color: inherit;"&gt;Block Stack:&lt;/strong&gt;&lt;span style="color: inherit;"&gt;&amp;nbsp;As CEO, he focuses on blockchain and deep tech research, digital transformation, innovation implementation, architecture orchestration, and building next-gen banking platforms for the Web 3.0 world.&lt;/span&gt;&lt;/li&gt;&lt;li&gt;&lt;strong style="color: inherit;"&gt;India Blockchain Forum:&lt;/strong&gt;&lt;span style="color: inherit;"&gt;&amp;nbsp;As President, Prasanna envisions making India a global hub for Blockchain and Web 3.0. He has actively participated in&lt;/span&gt;&lt;span style="color: windowtext;"&gt;&amp;nbsp;&lt;/span&gt;&lt;span style="color: inherit;"&gt;national, state, and international forums to promote blockchain adoption.&lt;/span&gt;&lt;span style="color: windowtext;"&gt;&amp;nbsp;Advising 3+ State governments for Blockchain CoE and overall execution.&lt;/span&gt;&lt;/li&gt;&lt;li&gt;&lt;strong style="color: inherit;"&gt;Union Bank of India:&lt;/strong&gt;&lt;span style="color: inherit;"&gt;&amp;nbsp;As an advisor, Prasanna is currently implementing innovation strategies at the third-largest bank in India, driving digital transformation and innovation.&lt;/span&gt;&lt;/li&gt;&lt;/ul&gt;</t>
  </si>
  <si>
    <t>https://www.linkedin.com/in/prasannalohar/</t>
  </si>
  <si>
    <t>prasanna.lohar@futuretransformation.in</t>
  </si>
  <si>
    <t>Go to Market Strategy || Go to Market Strategy || Digital Transformation || Product Management Management</t>
  </si>
  <si>
    <t>Banking &amp; Financial Services || FinTech || Fintech, Banking, Financial Services</t>
  </si>
  <si>
    <t>Prashant Iyer</t>
  </si>
  <si>
    <t>Asst Director - Startup Accelerator</t>
  </si>
  <si>
    <t xml:space="preserve">MIT World Peace University </t>
  </si>
  <si>
    <t>Summary:
Prashant Iyer is a Business Transformation Strategist with over 20 years of experience in Sales, Marketing, and Strategy. He is a Certified Strategic Leadership &amp; Executive Coach from the International Coaching Federation. Prashant has worked with leading multinationals, including Monster.com, Educomp Solutions, KidZania, Adlabs Imagica, and Hindustan Times. Currently, he is pursuing a Ph.D. in Leadership from Mumbai University, with a focus on Strategy and Leadership based on Kautilya Arthashastra.
Core Expertise:
Prashant specializes in start-ups, institutional sales, Product Management branding, new Product Management creation, and strategic alliances. He excels in building new business units to national scope, managing complexity and scale, and developing cross-functional skills. His experience spans various industries, including education, entertainment, and media.
Problem-Solving Approach:
Prashant adopts a practical and innovative approach to problem-solving. He engages closely with teams to understand challenges, applying strategic insights to develop tailored solutions. His leadership emphasizes action orientation and inspiration, ensuring that solutions are not only effective but also sustainable.
Impactful Projects:
Prashant has led numerous impactful projects, including the launch of India's first indoor edutainment park, KidZania, and India’s largest theme park, Adlabs Imagica. His work has consistently driven business growth and market expansion. Additionally, his research contributions, including 14 papers on Kautilya Arthashastra, highlight his thought leadership in strategy and global marketing trends.
﻿Consultation Style:
Prashant's consultation style is collaborative and engaging. He believes in making work enjoyable while driving results. His approach is tailored to the unique needs of each client, providing actionable guidance and fostering a culture of continuous improvement. He is dedicated to empowering organizations to achieve their goals through practical innovation and strategic leadership.</t>
  </si>
  <si>
    <t>https://www.linkedin.com/in/prashant-iyer/</t>
  </si>
  <si>
    <t>edu.ignitedminds@gmail.com</t>
  </si>
  <si>
    <t>Sales &amp; lead generation || Strategy || Sales &amp; lead generation || Strategy || Sales &amp; lead generation || Strategy || Entrepreneurship Coaching</t>
  </si>
  <si>
    <t>EdTech || EdTech || Social Enterprise || Social Enterprise || Tourism || Tourism || Education &amp; Training || Media, Arts &amp; Entertainment</t>
  </si>
  <si>
    <t>Akash Chandrakar</t>
  </si>
  <si>
    <t>Farmology</t>
  </si>
  <si>
    <t>Summary:&lt;/strong&gt;&lt;/p&gt;&lt;p&gt;Akash is a distinguished technopreneur and investor with extensive experience across AgriTech, D2C, B2B SaaS, EV, FinTech, and DeepTech sectors. He currently serves as the Managing Partner at îårtha Capital and has previously held influential roles at Farmology, India Accelerator, Unilever, and Infosys. His career is marked by a strong focus on innovation and scaling early-stage startups.&lt;/p&gt;&lt;p&gt;&lt;br&gt;&lt;/p&gt;Core Expertise:&lt;/strong&gt;&lt;/p&gt;&lt;ul&gt;&lt;li&gt;&lt;strong&gt;Service Delivery:&lt;/strong&gt; Expertise in managing and optimizing service operations to enhance customer satisfaction and business efficiency.&lt;/li&gt;&lt;li&gt;&lt;strong&gt;Project Management:&lt;/strong&gt; Proven ability to lead complex projects from inception to completion, ensuring timely and successful outcomes.&lt;/li&gt;&lt;li&gt;&lt;strong&gt;Creative Entrepreneurship:&lt;/strong&gt; Skilled in developing innovative business models and strategies to drive growth and differentiation.&lt;/li&gt;&lt;li&gt;&lt;strong&gt;Startup Advisory/Mentorship:&lt;/strong&gt; Provides strategic guidance and mentorship to early-stage startups, helping them navigate challenges and scale effectively.&lt;/li&gt;&lt;li&gt;&lt;strong&gt;Financial Advisory:&lt;/strong&gt; Offers comprehensive financial planning and advisory services to support business growth and fundraising activities.&lt;/li&gt;&lt;li&gt;&lt;strong&gt;Fundraising:&lt;/strong&gt; Experienced in securing investment and managing fundraising processes for startups.&lt;/li&gt;&lt;/ul&gt;&lt;p&gt;&lt;br&gt;&lt;/p&gt;Problem-Solving Approach:&lt;/strong&gt;&lt;/p&gt;&lt;p&gt;Akash utilizes a strategic and hands-on methodology, blending creative entrepreneurship with practical solutions. His approach involves detailed problem analysis, innovative solution design, and actionable strategies tailored to the specific needs of each startup.&lt;/p&gt;&lt;p&gt;&lt;br&gt;&lt;/p&gt;Impactful Projects:&lt;/strong&gt;&lt;/p&gt;&lt;ul&gt;&lt;li&gt;&lt;strong&gt;Farmology:&lt;/strong&gt; Co-founded this AgriTech startup and played a pivotal role in its development and scaling.&lt;/li&gt;&lt;li&gt;&lt;strong&gt;India Accelerator:&lt;/strong&gt; As Principal Partner, contributed to the success of numerous startups through expert mentorship and strategic guidance.&lt;/li&gt;&lt;li&gt;&lt;strong&gt;Early-Stage Startups:&lt;/strong&gt; Co-founded and supported several startups, providing critical advisory and operational support.&lt;/li&gt;&lt;/ul&gt;&lt;p&gt;&lt;br&gt;&lt;/p&gt;Consultation Style:&lt;/strong&gt;&lt;/p&gt;&lt;p&gt;Akash's consultation style is collaborative and engaging. He focuses on delivering tailored advice and solutions. He emphasizes practical insights and strategic direction, ensuring startups receive actionable support to achieve their growth objectives.&lt;/p&gt;</t>
  </si>
  <si>
    <t>https://www.linkedin.com/in/akashchandrakar/</t>
  </si>
  <si>
    <t>akash.chandrakar@iartha.com</t>
  </si>
  <si>
    <t>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Angel Investing || Business Model Development || Compliance Assistance || Contracts &amp; Agreements || Currency and Risk Management || Fundraising || Go to Market Strategy || Growth Strategy Formulation || Market research || Organizational Development || Pricing Strategy || Public speaking || Strategic Planning || Training &amp; Development || Entrepreneurship Coaching || IT Consulting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</si>
  <si>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FinTech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FinTech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FinTech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Agritech &amp; Food Processing || Fundraising</t>
  </si>
  <si>
    <t>Prashant Sinha</t>
  </si>
  <si>
    <t>Business Consulting- Senior Consultant</t>
  </si>
  <si>
    <t>EY</t>
  </si>
  <si>
    <t>Summary:&lt;/strong&gt;&lt;/p&gt;&lt;p&gt;Mr. Prashant has over a decade of experience in business development, entrepreneurship development, knowledge management, and technology transfer. He has led entrepreneurial education programs, promoted innovation and IP awareness, and raised funds for the propagation of technologies. Mr. Prashant has been instrumental in evaluating proposals for proof of concept funding and supporting the formation of startups. His expertise extends to organizing events and managing media to create measurable traction for startups and innovative technologies.&lt;/p&gt;&lt;p&gt;&lt;br&gt;&lt;/p&gt;Key Areas of Expertise:&lt;/strong&gt;&lt;/p&gt;&lt;ul&gt;&lt;li&gt;Business Development&lt;/li&gt;&lt;li&gt;Knowledge &amp;amp; IPR Management&lt;/li&gt;&lt;li&gt;Entrepreneurship Development&lt;/li&gt;&lt;li&gt;Technology Transfer&lt;/li&gt;&lt;li&gt;Fundraising &amp;amp; Proposal Evaluation&lt;/li&gt;&lt;/ul&gt;&lt;p&gt;&lt;br&gt;&lt;/p&gt;Strategic Contributions:&lt;/strong&gt;&lt;/p&gt;&lt;ul&gt;&lt;li&gt;Led entrepreneurial education programs and promoted incubation services&lt;/li&gt;&lt;li&gt;Raised funds for technology refinement and supported startup formation&lt;/li&gt;&lt;li&gt;Organized events to foster innovation and IP awareness&lt;/li&gt;&lt;/ul&gt;&lt;p&gt;&lt;br&gt;&lt;/p&gt;Mentorship Philosophy:&lt;/strong&gt;&lt;/p&gt;&lt;p&gt;Mr. Prashant is dedicated to fostering innovation and entrepreneurship through strategic support, fundraising efforts, and guiding startups toward achieving measurable success.&lt;/p&gt;</t>
  </si>
  <si>
    <t>https://www.linkedin.com/in/prashantksinha/</t>
  </si>
  <si>
    <t>Patna</t>
  </si>
  <si>
    <t>prashant.mbi@gmail.com</t>
  </si>
  <si>
    <t>Branding || Business Model Development || Corporate Social Responsibility || Fundraising || Go to Market Strategy || Government Funding || Intellectual Property Rights || IP Management || Public speaking || Branding || Business Model Development || Corporate Social Responsibility || Fundraising || Go to Market Strategy || Government Funding || Intellectual Property Rights || IP Management || Public speaking || Branding || Business Model Development || Corporate Social Responsibility || Fundraising || Go to Market Strategy || Government Funding || Intellectual Property Rights || IP Management || Public speaking || Branding || Business Model Development || Corporate Social Responsibility || Fundraising || Go to Market Strategy || Government Funding || Intellectual Property Rights || IP Management || Public speaking || Branding || Business Model Development || Corporate Social Responsibility || Fundraising || Go to Market Strategy || Government Funding || Intellectual Property Rights || IP Management || Public speaking || Branding || Business Model Development || Corporate Social Responsibility || Fundraising || Go to Market Strategy || Government Funding || Intellectual Property Rights || IP Management || Public speaking || Branding || Business Model Development || Corporate Social Responsibility || Fundraising || Go to Market Strategy || Government Funding || Intellectual Property Rights || IP Management || Public speaking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</si>
  <si>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CleanTech || CleanTech || CleanTech || CleanTech || CleanTech || CleanTech || CleanTech || CleanTech || CleanTech || Defence &amp; Public Safety || Defence &amp; Public Safety || Defence &amp; Public Safety || Defence &amp; Public Safety || Defence &amp; Public Safety || Defence &amp; Public Safety || Defence &amp; Public Safety || Defence &amp; Public Safety || Defence &amp; Public Safety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Technology &amp; Innovation || Technology &amp; Innovation || Technology &amp; Innovation || Technology &amp; Innovation || Technology &amp; Innovation || Technology &amp; Innovation || Technology &amp; Innovation || Technology &amp; Innovation || Technology &amp; Innovation || Transportation &amp; Logistics || Transportation &amp; Logistics || Transportation &amp; Logistics || Transportation &amp; Logistics || Transportation &amp; Logistics || Transportation &amp; Logistics || Transportation &amp; Logistics || Transportation &amp; Logistics || Transportation &amp; Logistics || Education &amp; Training</t>
  </si>
  <si>
    <t>Indu Priya Kundurthi</t>
  </si>
  <si>
    <t>Associate Vice President - SEO Platform</t>
  </si>
  <si>
    <t>Ex-HiveMinds</t>
  </si>
  <si>
    <t>Summary:&amp;nbsp;&lt;/strong&gt;Indu Priya is a seasoned Digital Marketing Consultant with a passion for nurturing startups and facilitating their growth. With extensive experience in the industry, she has played a pivotal role in guiding numerous startups toward success through strategic digital marketing initiatives.&amp;nbsp;&lt;/p&gt;&lt;p&gt;&lt;br&gt;&lt;/p&gt;Problem-Solving Approach&lt;/strong&gt;: Indu’s approach to digital marketing is rooted in understanding the unique needs and goals of each startup. She leverages data-driven insights and innovative strategies to create customized marketing plans that drive growth and enhance digital presence. Her methodology involves a deep dive into market analysis, competitive benchmarking, and continuous optimization to ensure maximum impact.&amp;nbsp;&lt;/p&gt;&lt;p&gt;&lt;br&gt;&lt;/p&gt;Impactful Projects&lt;/strong&gt;: Successfully guided numerous startups in various industries, helping them achieve significant growth through tailored digital marketing strategies. Actively engaged with startup networks and investors, providing valuable insights and support to early-stage companies. Implemented comprehensive digital marketing campaigns that have led to measurable increases in brand visibility, customer engagement, and revenue for her clients.&amp;nbsp;&lt;/p&gt;&lt;p&gt;&lt;br&gt;&lt;/p&gt;Consultation Style&lt;/strong&gt;: Indu’s consultation style is collaborative and hands-on. She works closely with startup Founders to understand their vision and align marketing strategies with their business objectives. Her focus on clear communication, continuous feedback, and iterative improvements ensures that her clients can effectively implement and benefit from her expertise. Indu is dedicated to empowering startups by providing them with the tools and knowledge they need to succeed in the digital landscape&lt;/p&gt;</t>
  </si>
  <si>
    <t>https://www.linkedin.com/in/indupriya/</t>
  </si>
  <si>
    <t>indupriya@gmail.com</t>
  </si>
  <si>
    <t>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 || Social Media Marketing || Digital Marketing</t>
  </si>
  <si>
    <t>Agriculture &amp; Food Processing || Agriculture &amp; Food Processing || Automobiles &amp; Auto Components || Automobiles &amp; Auto Components || Banking &amp; Financial Services || Banking &amp; Financial Services || CleanTech || CleanTech || Consumer Products || Consumer Products || Education &amp; Training || Education &amp; Training || Energy &amp; Renewable Resources || Energy &amp; Renewable Resources || Fashion &amp; Beauty || Fashion &amp; Beauty || FinTech || FinTech || Media, Arts &amp; Entertainment || Media, Arts &amp; Entertainment || Pharmaceuticals, Healthcare and Wellness || Pharmaceuticals, Healthcare and Wellness || Retail &amp; e-Commerce || Retail &amp; e-Commerce || Services || Services || Sports || Sports || Technology &amp; Innovation || Technology &amp; Innovation || Tourism &amp; Hospitality || Tourism &amp; Hospitality || Agriculture &amp; Food Processing || Agriculture &amp; Food Processing || Automobiles &amp; Auto Components || Automobiles &amp; Auto Components || Banking &amp; Financial Services || Banking &amp; Financial Services || CleanTech || CleanTech || Consumer Products || Consumer Products || Education &amp; Training || Education &amp; Training || Energy &amp; Renewable Resources || Energy &amp; Renewable Resources || Fashion &amp; Beauty || Fashion &amp; Beauty || FinTech || FinTech || Media, Arts &amp; Entertainment || Media, Arts &amp; Entertainment || Pharmaceuticals, Healthcare and Wellness || Pharmaceuticals, Healthcare and Wellness || Retail &amp; e-Commerce || Retail &amp; e-Commerce || Services || Services || Sports || Sports || Technology &amp; Innovation || Technology &amp; Innovation || Tourism &amp; Hospitality || Tourism &amp; Hospitality || Media, Arts &amp; Entertainment</t>
  </si>
  <si>
    <t>Pratap Shitole</t>
  </si>
  <si>
    <t>Startup Mentor</t>
  </si>
  <si>
    <t>Founder Institute</t>
  </si>
  <si>
    <t>Summary:&lt;/strong&gt;&lt;/p&gt;&lt;p&gt;Pratap is a versatile and experienced startup mentor with a strong engineering background and a passion for helping businesses scale and succeed globally. With a wealth of experience in New Technology Introduction and New Product Management Introduction, Pratap has led numerous successful projects in the automotive and marine sectors, specializing in turbochargers, air handling systems, and climate control systems. As a leader of global design teams, Pratap has demonstrated excellence in people management, technical decision-making, and building core competencies within teams.&lt;/p&gt;&lt;p&gt;&lt;br&gt;&lt;/p&gt;Key Areas of Expertise:&lt;/strong&gt;&lt;/p&gt;&lt;ul&gt;&lt;li&gt;&lt;strong&gt;Leadership and Team Development:&lt;/strong&gt; Leading and managing global engineering teams, focusing on building capabilities and fostering a culture of performance and innovation.&lt;/li&gt;&lt;li&gt;&lt;strong&gt;Strategic Planning and Execution:&lt;/strong&gt; Developing and executing engineering strategies, resource planning, and managing complex projects from inception to completion.&lt;/li&gt;&lt;li&gt;&lt;strong&gt;New Technology and Product Management Introduction:&lt;/strong&gt; Specializing in the introduction of new technologies and Product Managements, particularly in automotive and marine applications.&lt;/li&gt;&lt;li&gt;&lt;strong&gt;Process Improvement and Optimization:&lt;/strong&gt; Expert in process analysis, technical capability assessment, and implementing corrective actions for continuous improvement.&lt;/li&gt;&lt;/ul&gt;&lt;p&gt;&lt;br&gt;&lt;/p&gt;Strategic Contributions:&lt;/strong&gt;&lt;/p&gt;&lt;p&gt;Pratap has been instrumental in transforming engineering processes and teams to achieve higher efficiency and innovation. He has successfully led the strategic introduction of new technologies and Product Managements, enhancing the capabilities of global design groups and establishing functional excellence in design domains. Pratap’s leadership has been pivotal in setting up NABL-accredited labs and managing Product Management portfolios and component proliferation, significantly reducing time-to-market and costs.&lt;/p&gt;&lt;p&gt;&lt;br&gt;&lt;/p&gt;Mentorship Philosophy:&lt;/strong&gt;&lt;/p&gt;&lt;p&gt;Pratap believes in a hands-on and collaborative approach to mentoring, working closely with startups to understand their unique challenges and opportunities. He focuses on developing scalable and sustainable business models, leveraging his extensive experience in engineering and technology to guide startups through complex decisions and transformations. Pratap is committed to fostering growth, innovation, and excellence, helping startups navigate their journey from inception to global success.&lt;/p&gt;</t>
  </si>
  <si>
    <t>https://www.linkedin.com/in/pratap-shitole-009ab48/</t>
  </si>
  <si>
    <t>s.pratap16@gmail.com</t>
  </si>
  <si>
    <t>Go to Market Strategy || Product Development || Tech Strategy &amp; Infrastructure || Go to Market Strategy || Product Development || Tech Strategy &amp; Infrastructure || Go to Market Strategy || Product Development || Tech Strategy &amp; Infrastructure || Go to Market Strategy || Product Development || Tech Strategy &amp; Infrastructure || Go to Market Strategy || Product Development || Tech Strategy &amp; Infrastructure || Go to Market Strategy || Product Development || Tech Strategy &amp; Infrastructure || Entrepreneurship Coaching || Product Management Management</t>
  </si>
  <si>
    <t>AI, Big Data &amp; Analytics || AI, Big Data &amp; Analytics || AI, Big Data &amp; Analytics || Automobiles &amp; Auto Components || Automobiles &amp; Auto Components || Automobiles &amp; Auto Components || AI, Big Data &amp; Analytics || AI, Big Data &amp; Analytics || AI, Big Data &amp; Analytics || Automobiles &amp; Auto Components || Automobiles &amp; Auto Components || Automobiles &amp; Auto Components || AI, Big Data &amp; Analytics || AI, Big Data &amp; Analytics || AI, Big Data &amp; Analytics || Automobiles &amp; Auto Components || Automobiles &amp; Auto Components || Automobiles &amp; Auto Components || Education &amp; Training</t>
  </si>
  <si>
    <t>Prayas Tarani</t>
  </si>
  <si>
    <t>Destination Manager</t>
  </si>
  <si>
    <t>Shiksha Study Abroad</t>
  </si>
  <si>
    <t>Summary:&lt;/strong&gt;&lt;/p&gt;&lt;p&gt;Mr. Prayas brings over a decade of experience in the education sector, specializing in marketing management, business development, and student recruitment for both local and global markets. He holds an MBA in Marketing and Retail Management from ITM, Mumbai, and a degree in Chemical Engineering from GEC, Ujjain. Passionate about educational technology and entrepreneurship, he leads a team of counselors and is dedicated to fostering growth and innovation in the education sector.&lt;/p&gt;&lt;p&gt;&lt;br&gt;&lt;/p&gt;Key Areas of Expertise:&lt;/strong&gt;&lt;/p&gt;&lt;ul&gt;&lt;li&gt;&lt;strong&gt;Education Marketing&lt;/strong&gt;: Extensive experience in promoting educational institutions and programs.&lt;/li&gt;&lt;li&gt;&lt;strong&gt;Business Development&lt;/strong&gt;: Proven track record in fostering growth and leading teams.&lt;/li&gt;&lt;li&gt;&lt;strong&gt;Student Recruitment&lt;/strong&gt;: Expertise in guiding students through domestic and international education opportunities.&lt;/li&gt;&lt;li&gt;&lt;strong&gt;EdTech&lt;/strong&gt;: Interest and involvement in educational technology and emerging startups.&lt;/li&gt;&lt;/ul&gt;&lt;p&gt;&lt;br&gt;&lt;/p&gt;Strategic Contributions:&lt;/strong&gt;&lt;/p&gt;&lt;ul&gt;&lt;li&gt;&lt;strong&gt;Marketing Management&lt;/strong&gt;: Successfully managed marketing initiatives and business development strategies in the education sector.&lt;/li&gt;&lt;li&gt;&lt;strong&gt;Team Leadership&lt;/strong&gt;: Directed a team of counselors to enhance student recruitment and support.&lt;/li&gt;&lt;/ul&gt;&lt;p&gt;&lt;br&gt;&lt;/p&gt;Mentorship Philosophy:&lt;/strong&gt;&lt;/p&gt;&lt;p&gt;Mr. Prayas emphasizes the importance of strategic marketing and effective business development in education. He believes in guiding teams with a focus on innovation and adaptation to new trends in educational technology and entrepreneurship.&lt;/p&gt;</t>
  </si>
  <si>
    <t>https://www.linkedin.com/in/prayastarani</t>
  </si>
  <si>
    <t>prayastarani@gmail.com</t>
  </si>
  <si>
    <t>Business Model Development || Go to Market Strategy || Marketing || Talent Acquisition || Team building || Marketing &amp; Branding || Entrepreneurship Coaching</t>
  </si>
  <si>
    <t>Prem Sanjay Vuthandam</t>
  </si>
  <si>
    <t>Zeos Global</t>
  </si>
  <si>
    <t>Summary:&lt;/strong&gt;&lt;/p&gt;&lt;p&gt;Mr. Prem is the Founder and CEO of Zeos Global, where he leads the design, manufacture, and marketing of high-end consumer electronics. With over 20 years of experience, he focuses on creating innovative, high-quality Product Managements that solve customer problems. His mission is to establish ZEOS as a global brand synonymous with excellence and innovation. He has a strong passion for building strategic partnerships and expanding the company's global presence.&lt;/p&gt;&lt;p&gt;&lt;br&gt;&lt;/p&gt;Key Areas of Expertise:&lt;/strong&gt;&lt;/p&gt;&lt;ul&gt;&lt;li&gt;Product Management Design&lt;/li&gt;&lt;li&gt;Disruptive Technologies&lt;/li&gt;&lt;li&gt;Consumer Electronics&lt;/li&gt;&lt;li&gt;Go-to-Market Strategy&lt;/li&gt;&lt;/ul&gt;&lt;p&gt;&lt;br&gt;&lt;/p&gt;Strategic Contributions:&lt;/strong&gt;&lt;/p&gt;&lt;ul&gt;&lt;li&gt;Leading the development and marketing of state-of-the-art consumer electronics.&lt;/li&gt;&lt;li&gt;Forming a global team of experienced professionals to drive innovation and growth.&lt;/li&gt;&lt;li&gt;Establishing ZEOS as a brand associated with quality and practical solutions.&lt;/li&gt;&lt;/ul&gt;</t>
  </si>
  <si>
    <t>https://www.linkedin.com/in/prem-sanjay-vuthandam/</t>
  </si>
  <si>
    <t>prem@zeosmobile.com</t>
  </si>
  <si>
    <t>Branding || Business Model Development || Customer Experience Optimization || Customer Relationship Management || Customer Service &amp; Retention || Digital Marketing || E-commerce Management || Entity Formation || Fundraising || Go to Market Strategy || Growth Strategy Formulation || Intellectual Property Rights || International Market Analysis || IP Management || Logistics Management || Market research || Marketing || Pitch coaching || Pricing Strategy || Product Development || Prototyping &amp; Testing || Social Media Marketing || Supply Chain Management || Tech Strategy &amp; Infrastructure || UI/UX Design || Branding || Business Model Development || Customer Experience Optimization || Customer Relationship Management || Customer Service &amp; Retention || Digital Marketing || E-commerce Management || Entity Formation || Fundraising || Go to Market Strategy || Growth Strategy Formulation || Intellectual Property Rights || International Market Analysis || IP Management || Logistics Management || Market research || Marketing || Pitch coaching || Pricing Strategy || Product Development || Prototyping &amp; Testing || Social Media Marketing || Supply Chain Management || Tech Strategy &amp; Infrastructure || UI/UX Design || Branding || Business Model Development || Customer Experience Optimization || Customer Relationship Management || Customer Service &amp; Retention || Digital Marketing || E-commerce Management || Entity Formation || Fundraising || Go to Market Strategy || Growth Strategy Formulation || Intellectual Property Rights || International Market Analysis || IP Management || Logistics Management || Market research || Marketing || Pitch coaching || Pricing Strategy || Product Development || Prototyping &amp; Testing || Social Media Marketing || Supply Chain Management || Tech Strategy &amp; Infrastructure || UI/UX Design || Branding || Business Model Development || Customer Experience Optimization || Customer Relationship Management || Customer Service &amp; Retention || Digital Marketing || E-commerce Management || Entity Formation || Fundraising || Go to Market Strategy || Growth Strategy Formulation || Intellectual Property Rights || International Market Analysis || IP Management || Logistics Management || Market research || Marketing || Pitch coaching || Pricing Strategy || Product Development || Prototyping &amp; Testing || Social Media Marketing || Supply Chain Management || Tech Strategy &amp; Infrastructure || UI/UX Design || Branding || Business Model Development || Customer Experience Optimization || Customer Relationship Management || Customer Service &amp; Retention || Digital Marketing || E-commerce Management || Entity Formation || Fundraising || Go to Market Strategy || Growth Strategy Formulation || Intellectual Property Rights || International Market Analysis || IP Management || Logistics Management || Market research || Marketing || Pitch coaching || Pricing Strategy || Product Development || Prototyping &amp; Testing || Social Media Marketing || Supply Chain Management || Tech Strategy &amp; Infrastructure || UI/UX Design || Branding || Business Model Development || Customer Experience Optimization || Customer Relationship Management || Customer Service &amp; Retention || Digital Marketing || E-commerce Management || Entity Formation || Fundraising || Go to Market Strategy || Growth Strategy Formulation || Intellectual Property Rights || International Market Analysis || IP Management || Logistics Management || Market research || Marketing || Pitch coaching || Pricing Strategy || Product Development || Prototyping &amp; Testing || Social Media Marketing || Supply Chain Management || Tech Strategy &amp; Infrastructure || UI/UX Design || Product Management</t>
  </si>
  <si>
    <t>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Others || Others || Others || Others || Others || Others || Others || Others || Others || Others || Others || Others || Others || Others || Others || Others || Others || Others || Others || Others || Others || Others || Others || Others || Others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Sports || Sports || Sports || Sports || Sports || Sports || Sports || Sports || Sports || Sports || Sports || Sports || Sports || Sports || Sports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Consumer Products​</t>
  </si>
  <si>
    <t>Priya K N</t>
  </si>
  <si>
    <t>About
Dr. K. N. Priya Saravanakumar is an experienced academic and management professional serving as Assistant Professor at Sri Ramachandra Institute of Higher Education and Research with a strong foundation in management sciences and healthcare management. She has completed her Doctorate (Ph.D.) in Management Sciences, reflecting her deep academic commitment and research rigor. Dr. Priya engages actively with students, alumni, and professional communities through academic events, workshops, and faculty leadership roles, and shares insights on enhancing patient safety, quality, and organizational effectiveness within healthcare and educational contexts. She is recognized for mentoring, research advocacy, and contributions to academic development. 
Skillset
Academic Research &amp; Teaching (Management &amp; Healthcare)
Management Sciences &amp; Strategic Leadership
Healthcare Quality &amp; Patient Safety Awareness
Mentoring &amp; Faculty Development
Workshop &amp; Event Facilitation
Community &amp; Alumni Engagement</t>
  </si>
  <si>
    <t>https://www.linkedin.com/in/dr-k-n-priya-saravanakumar-60297a75</t>
  </si>
  <si>
    <t>Chengalpattu</t>
  </si>
  <si>
    <t>priyagobi@gmail.com (student) priya.kn@sriramachandra.edu.in (faculty)
Priyakasiyur@gmail.com (Mentor)</t>
  </si>
  <si>
    <t>Billing and revenue collection || Business Model Development || Corporate Social Responsibility || Customer Relationship Management || Customer Service &amp; Retention || Data Analytics || Digital Marketing || Entity Formation || Fundraising || Marketing || Pricing Strategy || Product Development || Sales Strategy || Social Media Marketing || Strategic Planning || Training &amp; Development || Billing and revenue collection || Business Model Development || Corporate Social Responsibility || Customer Relationship Management || Customer Service &amp; Retention || Data Analytics || Digital Marketing || Entity Formation || Fundraising || Marketing || Pricing Strategy || Product Development || Sales Strategy || Social Media Marketing || Strategic Planning || Training &amp; Development || Billing and revenue collection || Business Model Development || Corporate Social Responsibility || Customer Relationship Management || Customer Service &amp; Retention || Data Analytics || Digital Marketing || Entity Formation || Fundraising || Marketing || Pricing Strategy || Product Development || Sales Strategy || Social Media Marketing || Strategic Planning || Training &amp; Development || Billing and revenue collection || Business Model Development || Corporate Social Responsibility || Customer Relationship Management || Customer Service &amp; Retention || Data Analytics || Digital Marketing || Entity Formation || Fundraising || Marketing || Pricing Strategy || Product Development || Sales Strategy || Social Media Marketing || Strategic Planning || Training &amp; Development || Entrepreneurship Coaching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</si>
  <si>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Services || Services || Services || Services || Services || Services || Services || Services || Services || Services || Services || Services || Services || Services || Services || Services || Education &amp; Training</t>
  </si>
  <si>
    <t>Prof Ahmad Faraz Khan</t>
  </si>
  <si>
    <t>Department of Business Administration</t>
  </si>
  <si>
    <t>Summary&lt;/strong&gt;&lt;/p&gt;&lt;p&gt;Mr. Ahmad is an Assistant Professor in the Department of Business Administration at the Faculty of Management Studies &amp;amp; Research, A.M.U., where he specializes in entrepreneurial skill development, bio-entrepreneurship, social entrepreneurship, and design thinking. He oversees community outreach and student entrepreneurship initiatives and has published research in journals like &lt;em&gt;Benchmarking&lt;/em&gt; and &lt;em&gt;SAGE Open&lt;/em&gt;. As an empanelled trainer with AIMA, Mr. Ahmad has led executive training programs for organizations such as Indian Oil Corporation and L&amp;amp;T, focusing on topics like Blockchain, AI, and Cybersecurity. He also volunteers for nonprofits, providing expertise in project planning and financial management.&lt;/p&gt;&lt;p&gt;&lt;br&gt;&lt;/p&gt;Key Areas of Expertise&lt;/strong&gt;&lt;/p&gt;&lt;ul&gt;&lt;li&gt;Entrepreneurial Skill Development&lt;/li&gt;&lt;li&gt;Social and Bio-Entrepreneurship&lt;/li&gt;&lt;li&gt;Design Thinking&lt;/li&gt;&lt;li&gt;Executive Training on Emerging Technologies (Blockchain, AI, Cybersecurity)&lt;/li&gt;&lt;li&gt;Financial Management for Nonprofits&lt;/li&gt;&lt;/ul&gt;&lt;p&gt;&lt;br&gt;&lt;/p&gt;Strategic Contributions&lt;/strong&gt;&lt;/p&gt;&lt;ul&gt;&lt;li&gt;Designed and delivered executive training programs for top industry organizations&lt;/li&gt;&lt;li&gt;Published research in prominent international journals&lt;/li&gt;&lt;li&gt;Led community outreach and student entrepreneurship activities at FMSR&lt;/li&gt;&lt;/ul&gt;</t>
  </si>
  <si>
    <t>https://www.linkedin.com/in/ahmadfk1/</t>
  </si>
  <si>
    <t>Aligarh</t>
  </si>
  <si>
    <t>ahmadfk1@gmail.com</t>
  </si>
  <si>
    <t>Business Model Development || Entrepreneurship Coaching</t>
  </si>
  <si>
    <t>Services || Education &amp; Training</t>
  </si>
  <si>
    <t>Prof. Saptaparna Ghosh</t>
  </si>
  <si>
    <t>Assistant Head of the Department</t>
  </si>
  <si>
    <t>Institute of Engineering and Management</t>
  </si>
  <si>
    <t>Summary:&lt;/strong&gt;&lt;/p&gt;&lt;p&gt;Ms. Saptaparna has over 22 years of experience spanning the telecom industry and academia. With 14 years in telecom at companies like L&amp;amp;T, TCL, and Vodafone, and 8 years in academics, she brings a wealth of knowledge in both practical and theoretical aspects of the industry. Holding a B Tech in ETC, PGDBM in Marketing, and certifications in ITIL, Prince2, and CCNA, she currently serves as Assistant HOD of the MBA Department at IEMK and as a consultant for NEN. Her expertise lies in entrepreneurship and entrepreneurship education.&lt;/p&gt;&lt;p&gt;&lt;br&gt;&lt;/p&gt;Key Areas of Expertise:&lt;/strong&gt;&lt;/p&gt;&lt;ul&gt;&lt;li&gt;Telecom Industry Experience&lt;/li&gt;&lt;li&gt;Entrepreneurship Education&lt;/li&gt;&lt;li&gt;Project Management (Prince2)&lt;/li&gt;&lt;li&gt;ITIL Service Operations&lt;/li&gt;&lt;li&gt;Network &amp;amp; Systems Administration (CCNA)&lt;/li&gt;&lt;/ul&gt;&lt;p&gt;&lt;br&gt;&lt;/p&gt;Strategic Contributions:&lt;/strong&gt;&lt;/p&gt;&lt;ul&gt;&lt;li&gt;Contributed to major telecom projects and operations&lt;/li&gt;&lt;li&gt;Developed and delivered academic programs in MBA with a focus on entrepreneurship&lt;/li&gt;&lt;/ul&gt;&lt;p&gt;&lt;br&gt;&lt;/p&gt;Success Stories:&lt;/strong&gt;&lt;/p&gt;&lt;ul&gt;&lt;li&gt;Significant roles at L&amp;amp;T, TCL, and Vodafone in telecom&lt;/li&gt;&lt;li&gt;Impactful academic contributions as Assistant HOD and consultant&lt;/li&gt;&lt;/ul&gt;</t>
  </si>
  <si>
    <t>https://www.linkedin.com/in/saptaparna-ghosh-3772b631</t>
  </si>
  <si>
    <t>saptaparnachandra@gmail.com</t>
  </si>
  <si>
    <t>Business Model Development || Marketing || Training &amp; Development || Business Model Development || Marketing || Training &amp; Development || Digital Marketing</t>
  </si>
  <si>
    <t>Services || Services || Services || Telecommunications || Telecommunications || Telecommunications || Education &amp; Training</t>
  </si>
  <si>
    <t>Prof. Sheetal Mundra</t>
  </si>
  <si>
    <t>JK Lakshmipat University, Jaipur</t>
  </si>
  <si>
    <t>Summary:&lt;/strong&gt;&lt;/p&gt;&lt;p&gt;Ms. Sheetal is a seasoned educator and researcher with over 17 years of experience in Economics and Entrepreneurship. A certified expert in 'Advanced Data Analytics' from IIM Kozhikode and an alumna of IIM Ahmedabad's FDP program, she has authored and edited books, published numerous research articles, and presented at prestigious conferences. Ms. Sheetal actively mentors startups, collaborates with institutions to build entrepreneurship ecosystems, and has been instrumental in initiatives like 'The UK-India SME Knowledge Initiative.' She is recognized for her contributions to education, receiving the 'Women Achievers Award 2020' for Best Practices in Education.&lt;/p&gt;&lt;p&gt;&lt;br&gt;&lt;/p&gt;Key Areas of Expertise:&lt;/strong&gt;&lt;/p&gt;&lt;ul&gt;&lt;li&gt;&lt;strong&gt;Economics &amp;amp; Entrepreneurship&lt;/strong&gt;: Extensive teaching and research experience in these fields.&lt;/li&gt;&lt;li&gt;&lt;strong&gt;Data Analytics &amp;amp; Education&lt;/strong&gt;: Certified in Advanced Data Analytics and Entrepreneurship Education.&lt;/li&gt;&lt;li&gt;&lt;strong&gt;Startup Ecosystem Development&lt;/strong&gt;: Actively collaborates with institutions to mentor startups and build entrepreneurship ecosystems.&lt;/li&gt;&lt;li&gt;&lt;strong&gt;Research &amp;amp; Publications&lt;/strong&gt;: Published books, research articles, and presented at international conferences.&lt;/li&gt;&lt;/ul&gt;&lt;p&gt;&lt;br&gt;&lt;/p&gt;Strategic Contributions:&lt;/strong&gt;&lt;/p&gt;&lt;ul&gt;&lt;li&gt;&lt;strong&gt;Entrepreneurship Ecosystem&lt;/strong&gt;: Played a key role in building entrepreneurship cells and ecosystems in educational institutions.&lt;/li&gt;&lt;li&gt;&lt;strong&gt;UK-India SME Knowledge Initiative&lt;/strong&gt;: Contributed as a member of the research team for this British Council-sponsored project.&lt;/li&gt;&lt;li&gt;&lt;strong&gt;Mentorship &amp;amp; Innovation&lt;/strong&gt;: Serves as an Innovation Ambassador and mentors startups through various institutional partnerships.&lt;/li&gt;&lt;/ul&gt;&lt;p&gt;&lt;br&gt;&lt;/p&gt;Mentorship Philosophy:&lt;/strong&gt;&lt;/p&gt;&lt;p&gt;Ms. Sheetal is dedicated to nurturing emerging entrepreneurs by providing them with the knowledge, tools, and networks needed to succeed. She believes in fostering innovation through education and actively supports startup initiatives to drive sustainable growth.&lt;/p&gt;</t>
  </si>
  <si>
    <t>https://www.linkedin.com/in/sheetal-mundra-7202972b/</t>
  </si>
  <si>
    <t>sheetalmundra5@gmail.com</t>
  </si>
  <si>
    <t>Business Model Development || Data Analytics || Market research || Research Partnerships || Business Model Development || Data Analytics || Market research || Research Partnerships || Entrepreneurship Coaching || Research and Development</t>
  </si>
  <si>
    <t>Prof. Siva Shanmuga Valli</t>
  </si>
  <si>
    <t>B S Abdur rahman University of science and Technology</t>
  </si>
  <si>
    <t>Summary&lt;/strong&gt;&lt;/p&gt;&lt;p&gt;Prof. Siva is an enthusiastic and motivated engineer with over 20 years of teaching experience, specializing in Electromagnetics, transmission lines, and basic electronics. Actively involved in research in antenna design and wireless communication.&lt;/p&gt;&lt;p&gt;&lt;br&gt;&lt;/p&gt;Key Areas of Expertise&lt;/strong&gt;&lt;/p&gt;&lt;ul&gt;&lt;li&gt;Electromagnetics&lt;/li&gt;&lt;li&gt;Transmission Lines&lt;/li&gt;&lt;li&gt;Basic Electronics&lt;/li&gt;&lt;li&gt;Antenna Design&lt;/li&gt;&lt;li&gt;Wireless Communication&lt;/li&gt;&lt;li&gt;Internet of Things (IoT)&lt;/li&gt;&lt;li&gt;Python&lt;/li&gt;&lt;/ul&gt;&lt;p&gt;&lt;br&gt;&lt;/p&gt;Mentorship Philosophy&lt;/strong&gt;&lt;/p&gt;&lt;p&gt;Believes in continuous learning and sharing research experiences with young students. Actively engages in upskilling through workshops, conferences, and online courses like Swayam NPTEL.&lt;/p&gt;</t>
  </si>
  <si>
    <t>https://www.linkedin.com/in/siva-shanmugavalli-248085a8?utm_source=share&amp;utm_campaign=share_via&amp;utm_content=profile&amp;utm_medium=android_app</t>
  </si>
  <si>
    <t>Sivashanmugavalli@crescent.education
sivabha01@gmail.com
sivavallib@gmail.com (Mentor)</t>
  </si>
  <si>
    <t>Branding || Business Model Development || Organizational Development || Product Development || Prototyping &amp; Testing || Strategic Planning || Training &amp; Development || Branding || Business Model Development || Organizational Development || Product Development || Prototyping &amp; Testing || Strategic Planning || Training &amp; Development || Branding || Business Model Development || Organizational Development || Product Development || Prototyping &amp; Testing || Strategic Planning || Training &amp; Development || Branding || Business Model Development || Organizational Development || Product Development || Prototyping &amp; Testing || Strategic Planning || Training &amp; Development || Entrepreneurship Coaching || Research and Development</t>
  </si>
  <si>
    <t>Education &amp; Training || 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Education &amp; Training</t>
  </si>
  <si>
    <t>Dr. Salman Shaikh</t>
  </si>
  <si>
    <t>Member board of Directors</t>
  </si>
  <si>
    <t>Metafix Ortho Pvt. Ltd.</t>
  </si>
  <si>
    <t>&lt;h4&gt;&lt;strong&gt;Summary:&lt;/strong&gt;&lt;/h4&gt;&lt;p&gt;Dr. Salman is an Innovation and Entrepreneurship Coach with extensive experience in Industrie 4.0 transformation. He mentors startups at various incubation centers and has founded three tech startups focused on healthcare and sustainable energy. His work is known for emphasizing low-cost solutions and grassroots innovations. As an experienced rehabilitation consultant, Dr. Salman has a strong background across the medical, engineering, and research industries. He holds a Ph.D. in Sensors, Electronics, and Biomedical Engineering applications and is highly skilled in Sustainable Development, Innovation Management, and advanced technologies.&lt;/p&gt;&lt;h4&gt;&lt;br&gt;&lt;/h4&gt;&lt;h4&gt;&lt;strong&gt;Key Areas of Expertise:&lt;/strong&gt;&lt;/h4&gt;&lt;ul&gt;&lt;li&gt;&lt;strong&gt;Innovation Management&lt;/strong&gt;: Guiding the development and implementation of innovative strategies and solutions.&lt;/li&gt;&lt;li&gt;&lt;strong&gt;Industrie 4.0 Transformation&lt;/strong&gt;: Helping businesses adopt digital and smart technologies for enhanced operational efficiency.&lt;/li&gt;&lt;li&gt;&lt;strong&gt;Sustainable Development&lt;/strong&gt;: Creating and promoting eco-friendly and sustainable technological solutions.&lt;/li&gt;&lt;li&gt;&lt;strong&gt;Biomechanics&lt;/strong&gt;: Applying principles of mechanics to solve biological and medical problems.&lt;/li&gt;&lt;li&gt;&lt;strong&gt;Product Management Design&lt;/strong&gt;: Designing innovative Product Managements tailored to meet specific market needs.&lt;/li&gt;&lt;li&gt;&lt;strong&gt;Embedded Systems&lt;/strong&gt;: Developing specialized computing systems as part of larger devices.&lt;/li&gt;&lt;li&gt;&lt;strong&gt;IoT and Rapid Prototyping&lt;/strong&gt;: Utilizing Internet of Things (IoT) technology and rapid prototyping techniques to accelerate Product Management development.&lt;/li&gt;&lt;/ul&gt;&lt;h4&gt;&lt;br&gt;&lt;/h4&gt;&lt;h4&gt;&lt;strong&gt;Strategic Contributions:&lt;/strong&gt;&lt;/h4&gt;&lt;ul&gt;&lt;li&gt;Mentored numerous startups at various incubation centers, helping them navigate early-stage challenges and scale their operations.&lt;/li&gt;&lt;li&gt;Founded three tech startups in the healthcare and sustainable energy sectors, focusing on developing innovative, low-cost solutions.&lt;/li&gt;&lt;li&gt;Promoted grassroots innovations by fostering a culture of creativity and problem-solving at the community level.&lt;/li&gt;&lt;/ul&gt;&lt;h4&gt;&lt;br&gt;&lt;/h4&gt;&lt;h4&gt;&lt;strong&gt;Mentorship Philosophy:&lt;/strong&gt;&lt;/h4&gt;&lt;ul&gt;&lt;li&gt;Dr. Salman believes in fostering innovation and sustainability through hands-on mentorship and collaboration. He focuses on helping startups leverage cutting-edge technologies and methodologies to develop scalable, low-cost solutions. By encouraging creativity and practical problem-solving, he aims to empower entrepreneurs to make a meaningful impact in their industries and communities.&lt;/li&gt;&lt;/ul&gt;</t>
  </si>
  <si>
    <t>https://www.linkedin.com/in/dr-salman/</t>
  </si>
  <si>
    <t>salman.mit@gmail.com</t>
  </si>
  <si>
    <t>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Corporate Social Responsibility || Data Analytics || ESG Strategy || Go to Market Strategy || Market research || Organizational Development || Prototyping &amp; Testing || Sales Strategy || Sustainable Operations || Tech Strategy &amp; Infrastructure || Product Management || ESG Strategy</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</si>
  <si>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CleanTech || CleanTech || CleanTech || CleanTech || CleanTech || CleanTech || CleanTech || CleanTech || CleanTech || CleanTech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Technology &amp; Innovation || Technology &amp; Innovation || Technology &amp; Innovation || Technology &amp; Innovation || Technology &amp; Innovation || Technology &amp; Innovation || Technology &amp; Innovation || Technology &amp; Innovation || Technology &amp; Innovation || Technology &amp; Innovation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CleanTech || CleanTech || CleanTech || CleanTech || CleanTech || CleanTech || CleanTech || CleanTech || CleanTech || CleanTech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Technology &amp; Innovation || Technology &amp; Innovation || Technology &amp; Innovation || Technology &amp; Innovation || Technology &amp; Innovation || Technology &amp; Innovation || Technology &amp; Innovation || Technology &amp; Innovation || Technology &amp; Innovation || Technology &amp; Innovation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CleanTech || CleanTech || CleanTech || CleanTech || CleanTech || CleanTech || CleanTech || CleanTech || CleanTech || CleanTech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Technology &amp; Innovation || Technology &amp; Innovation || Technology &amp; Innovation || Technology &amp; Innovation || Technology &amp; Innovation || Technology &amp; Innovation || Technology &amp; Innovation || Technology &amp; Innovation || Technology &amp; Innovation || Technology &amp; Innovation || Pharmaceuticals, Healthcare and Wellness || CleanTech</t>
  </si>
  <si>
    <t>Radhakrishna Nippani</t>
  </si>
  <si>
    <t>Ex Director - Operations</t>
  </si>
  <si>
    <t>Bharatiya Yuva Shakti Trust</t>
  </si>
  <si>
    <t>Summary:&lt;/strong&gt;&lt;/p&gt;&lt;p&gt;Mr. Radhakrishna brings over 30 years of experience to his role as a trainer, coach, and mentor for early-stage business owners. He focuses on helping individuals achieve their goals and make a meaningful impact in their fields. In addition to his professional work, Mr. Radhakrishna has a passion for voiceovers and dubbing, having contributed to corporate films, e-learning videos, and TV episodes. He believes in managing the mind through breath and meditation and is dedicated to nurturing genuine talent and being useful to those who seek his guidance.&lt;/p&gt;&lt;p&gt;&lt;br&gt;&lt;/p&gt;Key Areas of Expertise:&lt;/strong&gt;&lt;/p&gt;&lt;ul&gt;&lt;li&gt;Business Coaching and Mentoring&lt;/li&gt;&lt;li&gt;Goal Achievement and Results Focus&lt;/li&gt;&lt;li&gt;Personal Development and Potential Realization&lt;/li&gt;&lt;li&gt;Voiceovers and Dubbing&lt;/li&gt;&lt;/ul&gt;&lt;p&gt;&lt;br&gt;&lt;/p&gt;Strategic Contributions:&lt;/strong&gt;&lt;/p&gt;&lt;ul&gt;&lt;li&gt;Trains and mentors early-stage business owners to focus on results and outcomes.&lt;/li&gt;&lt;li&gt;Supports individuals in realizing their potential and making a meaningful impact in their fields.&lt;/li&gt;&lt;/ul&gt;&lt;p&gt;&lt;br&gt;&lt;/p&gt;Mentorship Philosophy:&lt;/strong&gt;&lt;/p&gt;&lt;ul&gt;&lt;li&gt;Believes in managing the mind through breath and meditation.&lt;/li&gt;&lt;li&gt;Aims to coach, mentor, and nurture talent, emphasizing the principle of being "USEFUL" to others.&lt;/li&gt;&lt;/ul&gt;&lt;p&gt;&lt;br&gt;&lt;/p&gt;Success Stories:&lt;/strong&gt;&lt;/p&gt;&lt;ul&gt;&lt;li&gt;Provided voiceovers and dubbing for corporate films, e-learning/training videos, and TV episodes.&lt;/li&gt;&lt;li&gt;Has successfully guided early-stage business owners to achieve their goals and make impactful contributions in their respective fields.&lt;/li&gt;&lt;/ul&gt;</t>
  </si>
  <si>
    <t>https://www.linkedin.com/in/rknippani/</t>
  </si>
  <si>
    <t>coach.rk@outlook.com</t>
  </si>
  <si>
    <t>Social &amp; Community Services</t>
  </si>
  <si>
    <t>Business Model Development || Customer Service &amp; Retention || Market research || Organizational Development || Performance Management || Strategic Planning || Talent Acquisition || HR Consulting || entrepreneurship Coaching</t>
  </si>
  <si>
    <t>Services || Services || Services || Services || Services || Services || Services || Social &amp; Community Services</t>
  </si>
  <si>
    <t>Radhika Baidya</t>
  </si>
  <si>
    <t>About
Radhika Baidya is a Marketing &amp; Branding Strategist and PhD scholar with over 5 years of experience in digital marketing, brand strategy, and content leadership. She has worked with global brands and startups to strengthen brand presence, drive engagement, and build sustainable marketing frameworks. Radhika is MICA-certified in digital marketing and is currently pursuing advanced research in marketing, exploring contemporary brand ecosystems and digital strategies. She regularly shares insights on marketing, leadership, and growth through LinkedIn, with over 10,000 followers and a strong creator presence. She also contributes to academic and industry conversations through speaking engagements and thought leadership posts. 
Skillset
Marketing Strategy &amp; Brand Building
Digital Marketing &amp; Social Media Growth
Content Leadership &amp; Thought Leadership
Brand Communication &amp; Engagement
Research &amp; Academic Insight in Marketing
Public Speaking &amp; Industry Workshops</t>
  </si>
  <si>
    <t>https://www.linkedin.com/in/radhikabaidya</t>
  </si>
  <si>
    <t>radhikabaidya05@gmail.com</t>
  </si>
  <si>
    <t>Branding || Digital Marketing || Social Media Marketing || Branding || Digital Marketing || Social Media Marketing || Branding || Digital Marketing || Social Media Marketing || Branding || Digital Marketing || Social Media Marketing || Branding || Digital Marketing || Social Media Marketing || Branding || Digital Marketing || Social Media Marketing || Branding || Digital Marketing || Social Media Marketing || Branding || Digital Marketing || Social Media Marketing || Branding || Digital Marketing || Social Media Marketing || Branding || Digital Marketing || Social Media Marketing || Branding || Digital Marketing || Social Media Marketing || Marketing &amp; Branding</t>
  </si>
  <si>
    <t>Consumer Products || Consumer Products || Consumer Products || Education &amp; Training || Education &amp; Training || Education &amp; Training || Fashion &amp; Beauty || Fashion &amp; Beauty || Fashion &amp; Beauty || Media, Arts &amp; Entertainment || Media, Arts &amp; Entertainment || Media, Arts &amp; Entertainment || Professional &amp; Business Services || Professional &amp; Business Services || Professional &amp; Business Services || Services || Services || Services || Social &amp; Community Services || Social &amp; Community Services || Social &amp; Community Services || Technology &amp; Innovation || Technology &amp; Innovation || Technology &amp; Innovation || Telecommunications || Telecommunications || Telecommunications || Textiles &amp; Apparel || Textiles &amp; Apparel || Textiles &amp; Apparel || Tourism &amp; Hospitality || Tourism &amp; Hospitality || Tourism &amp; Hospitality || Software &amp; IT Services</t>
  </si>
  <si>
    <t>Raghavendra Bhat</t>
  </si>
  <si>
    <t>INNOIPS</t>
  </si>
  <si>
    <t>Summary&lt;/strong&gt;:&lt;/p&gt;&lt;p&gt;Raghavendra is an accomplished Innovation Consultant with a proven track record in the legal services industry. He has a deep understanding of AutoCAD, Freedom to Operate (FTO), Innovation Management, Patent Strategy, and Patent Portfolio Analysis. His work is characterized by a robust legal framework, coupled with a dedicated focus on fostering innovation.&lt;/p&gt;&lt;p&gt;&lt;br&gt;&lt;/p&gt;Core Expertise&lt;/strong&gt;:&lt;/p&gt;&lt;p&gt;Raghavendra specializes in legal services with a particular emphasis on innovation-related areas. His expertise encompasses AutoCAD, FTO analysis, innovation management, patent strategy development, and patent portfolio analysis. His work often involves assisting clients in navigating complex legal landscapes to protect and leverage their innovations.&lt;/p&gt;&lt;p&gt;&lt;br&gt;&lt;/p&gt;Problem-Solving Approach&lt;/strong&gt;:&lt;/p&gt;&lt;p&gt;Raghavendra employs a meticulous and strategic approach to problem-solving. He begins by thoroughly understanding the client’s needs and the intricacies of their innovations. By utilizing tools such as AutoCAD for technical analysis and conducting detailed FTO assessments, he ensures that innovations are legally protected and commercially viable. His patent strategies are tailored to maximize intellectual property value while minimizing risk.&lt;/p&gt;&lt;p&gt;&lt;br&gt;&lt;/p&gt;Impactful Projects&lt;/strong&gt;:&lt;/p&gt;&lt;p&gt;Throughout his career, Raghavendra has successfully guided numerous clients through the intricacies of patent strategy and portfolio management. He has been instrumental in crafting comprehensive patent strategies that have protected innovations and enhanced market positioning. His work in innovation management has also helped clients streamline their processes, fostering a more innovative and legally secure environment.&lt;/p&gt;&lt;p&gt;&lt;br&gt;&lt;/p&gt;Consultation Style&lt;/strong&gt;:&lt;/p&gt;&lt;p&gt;Raghavendra’s consultation style is highly collaborative and client-centric. He engages deeply with clients to understand their unique challenges and aspirations. His guidance is characterized by clear communication, detailed analysis, and practical solutions. He tailors his services to each client’s specific needs, ensuring that they receive comprehensive and actionable insights into managing their intellectual property and innovation processes. Raghavendra’s commitment to excellence in legal services and innovation management makes him a valuable asset to any organization looking to navigate the complexities of intellectual property law and foster a culture of innovation.&lt;/p&gt;</t>
  </si>
  <si>
    <t>https://www.linkedin.com/in/raghavendrab/</t>
  </si>
  <si>
    <t>rb@innoips.com</t>
  </si>
  <si>
    <t>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Contracts &amp; Agreements || Intellectual Property Rights || IP Management || Legal and Compliance || Product Management Management</t>
  </si>
  <si>
    <t>Agriculture &amp; Food Processing || Agriculture &amp; Food Processing || Agriculture &amp; Food Processing || Automobiles &amp; Auto Components || Automobiles &amp; Auto Components || Automobiles &amp; Auto Components || Energy &amp; Renewable Resources || Energy &amp; Renewable Resources || Energy &amp; Renewable Resources || Fashion &amp; Beauty || Fashion &amp; Beauty || Fashion &amp; Beauty || Industrial Automation &amp; Manufacturing || Industrial Automation &amp; Manufacturing || Industrial Automation &amp; Manufacturing || Pharmaceuticals, Healthcare and Wellness || Pharmaceuticals, Healthcare and Wellness || Pharmaceuticals, Healthcare and Wellness || Professional &amp; Business Services || Professional &amp; Business Services || Professional &amp; Business Services || Retail &amp; e-Commerce || Retail &amp; e-Commerce || Retail &amp; e-Commerce || Textiles &amp; Apparel || Textiles &amp; Apparel || Textiles &amp; Apparel || Tourism &amp; Hospitality || Tourism &amp; Hospitality || Tourism &amp; Hospitality || Agriculture &amp; Food Processing || Agriculture &amp; Food Processing || Agriculture &amp; Food Processing || Automobiles &amp; Auto Components || Automobiles &amp; Auto Components || Automobiles &amp; Auto Components || Energy &amp; Renewable Resources || Energy &amp; Renewable Resources || Energy &amp; Renewable Resources || Fashion &amp; Beauty || Fashion &amp; Beauty || Fashion &amp; Beauty || Industrial Automation &amp; Manufacturing || Industrial Automation &amp; Manufacturing || Industrial Automation &amp; Manufacturing || Pharmaceuticals, Healthcare and Wellness || Pharmaceuticals, Healthcare and Wellness || Pharmaceuticals, Healthcare and Wellness || Professional &amp; Business Services || Professional &amp; Business Services || Professional &amp; Business Services || Retail &amp; e-Commerce || Retail &amp; e-Commerce || Retail &amp; e-Commerce || Textiles &amp; Apparel || Textiles &amp; Apparel || Textiles &amp; Apparel || Tourism &amp; Hospitality || Tourism &amp; Hospitality || Tourism &amp; Hospitality || Legal Services</t>
  </si>
  <si>
    <t>Rahul Gautam</t>
  </si>
  <si>
    <t>About
Rahul Gautam is an experienced industry automation and integration specialist with expertise in Industry 4.0 and Industry 5.0 technologies, test &amp; measurement automation, and cross-platform systems integration. He actively shares insights on how emerging industrial technologies are shaping smarter manufacturing and operational efficiency. Rahul is known for his ability to bridge technical strategy with practical deployment, helping organizations optimize automation and adoption of next-generation industrial solutions. 
Skillset
Industry 4.0 &amp; Industry 5.0 Strategy
Test &amp; Measurement Automation
Systems Integration &amp; Cross-Platform Solutions
Industrial Technology Enablement
Operational Optimization &amp; Process Improvement
Technical Communication &amp; Thought Leadership</t>
  </si>
  <si>
    <t>https://www.linkedin.com/in/rahulgtm</t>
  </si>
  <si>
    <t>rahul.gautam@exeliqsolutions.com</t>
  </si>
  <si>
    <t>Business Model Development || Market research || Tech Strategy &amp; Infrastructure || Business Model Development || Market research || Tech Strategy &amp; Infrastructure || Business Model Development || Market research || Tech Strategy &amp; Infrastructure || Business Model Development || Market research || Tech Strategy &amp; Infrastructure || Business Model Development || Market research || Tech Strategy &amp; Infrastructure || Business Model Development || Market research || Tech Strategy &amp; Infrastructure || Buisness Operations || IT Consulting</t>
  </si>
  <si>
    <t>Energy &amp; Renewable Resources || Energy &amp; Renewable Resources || Energy &amp; Renewable Resources || Industrial Automation &amp; Manufacturing || Industrial Automation &amp; Manufacturing || Industrial Automation &amp; Manufacturing || Professional &amp; Business Services || Professional &amp; Business Services || Professional &amp; Business Services || Energy &amp; Renewable Resources || Energy &amp; Renewable Resources || Energy &amp; Renewable Resources || Industrial Automation &amp; Manufacturing || Industrial Automation &amp; Manufacturing || Industrial Automation &amp; Manufacturing || Professional &amp; Business Services || Professional &amp; Business Services || Professional &amp; Business Services || Software &amp; IT Services</t>
  </si>
  <si>
    <t>Rahul Goyal</t>
  </si>
  <si>
    <t>About
Rahul Goyal is a digital entrepreneur with a builder’s mindset, focused on creating scalable, future-ready brands at the intersection of technology and business. He leads India operations at Wohnux, a Germany-backed smart home brand, delivering intelligent living solutions through automation, IoT systems, and custom software.
Through Sogrow, Rahul works on content creation, brand strategy, and software development, helping digital ventures grow with clarity and consistency. His approach blends long-term thinking with practical execution, integrating technologies such as IoT, AI, and ML to build strong systems and sustainable brands.
Skillset
Digital Entrepreneurship
Smart Home Automation &amp; IoT
Custom Software &amp; Application Development
Brand Strategy &amp; Content Creation
Business Analytics
Leadership, Communication &amp; Teamwork</t>
  </si>
  <si>
    <t>https://www.linkedin.com/in/goyal-rahul</t>
  </si>
  <si>
    <t>rahul@sogrow.in</t>
  </si>
  <si>
    <t>Branding || Customer Experience Optimization || Digital Marketing || E-commerce Management || Media and PR || Social Media Marketing || Software Development || Strategic Planning || Branding || Customer Experience Optimization || Digital Marketing || E-commerce Management || Media and PR || Social Media Marketing || Software Development || Strategic Planning || Branding || Customer Experience Optimization || Digital Marketing || E-commerce Management || Media and PR || Social Media Marketing || Software Development || Strategic Planning || Branding || Customer Experience Optimization || Digital Marketing || E-commerce Management || Media and PR || Social Media Marketing || Software Development || Strategic Planning || Branding || Customer Experience Optimization || Digital Marketing || E-commerce Management || Media and PR || Social Media Marketing || Software Development || Strategic Planning || Branding || Customer Experience Optimization || Digital Marketing || E-commerce Management || Media and PR || Social Media Marketing || Software Development || Strategic Planning || Marketing &amp; Branding || Digital Marketing</t>
  </si>
  <si>
    <t>AI, Big Data &amp; Analytics || AI, Big Data &amp; Analytics || AI, Big Data &amp; Analytics || AI, Big Data &amp; Analytics || AI, Big Data &amp; Analytics || AI, Big Data &amp; Analytics || AI, Big Data &amp; Analytics || AI, Big Data &amp; Analytics || Media, Arts &amp; Entertainment || Media, Arts &amp; Entertainment || Media, Arts &amp; Entertainment || Media, Arts &amp; Entertainment || Media, Arts &amp; Entertainment || Media, Arts &amp; Entertainment || Media, Arts &amp; Entertainment || Media, Arts &amp; Entertainment || Retail &amp; e-Commerce || Retail &amp; e-Commerce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Software &amp; IT Services</t>
  </si>
  <si>
    <t>Rahul Krishnan</t>
  </si>
  <si>
    <t>Ivory</t>
  </si>
  <si>
    <t>Summary:&lt;/strong&gt;&lt;/p&gt;&lt;p&gt;Rahul is a seasoned Product Management thinker and entrepreneur with over 13 years of experience in Product Management management, strategic road-mapping, and startup development. A 2x Founder, Rahul has successfully built and launched two SaaS Product Managements, demonstrating a strong capability for taking concepts from 0 to 1. He is currently engaged in early-stage startup ventures and has a keen interest in Consumer Tech and B2B Tech startups. Notably, he was part of Antler India Residency Cohort 1 in 2022.&lt;/p&gt;&lt;p&gt;&lt;br&gt;&lt;/p&gt;Core Expertise:&lt;/strong&gt;&lt;/p&gt;&lt;ul&gt;&lt;li&gt;&lt;strong&gt;Product Management Management and Strategic Planning: &lt;/strong&gt;Expertise in conceptualizing and executing Product Management roadmaps, with a strong focus on delivering user-centric solutions.&lt;/li&gt;&lt;li&gt;&lt;strong&gt;Entrepreneurship: &lt;/strong&gt;Experience in founding and scaling startups, with a particular focus on SaaS Product Managements and technology-driven businesses.&lt;/li&gt;&lt;li&gt;&lt;strong&gt;Consumer Tech and B2B Tech: &lt;/strong&gt;Specializes in both consumer technology solutions and B2B tech startups, offering deep insights into market dynamics and customer needs.&lt;/li&gt;&lt;/ul&gt;&lt;p&gt;&lt;br&gt;&lt;/p&gt;Problem-Solving Approach:&lt;/strong&gt;&lt;/p&gt;&lt;p&gt;Rahul approaches problem-solving with a Product Management-centric mindset, emphasizing user experience and market fit. He leverages data-driven decision-making and innovative thinking to identify and address pain points. His entrepreneurial background equips him with a unique perspective on resource management, prioritization, and agile methodologies, enabling him to navigate the complexities of startup environments effectively.&lt;/p&gt;&lt;p&gt;&lt;br&gt;&lt;/p&gt;Impactful Projects:&lt;/strong&gt;&lt;/p&gt;&lt;ul&gt;&lt;li&gt;&lt;strong&gt;Ivory: &lt;/strong&gt;As a co-Founder, Rahul is currently working on Ivory, a platform designed to detect and address cognitive decline through neuroscience-based assessments, games, and multi-modal interventions.&lt;/li&gt;&lt;li&gt;&lt;strong&gt;Infra.Market&lt;/strong&gt;: At Infra.Market, Rahul handled various charters across the company's Retail D2C vertical, including POS, Catalogue, Loyalty, and Influencer App. He led a team of Product Management managers and contributed to the company's rapid growth.&lt;/li&gt;&lt;li&gt;&lt;strong&gt;YAYSHOP:&lt;/strong&gt; Rahul previously built YAYSHOP, a multi-lingual conversational AI-based B2B SaaS platform that enabled MSMEs to engage in conversational commerce. The venture was successfully exited to Infra.Market, India's fastest-growing Construction Tech company.&lt;/li&gt;&lt;/ul&gt;&lt;p&gt;&lt;br&gt;&lt;/p&gt;﻿Consultation Style:&lt;/strong&gt;&lt;/p&gt;&lt;p&gt;Rahul adopts a collaborative and user-focused consultation style. He prioritizes understanding the unique needs and challenges of each client, providing tailored solutions that align with their strategic goals. His approach is characterized by open communication, iterative feedback, and a willingness to experiment and adapt. Rahul's experience as a Founder and Product Management leader allows him to offer practical insights and actionable advice, helping startups navigate the journey from concept to market success.&lt;/p&gt;</t>
  </si>
  <si>
    <t>https://www.linkedin.com/in/rahulkrishnan/</t>
  </si>
  <si>
    <t>rahul@liveivory.com</t>
  </si>
  <si>
    <t>Product Development || Tech Strategy &amp; Infrastructure || Product Development || Tech Strategy &amp; Infrastructure || Product Development || Tech Strategy &amp; Infrastructure || Product Development || Tech Strategy &amp; Infrastructure || Product Development || Tech Strategy &amp; Infrastructure || Product Development || Tech Strategy &amp; Infrastructure || Product Management || Business Model Development</t>
  </si>
  <si>
    <t>Pharmaceuticals, Healthcare and Wellness || Pharmaceuticals, Healthcare and Wellness || Retail &amp; e-Commerce || Retail &amp; e-Commerce || Technology &amp; Innovation || Technology &amp; Innovation || Pharmaceuticals, Healthcare and Wellness || Pharmaceuticals, Healthcare and Wellness || Retail &amp; e-Commerce || Retail &amp; e-Commerce || Technology &amp; Innovation || Technology &amp; Innovation || Software &amp; IT Services</t>
  </si>
  <si>
    <t>Rahul Lakhmani</t>
  </si>
  <si>
    <t>Founder and CEO</t>
  </si>
  <si>
    <t>Skiify</t>
  </si>
  <si>
    <t>Summary:&lt;/strong&gt;&lt;/p&gt;&lt;p&gt;Mr. Rahul Lakhmani, Founder and CEO of Skiify Solutions, is an IIT Bombay alumnus with a robust background in entrepreneurship, education, and public speaking. He established Skiify Solutions, offering diverse services including software development, data analytics, and consultancy. The company earned the ISLQ Gold Award by BID Convention Paris. Rahul's expertise extends to mentoring startups, conducting motivational talks, and guiding student innovators through AICTE and MoE. With over 300 seminars at prestigious institutions, he influences startup education and personal development. An international award-winning nature photographer, he advocates for philanthropy and education as a means of societal improvement.&lt;/p&gt;&lt;p&gt;&lt;br&gt;&lt;/p&gt;Key Areas of Expertise:&lt;/strong&gt;&lt;/p&gt;&lt;ul&gt;&lt;li&gt;&lt;strong&gt;Entrepreneurship &amp;amp; Startups&lt;/strong&gt;: Founder of Skiify Solutions, expertise in growing startups.&lt;/li&gt;&lt;li&gt;&lt;strong&gt;Education &amp;amp; Training&lt;/strong&gt;: Conducted numerous workshops and seminars, active mentor at AICTE.&lt;/li&gt;&lt;li&gt;&lt;strong&gt;Software Development &amp;amp; Data Analytics&lt;/strong&gt;: Provides services through Skiify Solutions.&lt;/li&gt;&lt;li&gt;&lt;strong&gt;Public Speaking&lt;/strong&gt;: Delivered over 300 talks at leading institutions.&lt;/li&gt;&lt;li&gt;&lt;strong&gt;Motivational Counseling&lt;/strong&gt;: Guides various professionals and students through one-on-one sessions.&lt;/li&gt;&lt;/ul&gt;&lt;p&gt;&lt;br&gt;&lt;/p&gt;Strategic Contributions:&lt;/strong&gt;&lt;/p&gt;&lt;ul&gt;&lt;li&gt;&lt;strong&gt;Skiify Solutions&lt;/strong&gt;: Developed into a self-funded startup, winning the ISLQ Gold Award and recognized as a “Leading Innovative Pioneer.”&lt;/li&gt;&lt;li&gt;&lt;strong&gt;Mentorship&lt;/strong&gt;: Involved with AICTE and MoE to mentor student innovators and entrepreneurs.&lt;/li&gt;&lt;li&gt;&lt;strong&gt;Public Speaking&lt;/strong&gt;: Contributed to over 300 seminars and guest lectures across top institutions.&lt;/li&gt;&lt;/ul&gt;&lt;p&gt;&lt;br&gt;&lt;/p&gt;Mentorship Philosophy:&lt;/strong&gt;&lt;/p&gt;&lt;p&gt;Mr. Rahul emphasizes the importance of education and personal development. He believes in using motivational talks and one-on-one counseling to inspire and guide individuals from diverse backgrounds. His approach integrates real-world experiences with a focus on innovation and emotional well-being.&lt;/p&gt;&lt;p&gt;&lt;br&gt;&lt;/p&gt;Success Stories:&lt;/strong&gt;&lt;/p&gt;&lt;ul&gt;&lt;li&gt;&lt;strong&gt;Skiify Solutions&lt;/strong&gt;: Awarded ISLQ Gold by BID Convention Paris.&lt;/li&gt;&lt;li&gt;&lt;strong&gt;Public Speaking&lt;/strong&gt;: Recognized for delivering impactful talks and seminars at prestigious institutes.&lt;/li&gt;&lt;li&gt;&lt;strong&gt;Mentorship&lt;/strong&gt;: Contributed significantly as a startup mentor with AICTE and MoE.&lt;/li&gt;&lt;li&gt;&lt;strong&gt;Photography&lt;/strong&gt;: International award winner in nature and wildlife photography.&lt;/li&gt;&lt;/ul&gt;</t>
  </si>
  <si>
    <t>https://www.linkedin.com/in/rahullakhmani/</t>
  </si>
  <si>
    <t>rahullakhmani1@gmail.com</t>
  </si>
  <si>
    <t>Business Model Development || Data Analytics || Exit Strategy Planning || Growth Strategy Formulation || Public speaking || Strategic Planning || Tech Strategy &amp; Infrastructure || Training &amp; Development || Business Model Development || Data Analytics || Exit Strategy Planning || Growth Strategy Formulation || Public speaking || Strategic Planning || Tech Strategy &amp; Infrastructure || Training &amp; Development || Business Model Development || Entrepreneurship Coaching</t>
  </si>
  <si>
    <t>Education &amp; Training || Education &amp; Training || Education &amp; Training || Education &amp; Training || Education &amp; Training || Education &amp; Training || Education &amp; Training || Education &amp; Training || Technology &amp; Innovation || Technology &amp; Innovation || Technology &amp; Innovation || Technology &amp; Innovation || Technology &amp; Innovation || Technology &amp; Innovation || Technology &amp; Innovation || Technology &amp; Innovation || Education &amp; Training</t>
  </si>
  <si>
    <t>Dr. Prashant Pawar</t>
  </si>
  <si>
    <t>Kan Biosys Pvt. Ltd.</t>
  </si>
  <si>
    <t>Summary: &lt;/strong&gt;Dr. Prashant brings over 16 years of diverse experience spanning Agri-Business, Human Resources, Training, Extension, Digital Marketing, and Strategy. Currently serving as the AVP at Kan Biosys, he is deeply passionate about enhancing Human Resources practices and leveraging Digital Marketing strategies for organizational growth.&lt;/p&gt;&lt;p&gt;&lt;br&gt;&lt;/p&gt;Core Expertise:&lt;/strong&gt; Agri-Business Human Resources Management Training and Extension Services Digital Marketing Strategic Planning&lt;/p&gt;&lt;p&gt;&lt;br&gt;&lt;/p&gt;Problem-Solving Approach:&lt;/strong&gt; Dr. Prashant employs a holistic approach to address challenges in Agri-Business and Human Resources, integrating strategic insights with practical solutions. He emphasizes leveraging digital platforms to optimize marketing efforts and enhance organizational effectiveness.&lt;/p&gt;&lt;p&gt;&lt;br&gt;&lt;/p&gt;Impactful Projects:&lt;/strong&gt; Implemented innovative HR strategies to improve employee engagement and retention in Agri-Business sectors. Led successful digital marketing campaigns, resulting in enhanced brand visibility and customer engagement for Kan Biosys. Developed comprehensive training and extension programs, facilitating knowledge transfer and skill development among stakeholders.&lt;/p&gt;&lt;p&gt;&lt;br&gt;&lt;/p&gt;Consultation Style:&lt;/strong&gt; Dr. Prashant adopts a collaborative and results-oriented consultation style, working closely with cross-functional teams to achieve business objectives. He combines analytical rigor with a deep understanding of industry dynamics to drive sustainable growth and operational excellence.&lt;/p&gt;</t>
  </si>
  <si>
    <t>http://www.linkedin.com/in/drprashantpawar</t>
  </si>
  <si>
    <t>prashant.pawar01@gmail.com</t>
  </si>
  <si>
    <t>Digital Marketing || Organizational Development || Team building || Training &amp; Development || Digital Marketing || Organizational Development || Team building || Training &amp; Development || Digital Marketing || Organizational Development || Team building || Training &amp; Development || Digital Marketing || Organizational Development || Team building || Training &amp; Development || Training &amp; Development || Digital Marketing</t>
  </si>
  <si>
    <t>Agriculture &amp; Food Processing || Agriculture &amp; Food Processing || Agriculture &amp; Food Processing || Agriculture &amp; Food Processing || Pharmaceuticals, Healthcare and Wellness || Pharmaceuticals, Healthcare and Wellness || Pharmaceuticals, Healthcare and Wellness || Pharmaceuticals, Healthcare and Wellness || Agriculture &amp; Food Processing || Agriculture &amp; Food Processing || Agriculture &amp; Food Processing || Agriculture &amp; Food Processing || Pharmaceuticals, Healthcare and Wellness || Pharmaceuticals, Healthcare and Wellness || Pharmaceuticals, Healthcare and Wellness || Pharmaceuticals, Healthcare and Wellness || Agritech &amp; Food Processing || HR Services</t>
  </si>
  <si>
    <t>Krishna Sai Inkoolu</t>
  </si>
  <si>
    <t>Founding Director of Dentobot | Director at INDQ</t>
  </si>
  <si>
    <t>Dentobot | Director at INDQ</t>
  </si>
  <si>
    <t>Summary: &lt;/strong&gt;&lt;/p&gt;&lt;p&gt;Krishna is the Founder and CEO of INDQ Product Management Design Studio, specializing in MedTech innovations. With over a decade of leadership in the field, he holds numerous patents for advanced technologies, including the Multiplexed Nano-plasmonic Biosensor and various diagnostic and MedTech equipment. His background as an Industrial Designer, combined with his role as a Visiting Faculty and juror at renowned institutions such as NTNU and NID, underscores his influence in the industry.&lt;/p&gt;&lt;p&gt;&lt;br&gt;&lt;/p&gt;Core Expertise:&lt;/strong&gt;&lt;/p&gt;&lt;ul&gt;&lt;li&gt;&lt;strong&gt;MedTech Innovations:&lt;/strong&gt; Expertise in developing cutting-edge medical technologies and sustainable healthcare solutions.&lt;/li&gt;&lt;li&gt;&lt;strong&gt;Industrial Design:&lt;/strong&gt; Skilled in creating inclusive and affordable tools to enhance the independence of disabled individuals.&lt;/li&gt;&lt;li&gt;&lt;strong&gt;Academic Contributions:&lt;/strong&gt; Involvement in design education as a faculty member and juror at prestigious design schools.&lt;/li&gt;&lt;li&gt;&lt;strong&gt;Sustainability:&lt;/strong&gt; Focus on energy sustainability and the development of environmentally friendly technologies.&lt;/li&gt;&lt;/ul&gt;&lt;p&gt;&lt;br&gt;&lt;/p&gt;Problem-Solving Approach:&lt;/strong&gt;&lt;/p&gt;&lt;p&gt;Krishna employs a design-centric approach to address complex challenges in the MedTech field. His focus is on creating accessible and sustainable solutions through innovative Product Management design. He combines his engineering background with a commitment to inclusivity and environmental sustainability.&lt;/p&gt;&lt;p&gt;&lt;br&gt;&lt;/p&gt;Impactful Projects:&lt;/strong&gt;&lt;/p&gt;&lt;ul&gt;&lt;li&gt;&lt;strong&gt;INDQ Product Management Design Studio:&lt;/strong&gt; Led the development of advanced MedTech Product Managements and solutions, contributing to significant advancements in healthcare technology.&lt;/li&gt;&lt;li&gt;&lt;strong&gt;Patented Technologies:&lt;/strong&gt; Inventor of the Multiplexed Nano-plasmonic Biosensor and other diagnostic tools, enhancing medical diagnostics and accessibility.&lt;/li&gt;&lt;li&gt;&lt;strong&gt;Educational Impact:&lt;/strong&gt; Contributed to design education and mentorship at top institutions, influencing the next generation of designers and innovators.&lt;/li&gt;&lt;/ul&gt;&lt;p&gt;&lt;br&gt;&lt;/p&gt;Consultation Style:&lt;/strong&gt; Krishna's consultation style is hands-on and collaborative, focusing on integrating design thinking with practical solutions. He emphasizes the importance of sustainability and inclusivity in technology development and provides mentorship to foster innovation and growth in the design community.&lt;/p&gt;</t>
  </si>
  <si>
    <t>https://www.linkedin.com/in/inkoolu/</t>
  </si>
  <si>
    <t>krishna@indq.in</t>
  </si>
  <si>
    <t>Product Development || Product Development || Product Development || Product Development || Product Development || Product Development || Product Design || Product Management</t>
  </si>
  <si>
    <t>Consumer Products || Pharmaceuticals, Healthcare and Wellness || Technology &amp; Innovation || Consumer Products || Pharmaceuticals, Healthcare and Wellness || Technology &amp; Innovation || Pharmaceuticals, Healthcare and Wellness</t>
  </si>
  <si>
    <t>Raj Gulia</t>
  </si>
  <si>
    <t>Smallhelpme.com</t>
  </si>
  <si>
    <t>Summary:&lt;/strong&gt; Raj is a seasoned expert in Sales and Marketing with 19 years of comprehensive experience in the FMCG industry across Pan India. Known for his expertise in brand launches, Raj has played a crucial role in starting operations from scratch for notable companies such as Kraft Foods, Danone Foods &amp;amp; Beverages, Nutrimoo, and Artiste. His significant contributions as a core member of the Creambell team and his success in launching 12 brands underscore his proficiency in this field.&lt;/p&gt;&lt;p&gt;&lt;br&gt;&lt;/p&gt;Core Expertise:&lt;/strong&gt;&lt;/p&gt;&lt;ul&gt;&lt;li&gt;&lt;strong&gt;Brand Launches:&lt;/strong&gt; Extensive experience in initiating and successfully launching new brands in the FMCG sector.&lt;/li&gt;&lt;li&gt;&lt;strong&gt;Sales and Marketing:&lt;/strong&gt; Proficient in developing and executing strategies for modern trade, institutional sales, channel sales management, and business development.&lt;/li&gt;&lt;li&gt;&lt;strong&gt;Startup Operations:&lt;/strong&gt; Skilled in setting up and managing sales and marketing operations from the ground up.&lt;/li&gt;&lt;li&gt;&lt;strong&gt;Supply Chain Management:&lt;/strong&gt; Expertise in establishing efficient supply chain management systems within FMCG companies.&lt;/li&gt;&lt;li&gt;&lt;strong&gt;Channel Management:&lt;/strong&gt; Adept at handling various sales channels, including carts vending, general trade, modern trade, H2H, and Horeca.&lt;/li&gt;&lt;/ul&gt;&lt;p&gt;&lt;br&gt;&lt;/p&gt;Problem-Solving Approach:&lt;/strong&gt; Raj employs a strategic and hands-on approach to problem-solving, focusing on understanding market dynamics and client needs. His methodology includes setting up robust operations, developing effective sales strategies, and optimizing supply chain processes to ensure successful brand launches and sustainable growth.&lt;/p&gt;&lt;p&gt;&lt;br&gt;&lt;/p&gt;Impactful Projects:&lt;/strong&gt;&lt;/p&gt;&lt;ul&gt;&lt;li&gt;&lt;strong&gt;Kraft Foods &amp;amp; Danone Foods &amp;amp; Beverages:&lt;/strong&gt; Initiated operations and launched Product Managements successfully.&lt;/li&gt;&lt;li&gt;&lt;strong&gt;Nutrimoo &amp;amp; Artiste:&lt;/strong&gt; Played a key role in market entry and brand establishment.&lt;/li&gt;&lt;li&gt;&lt;strong&gt;Creambell:&lt;/strong&gt; Contributed significantly to brand promotion and growth.&lt;/li&gt;&lt;li&gt;&lt;strong&gt;12 Brand Launches:&lt;/strong&gt; Successfully managed the introduction and market penetration of multiple brands.&lt;/li&gt;&lt;/ul&gt;&lt;p&gt;&lt;br&gt;&lt;/p&gt;Consultation Style:&lt;/strong&gt; Raj’s consultation style is collaborative and results-oriented. He works closely with clients to understand their specific needs and provides tailored solutions that drive brand success. His focus on practical implementation and strategic execution ensures that each project meets its objectives effectively.&lt;/p&gt;</t>
  </si>
  <si>
    <t>https://www.linkedin.com/in/raj-gulia-6458b850</t>
  </si>
  <si>
    <t>yashrajventure@gmail.com</t>
  </si>
  <si>
    <t>Go to Market Strategy || Go to Market Strategy || Marketing &amp; Branding</t>
  </si>
  <si>
    <t>Retail &amp; e-Commerce || Retail &amp; e-Commerce || Consumer Products​</t>
  </si>
  <si>
    <t>Rajan Patel</t>
  </si>
  <si>
    <t>Founder of Greenobazaar/Greenobar</t>
  </si>
  <si>
    <t>Summary&lt;/strong&gt;:&lt;/p&gt;&lt;p&gt;Rajan is an accomplished angel investor, entrepreneur, and mentor with over 17 years of experience in marketing, business management, and strategy. He is a partner at IA and previously founded Greenobazaar/Greenobar, an eco-friendly business known for its organic Product Managements and zero-waste juice bar. Mr. Rajan has contributed significantly to startup ecosystems and has been featured on Leaders of Tomorrow ETNow and Times Now. His expertise includes startup mentoring, equity investment, and business growth strategy. He is passionate about helping businesses strategize and expand through insightful investments and mentorship.&lt;/p&gt;&lt;p&gt;&lt;br&gt;&lt;/p&gt;Key Areas of Expertise:&lt;/strong&gt;&lt;/p&gt;&lt;ul&gt;&lt;li&gt;&lt;strong&gt;Angel Investing&lt;/strong&gt;: Provides equity investment and strategic guidance to startups.&lt;/li&gt;&lt;li&gt;&lt;strong&gt;Entrepreneurship&lt;/strong&gt;: Founder of Greenobazaar/Greenobar, an eco-friendly business with multiple stores.&lt;/li&gt;&lt;li&gt;&lt;strong&gt;Marketing &amp;amp; Business Strategy&lt;/strong&gt;: Extensive experience in marketing strategy, brand consulting, and business management.&lt;/li&gt;&lt;li&gt;&lt;strong&gt;Startup Ecosystem&lt;/strong&gt;: Involved in mentoring and growing startup ventures.&lt;/li&gt;&lt;/ul&gt;&lt;p&gt;&lt;br&gt;&lt;/p&gt;Strategic Contributions:&lt;/strong&gt;&lt;/p&gt;&lt;ul&gt;&lt;li&gt;&lt;strong&gt;Greenobazaar/Greenobar&lt;/strong&gt;: Established a successful organic, eco-friendly business with multiple retail and e-commerce platforms.&lt;/li&gt;&lt;li&gt;&lt;strong&gt;Startup Mentoring&lt;/strong&gt;: Actively supports and mentors startups to enhance their business strategies and growth.&lt;/li&gt;&lt;li&gt;&lt;strong&gt;Media Presence&lt;/strong&gt;: Pitched on Leaders of Tomorrow ETNow and Times Now, recognized among top 20 startups in the western zone.&lt;/li&gt;&lt;/ul&gt;&lt;p&gt;&lt;br&gt;&lt;/p&gt;Mentorship Philosophy:&lt;/strong&gt;&lt;/p&gt;&lt;p&gt;Mr. Rajan focuses on strategic mentorship for startups, emphasizing practical business growth strategies, effective marketing, and sustainable practices. He believes in fostering innovation and providing actionable insights to help businesses thrive in competitive markets.&lt;/p&gt;&lt;p&gt;&lt;br&gt;&lt;/p&gt;Success Stories:&lt;/strong&gt;&lt;/p&gt;&lt;ul&gt;&lt;li&gt;&lt;strong&gt;Greenobazaar/Greenobar&lt;/strong&gt;: Grown into a notable eco-friendly brand with a significant presence in Ahmedabad.&lt;/li&gt;&lt;li&gt;&lt;strong&gt;Recognition&lt;/strong&gt;: Selected as one of the top 20 startups in the western zone by Times Now Leaders of Tomorrow.&lt;/li&gt;&lt;li&gt;&lt;strong&gt;Media Exposure&lt;/strong&gt;: Featured on ETNow and Times Now for entrepreneurial achievements and pitching.&lt;/li&gt;&lt;/ul&gt;</t>
  </si>
  <si>
    <t>https://www.linkedin.com/in/rajan-patel-373b4524/</t>
  </si>
  <si>
    <t>rajanp191@gmail.com</t>
  </si>
  <si>
    <t>Angel Investing || Business Model Development || Fundraising || Growth Strategy Formulation || Marketing || Sales Strategy || Angel Investing || Business Model Development || Fundraising || Growth Strategy Formulation || Marketing || Sales Strategy || Angel Investing || Business Model Development || Fundraising || Growth Strategy Formulation || Marketing || Sales Strategy || Entrepreneurship Coaching || Investing</t>
  </si>
  <si>
    <t>Rajat Shrivastava</t>
  </si>
  <si>
    <t>Human Resources Business Partner</t>
  </si>
  <si>
    <t>Rockwell Automation</t>
  </si>
  <si>
    <t>Summary&lt;/strong&gt;&lt;/p&gt;&lt;p&gt;Mr. Rajat is a dedicated professional with over 10 years of experience integrating technology and human resources. His passion lies in solving HR-related business problems through automation and data-driven insights. With expertise in HR Analytics, Digital Transformation, HR Business Partner roles, and Diversity &amp;amp; Inclusion, Mr. Rajat focuses on leveraging technology and data to enhance business outcomes and drive meaningful improvements in human resources.&lt;/p&gt;&lt;p&gt;&lt;br&gt;&lt;/p&gt;Core Expertise&lt;/strong&gt;&lt;/p&gt;&lt;ul&gt;&lt;li&gt;HR Analytics&lt;/li&gt;&lt;li&gt;Digital Transformation&lt;/li&gt;&lt;li&gt;HR Business Partner&lt;/li&gt;&lt;li&gt;Diversity &amp;amp; Inclusion&lt;/li&gt;&lt;li&gt;Data-Driven Decision Making&lt;/li&gt;&lt;/ul&gt;&lt;p&gt;&lt;br&gt;&lt;/p&gt;Problem Solving Approach&lt;/strong&gt;&lt;/p&gt;&lt;ul&gt;&lt;li&gt;Utilizes automation and data to address HR-related challenges and improve business outcomes.&lt;/li&gt;&lt;li&gt;Focuses on creating meaningful insights from data to solve problems and drive effective HR solutions.&lt;/li&gt;&lt;/ul&gt;&lt;p&gt;&lt;br&gt;&lt;/p&gt;Consulting Style&lt;/strong&gt;&lt;/p&gt;&lt;ul&gt;&lt;li&gt;Combines expertise in HR and technology to deliver solutions that enhance human resources and business performance.&lt;/li&gt;&lt;li&gt;Emphasizes data-driven approaches and automation to address complex HR challenges and optimize processes.&lt;/li&gt;&lt;/ul&gt;</t>
  </si>
  <si>
    <t>https://www.linkedin.com/in/rajat-shrivastava-a34b5023/</t>
  </si>
  <si>
    <t>rajatshriv02@gmail.com</t>
  </si>
  <si>
    <t>Organizational Development || Performance Management || Team building || Organizational Development || Performance Management || Team building || Organizational Development || Performance Management || Team building || Organizational Development || Performance Management || Team building || Organizational Development || Performance Management || Team building || Organizational Development || Performance Management || Team building || HR Consulting</t>
  </si>
  <si>
    <t>Others || Others || Others || Services || Services || Services || Others || Others || Others || Services || Services || Services || Others || Others || Others || Services || Services || Services || HR Services</t>
  </si>
  <si>
    <t>Rajat Singhania</t>
  </si>
  <si>
    <t xml:space="preserve"> Founder and CVO</t>
  </si>
  <si>
    <t>HyLyt</t>
  </si>
  <si>
    <t>&lt;h4&gt;&lt;strong&gt;Summary:&lt;/strong&gt;&lt;/h4&gt;&lt;p&gt;Rajat is a seasoned Chief Executive Officer with over 30 years of experience across the information technology and services industry. His career is marked by significant achievements in operations management, strategic planning, and business development. He has managed extensive dealer networks in the construction industry and led teams of technology professionals in delivering critical services across global markets. His latest venture, “HyLyt,” is a testament to his innovative approach, offering a seamless solution for information management on electronic devices. Rajat’s diverse background and strategic mindset have made him a recognized figure in both business and technology sectors.&lt;/p&gt;&lt;h4&gt;&lt;br&gt;&lt;/h4&gt;&lt;h4&gt;&lt;strong&gt;Key Areas of Expertise:&lt;/strong&gt;&lt;/h4&gt;&lt;ul&gt;&lt;li&gt;Leadership and Team Management&lt;/li&gt;&lt;li&gt;Strategic Planning and Business Development&lt;/li&gt;&lt;li&gt;Retail Network Management&lt;/li&gt;&lt;li&gt;Business Process Improvement&lt;/li&gt;&lt;li&gt;Technology Innovation and Software Development&lt;/li&gt;&lt;li&gt;Global Market Penetration&lt;/li&gt;&lt;li&gt;Information Management Solutions&lt;/li&gt;&lt;/ul&gt;&lt;h4&gt;&lt;br&gt;&lt;/h4&gt;&lt;h4&gt;&lt;strong&gt;Strategic Contributions:&lt;/strong&gt;&lt;/h4&gt;&lt;ul&gt;&lt;li&gt;&lt;strong&gt;Retail Network Management:&lt;/strong&gt; Successfully managed a network of over 300 dealers in Gujarat’s cement industry, driving significant sales growth and market penetration.&lt;/li&gt;&lt;li&gt;&lt;strong&gt;Technology Leadership:&lt;/strong&gt; Directed a team of 55+ professionals in delivering medical/legal transcription services across the U.S., Canada, and Australia, enhancing service quality and client satisfaction.&lt;/li&gt;&lt;li&gt;&lt;strong&gt;Innovation in Information Management:&lt;/strong&gt; Launched “HyLyt,” a revolutionary app designed to disrupt traditional information management practices, setting new standards for how data is saved, managed, and shared on electronic platforms.&lt;/li&gt;&lt;/ul&gt;&lt;h4&gt;&lt;br&gt;&lt;/h4&gt;&lt;h4&gt;&lt;strong&gt;Mentorship Philosophy:&lt;/strong&gt;&lt;/h4&gt;&lt;p&gt;"My approach to mentoring is rooted in real-world experience and a passion for innovation. I believe in empowering startups with the strategic insights and practical tools they need to scale and thrive in competitive markets. By leveraging technology and out-of-the-box thinking, I help businesses not just solve problems but anticipate and prevent them. Mentorship is about guiding entrepreneurs to realize their full potential and navigate the challenges of growth with confidence."&lt;/p&gt;&lt;h4&gt;&lt;br&gt;&lt;/h4&gt;</t>
  </si>
  <si>
    <t>https://www.linkedin.com/in/rajatsinghania/</t>
  </si>
  <si>
    <t>rajat@sociorac.com</t>
  </si>
  <si>
    <t>Business Model Development || Go to Market Strategy || Growth Strategy Formulation || Business Model Development || Go to Market Strategy || Growth Strategy Formulation || Product Management || IT Consulting</t>
  </si>
  <si>
    <t>Services || Services || Services || Services || Services || Services || Software &amp; IT Services</t>
  </si>
  <si>
    <t>Rajeev Pradhan</t>
  </si>
  <si>
    <t>eminentcorp</t>
  </si>
  <si>
    <t>Summary:&lt;/strong&gt;&lt;/p&gt;&lt;p&gt;Mr. Rajeev is an accomplished digital technology leader with extensive experience in digital and web technologies, currently serving as SBU Head, Software at Tech Vertical. With a strong background in managing large portfolio delivery and P&amp;amp;L, he has successfully led business units and delivered large programs. His expertise includes cloud-native technologies, service-based architecture, design thinking, user experience, and agile development. He has been with Cognizant since August 2006.&lt;/p&gt;&lt;p&gt;&lt;br&gt;&lt;/p&gt;Key Areas of Expertise:&lt;/strong&gt;&lt;/p&gt;&lt;ul&gt;&lt;li&gt;Digital and Web Technologies&lt;/li&gt;&lt;li&gt;Cloud-Native (Azure and AWS)&lt;/li&gt;&lt;li&gt;Service-Based Architecture&lt;/li&gt;&lt;li&gt;Agile Development&lt;/li&gt;&lt;/ul&gt;&lt;p&gt;&lt;br&gt;&lt;/p&gt;Strategic Contributions:&lt;/strong&gt;&lt;/p&gt;&lt;ul&gt;&lt;li&gt;Managed a large software SBU with marquee valley customers.&lt;/li&gt;&lt;li&gt;Delivered large programs successfully and led business units.&lt;/li&gt;&lt;li&gt;Extensive experience in digital native and SaaS platforms.&lt;/li&gt;&lt;/ul&gt;&lt;p&gt;&lt;br&gt;&lt;/p&gt;Mentorship Philosophy:&lt;/strong&gt;&lt;/p&gt;&lt;p&gt;Leverage expertise in digital and web technologies to guide and mentor teams, fostering innovation and efficiency through agile practices and design thinking.&lt;/p&gt;&lt;p&gt;&lt;br&gt;&lt;/p&gt;Success Stories:&lt;/strong&gt;&lt;/p&gt;&lt;p&gt;Led successful large-scale programs in digital technology.&lt;/p&gt;&lt;p&gt;Managed a significant portfolio and P&amp;amp;L responsibilities.&lt;/p&gt;</t>
  </si>
  <si>
    <t>https://www.linkedin.com/in/rajeev-pradhan-b49bb211/</t>
  </si>
  <si>
    <t>rajeevpradhans@outlook.com</t>
  </si>
  <si>
    <t>Business Model Development || Contracts &amp; Agreements || Customer Experience Optimization || Data Analytics || E-commerce Management || Organizational Development || Pricing Strategy || Product Development || Prototyping &amp; Testing || Software Development || Strategic Planning || Tech Strategy &amp; Infrastructure || UI/UX Design || Business Model Development || Contracts &amp; Agreements || Customer Experience Optimization || Data Analytics || E-commerce Management || Organizational Development || Pricing Strategy || Product Development || Prototyping &amp; Testing || Software Development || Strategic Planning || Tech Strategy &amp; Infrastructure || UI/UX Design || Business Model Development || Contracts &amp; Agreements || Customer Experience Optimization || Data Analytics || E-commerce Management || Organizational Development || Pricing Strategy || Product Development || Prototyping &amp; Testing || Software Development || Strategic Planning || Tech Strategy &amp; Infrastructure || UI/UX Design || IT Consulting</t>
  </si>
  <si>
    <t>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Services || Services || Services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Software &amp; IT Services</t>
  </si>
  <si>
    <t>Pragnendra Rahevar</t>
  </si>
  <si>
    <t>Chief Growth Officer</t>
  </si>
  <si>
    <t>The Secretariat</t>
  </si>
  <si>
    <t>Summary&lt;/strong&gt;&lt;/p&gt;&lt;p&gt;Mr. Pragnendra is a seasoned digital leader with over 16 years of experience, specializing in digital transformation, marketing, and strategy execution across various industries, including media, e-commerce, and government sectors. He has successfully established and scaled digital marketing verticals for multiple organizations, driving them to profitability. As the Chief Digital Officer at The Secretariat and VTV Gujarati, he has led digital transformation initiatives, significantly increasing traffic and revenue through innovative marketing and monetization strategies. His expertise spans strategy, digital marketing, Product Management management, and customer experience, with a proven track record in both corporate and government sectors.&lt;/p&gt;&lt;p&gt;&lt;br&gt;&lt;/p&gt;Core Expertise&lt;/strong&gt;&lt;/p&gt;&lt;ul&gt;&lt;li&gt;Digital Strategy&lt;/li&gt;&lt;li&gt;Business Strategy&lt;/li&gt;&lt;li&gt;Customer Experience Management&lt;/li&gt;&lt;li&gt;Growth Strategies&lt;/li&gt;&lt;li&gt;Product Management Management&lt;/li&gt;&lt;/ul&gt;&lt;p&gt;&lt;br&gt;&lt;/p&gt;Problem Solving Approach&lt;/strong&gt;&lt;/p&gt;&lt;ul&gt;&lt;li&gt;Implements marketing and monetization innovations to drive business turnaround, resulting in significant increases in traffic and revenue.&lt;/li&gt;&lt;li&gt;Focuses on end-to-end digital marketing project management to achieve profitability and growth.&lt;/li&gt;&lt;/ul&gt;&lt;p&gt;&lt;br&gt;&lt;/p&gt;Impactful Projects&lt;/strong&gt;&lt;/p&gt;&lt;ul&gt;&lt;li&gt;Successfully led the digital transformation of The Secretariat and VTV Gujarati, resulting in a 100% increase in traffic and revenue.&lt;/li&gt;&lt;li&gt;Managed digital marketing projects for high-profile clients, including Sambhaav Media, Adani Group, Zydus Pharma, and Gujarat Government.&lt;/li&gt;&lt;li&gt;Developed and launched three digital news startups from idea to go-to-market (GTM).&lt;/li&gt;&lt;/ul&gt;&lt;p&gt;&lt;br&gt;&lt;/p&gt;Consulting Style&lt;/strong&gt;&lt;/p&gt;&lt;ul&gt;&lt;li&gt;Pragnendra excels in strategy direction and execution, with a focus on scaling digital marketing initiatives to profitability.&lt;/li&gt;&lt;li&gt;He leads digital transformations by leveraging cross-functional expertise in digital marketing, creative communication, and project management.&lt;/li&gt;&lt;/ul&gt;</t>
  </si>
  <si>
    <t>https://www.linkedin.com/in/pragnendra/</t>
  </si>
  <si>
    <t>pragnendra@gmail.com</t>
  </si>
  <si>
    <t>Digital Marketing || Growth Strategy Formulation || Team building || Digital Marketing || Growth Strategy Formulation || Team building || Digital Marketing || Growth Strategy Formulation || Team building || Digital Marketing || Growth Strategy Formulation || Team building || Digital Marketing || Marketing &amp; Branding</t>
  </si>
  <si>
    <t>Media, Arts &amp; Entertainment || Media, Arts &amp; Entertainment || Media, Arts &amp; Entertainment || Retail &amp; e-Commerce || Retail &amp; e-Commerce || Retail &amp; e-Commerce || Media, Arts &amp; Entertainment || Media, Arts &amp; Entertainment || Media, Arts &amp; Entertainment || Retail &amp; e-Commerce || Retail &amp; e-Commerce || Retail &amp; e-Commerce || Media, Arts &amp; Entertainment</t>
  </si>
  <si>
    <t>Rajkumar Choulapalli</t>
  </si>
  <si>
    <t>TEKNOV8R Startup Solutions (OPC) Private Limited</t>
  </si>
  <si>
    <t>Summary&lt;/strong&gt;&lt;/p&gt;&lt;p&gt;Mr. Rajkumar is a social entrepreneur and educator/mentor with a passion for guiding engineering students to address social challenges through technology innovations. His 24 years of experience are divided into two distinct phases: 12 years with multinational corporations (MNCs) in a global setup, followed by 12 years dedicated to understanding and addressing social challenges. Mr. Rajkumar has made significant contributions in the areas of sustainability, public policy research, advocacy, disability, and education. He is deeply committed to igniting social innovation, social entrepreneurship, and social responsibility among engineering college students. Additionally, he mentors students from semi-urban and rural backgrounds in career development and placements.&lt;/p&gt;&lt;p&gt;&lt;br&gt;&lt;/p&gt;Key Areas of Expertise&lt;/strong&gt;&lt;/p&gt;&lt;ul&gt;&lt;li&gt;Social Entrepreneurship&lt;/li&gt;&lt;li&gt;Education and Mentoring&lt;/li&gt;&lt;li&gt;Technology Innovations&lt;/li&gt;&lt;li&gt;Sustainability&lt;/li&gt;&lt;li&gt;Public Policy Research and Advocacy&lt;/li&gt;&lt;li&gt;Disability and Education Domains&lt;/li&gt;&lt;/ul&gt;&lt;p&gt;&lt;br&gt;&lt;/p&gt;Strategic Contributions&lt;/strong&gt;&lt;/p&gt;&lt;ul&gt;&lt;li&gt;Igniting the spark of social innovation and entrepreneurship among engineering students&lt;/li&gt;&lt;li&gt;Fostering social responsibility&lt;/li&gt;&lt;li&gt;Contributing to sustainability and public policy&lt;/li&gt;&lt;/ul&gt;</t>
  </si>
  <si>
    <t>https://www.linkedin.com/in/rajkumarchoulapalli/</t>
  </si>
  <si>
    <t>rajkumarchoulapalli@gmail.com</t>
  </si>
  <si>
    <t>Business Model Development || Customer Service &amp; Retention || Data Analytics || Data Reporting || Go to Market Strategy || Market research || Marketing || Media and PR || Organizational Development || Product Development || Prototyping &amp; Testing || Public speaking || Research Partnerships || Software Development || Strategic Planning || Tech Strategy &amp; Infrastructure || UI/UX Design || Business Model Development || Customer Service &amp; Retention || Data Analytics || Data Reporting || Go to Market Strategy || Market research || Marketing || Media and PR || Organizational Development || Product Development || Prototyping &amp; Testing || Public speaking || Research Partnerships || Software Development || Strategic Planning || Tech Strategy &amp; Infrastructure || UI/UX Design || Business Model Development || Customer Service &amp; Retention || Data Analytics || Data Reporting || Go to Market Strategy || Market research || Marketing || Media and PR || Organizational Development || Product Development || Prototyping &amp; Testing || Public speaking || Research Partnerships || Software Development || Strategic Planning || Tech Strategy &amp; Infrastructure || UI/UX Design || Business Model Development || Customer Service &amp; Retention || Data Analytics || Data Reporting || Go to Market Strategy || Market research || Marketing || Media and PR || Organizational Development || Product Development || Prototyping &amp; Testing || Public speaking || Research Partnerships || Software Development || Strategic Planning || Tech Strategy &amp; Infrastructure || UI/UX Design || Entrepreneurship Coaching || HR Consulting</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</si>
  <si>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Software &amp; IT Services</t>
  </si>
  <si>
    <t>Rahul Pandey</t>
  </si>
  <si>
    <t>Founder/CEO</t>
  </si>
  <si>
    <t>Pulpy Dive</t>
  </si>
  <si>
    <t>Summary:&lt;/strong&gt;&lt;/p&gt;&lt;p&gt;Rahul Pandey is a versatile entrepreneur who is deeply committed to India, innovation, and people. He is currently on a mission to democratize access to healthy food through his venture, "Pulpy Dive." Before this, he served as the Chief Operations Officer at a startup incubation center in Delhi until July 2021. Rahul is passionate about mentoring students, innovators, and aspiring entrepreneurs, helping them tackle indigenous problems in India.&lt;/p&gt;&lt;p&gt;&lt;br&gt;&lt;/p&gt;Core Expertise:&lt;/strong&gt;&lt;/p&gt;&lt;ul&gt;&lt;li&gt;&lt;strong&gt;Entrepreneurship and Innovation:&lt;/strong&gt; Rahul specializes in guiding startups across various sectors, focusing on defining value propositions, opportunity assessments, and business model generation.&lt;/li&gt;&lt;li&gt;&lt;strong&gt;Business Development and Sales:&lt;/strong&gt; With a diverse background in both business and IT, Rahul has contributed to business development and sales efforts for prominent brands such as Tata Consultancy Services, Reliance Broadcast (BIG FM), and various startups.&lt;/li&gt;&lt;li&gt;&lt;strong&gt;Startup Mentorship:&lt;/strong&gt; Rahul is experienced in assisting early-stage startups with crafting business plans, devising go-to-market strategies, and connecting them with potential investors. He also provides guidance to funded startups in building and structuring their sales teams to achieve projected growth.&lt;/li&gt;&lt;/ul&gt;&lt;p&gt;&lt;br&gt;&lt;/p&gt;Problem-Solving Approach:&lt;/strong&gt;&lt;/p&gt;&lt;p&gt;Rahul approaches problem-solving with a blend of curiosity, adaptability, and practical experience. His diverse career background allows him to understand and address challenges across multiple industries. He emphasizes the importance of understanding market needs and customer pain points, employing a hands-on approach to mentor and support startups in refining their strategies and execution plans.&lt;/p&gt;&lt;p&gt;&lt;br&gt;&lt;/p&gt;Impactful Projects:&lt;/strong&gt;&lt;/p&gt;&lt;ul&gt;&lt;li&gt;&lt;strong&gt;Pulpy Dive: &lt;/strong&gt;Rahul's current venture focuses on making healthy food accessible to a wider audience, reflecting his commitment to promoting well-being and nutrition.&lt;/li&gt;&lt;li&gt;&lt;strong&gt;ACIIE: &lt;/strong&gt;As the COO at ACIIE, Rahul was pivotal in nurturing startups, providing strategic guidance, and fostering an environment conducive to innovation and growth.&lt;/li&gt;&lt;/ul&gt;&lt;p&gt;&lt;br&gt;&lt;/p&gt;Consultation Style:&lt;/strong&gt;&lt;/p&gt;&lt;p&gt;Rahul's consultation style is characterized by open communication and a genuine interest in helping others succeed. He enjoys engaging with various stakeholders, from students and early-stage entrepreneurs to experienced professionals. Rahul is known for his ability to provide actionable insights and practical advice, drawing from his extensive experience in various industries. He leverages his global perspective, gained from studying in Arizona and working in cities like Boston, Phoenix, Bengaluru, and New Delhi, to offer a well-rounded approach to business challenges.&lt;/p&gt;&lt;p&gt;&lt;br&gt;&lt;/p&gt;&lt;p&gt;Rahul is also a sought-after speaker, having shared his knowledge at prestigious institutions like IIM, DU, DTU, IIITD, and NSUT, covering topics related to entrepreneurship, innovation, social entrepreneurship, sales, and leadership. With an MBA from Thunderbird School of Global Management, USA, Rahul continues to expand his global network and enjoys connecting with new people. Outside of his professional pursuits, he is an avid singer and an occasional thrill-seeker, currently residing in Noida.&lt;/p&gt;</t>
  </si>
  <si>
    <t>https://www.linkedin.com/in/rahul-pandey-tbird13/</t>
  </si>
  <si>
    <t>joinpandeyrahul@gmail.com</t>
  </si>
  <si>
    <t>Business Model Development || Go to Market Strategy || Marketing || Product Development || Sales Strategy || Business Model Development || Go to Market Strategy || Marketing || Product Development || Sales Strategy || Business Model Development || Go to Market Strategy || Marketing || Product Development || Sales Strategy || Business Model Development || Go to Market Strategy || Marketing || Product Development || Sales Strategy || Entrepreneurship Coaching || Training &amp; Development</t>
  </si>
  <si>
    <t>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Media, Arts &amp; Entertainment || Media, Arts &amp; Entertainment || Media, Arts &amp; Entertainment || Media, Arts &amp; Entertainment || Media, Arts &amp; Entertainment || Tourism &amp; Hospitality || Tourism &amp; Hospitality || Tourism &amp; Hospitality || Tourism &amp; Hospitality || Tourism &amp; Hospitality || Agritech &amp; Food Processing || Education &amp; Training</t>
  </si>
  <si>
    <t>Ramkumar Subramanian</t>
  </si>
  <si>
    <t>Avaan Intellect</t>
  </si>
  <si>
    <t>Summary:&lt;/strong&gt;&lt;/p&gt;&lt;p&gt;Ramkumar is an accomplished Head of Business Development with extensive experience in the logistics and supply chain sector. He has a proven track record of driving growth and efficiency through his expertise in operations management, supply chain optimization, and demand planning.&lt;/p&gt;&lt;p&gt;&lt;br&gt;&lt;/p&gt;Core Expertise:&lt;/strong&gt;&lt;/p&gt;&lt;ul&gt;&lt;li&gt;&lt;strong&gt;Operations Management: &lt;/strong&gt;Adept at overseeing and improving operational processes to enhance efficiency and effectiveness.&lt;/li&gt;&lt;li&gt;&lt;strong&gt;Supply Chain Optimization: &lt;/strong&gt;Skilled in optimizing supply chains to ensure smooth and cost-effective operations.&lt;/li&gt;&lt;li&gt;&lt;strong&gt;Demand Planning:&lt;/strong&gt; Proficient in forecasting and planning to meet market demands and minimize disruptions.&lt;/li&gt;&lt;li&gt;&lt;strong&gt;Relationship Building: &lt;/strong&gt;Experienced in fostering strong relationships with stakeholders and partners to drive business success.&lt;/li&gt;&lt;/ul&gt;&lt;p&gt;&lt;br&gt;&lt;/p&gt;Problem-Solving Approach:&lt;/strong&gt;&lt;/p&gt;&lt;p&gt;Ramkumar's problem-solving approach is rooted in his ability to identify and address operational inefficiencies. He uses a data-driven method to analyze supply chain processes, uncover bottlenecks, and implement solutions that enhance overall performance. His focus on demand planning helps in anticipating market trends and preparing businesses for potential challenges, ensuring minimal disruptions.&lt;/p&gt;&lt;p&gt;&lt;br&gt;&lt;/p&gt;Impactful Projects:&lt;/strong&gt;&lt;/p&gt;&lt;ul&gt;&lt;li&gt;&lt;strong&gt;Supply Chain Optimization Initiatives:&lt;/strong&gt; Led projects that significantly improved supply chain efficiency, resulting in cost savings and enhanced service levels.&lt;/li&gt;&lt;li&gt;&lt;strong&gt;Operational Process Improvements: &lt;/strong&gt;Implemented strategies that streamlined operations, reduced waste, and increased throughput.&lt;/li&gt;&lt;li&gt;&lt;strong&gt;Demand Planning Enhancements: &lt;/strong&gt;Developed and executed demand planning processes that better-aligned inventory levels with market demand, reducing stockouts and excess inventory.&lt;/li&gt;&lt;/ul&gt;&lt;p&gt;&lt;br&gt;&lt;/p&gt;Consultation Style:&lt;/strong&gt;&lt;/p&gt;&lt;p&gt;A blend of strategic insight and practical experience characterizes Ramkumar's consulting style. He focuses on understanding the unique challenges organizations face and provides tailored solutions that drive growth and operational excellence. He values open communication and collaboration, ensuring all stakeholders are engaged and informed throughout the process.&lt;/p&gt;&lt;p&gt;&lt;br&gt;&lt;/p&gt;Value Proposition:&lt;/strong&gt;&lt;/p&gt;&lt;p&gt;Ramkumar offers a comprehensive understanding of the logistics and supply chain sector, backed by significant experience and a strong academic background. His ability to optimize operations, plan effectively, and build valuable relationships makes him a key asset for businesses looking to enhance their supply chain and operational strategies.&lt;/p&gt;</t>
  </si>
  <si>
    <t>https://www.linkedin.com/in/ramkumarsubramanian/?originalSubdomain=in</t>
  </si>
  <si>
    <t>ramkumar.s@avaanindia.com</t>
  </si>
  <si>
    <t>Logistics Management || Supply Chain Management || Logistics Management || Supply Chain Management || Logistics Management || Supply Chain Management || Logistics Management || Supply Chain Management || Supply Chain Management || Training &amp; Development</t>
  </si>
  <si>
    <t>Consumer Products || Consumer Products || Retail &amp; e-Commerce || Retail &amp; e-Commerce || Consumer Products || Consumer Products || Retail &amp; e-Commerce || Retail &amp; e-Commerce || Transportation &amp; Logistics</t>
  </si>
  <si>
    <t>Ranjith Rao</t>
  </si>
  <si>
    <t>Ervaring</t>
  </si>
  <si>
    <t>Summary:&lt;/strong&gt;&lt;/p&gt;&lt;p&gt;Mr. Ranjith is a seasoned entrepreneur and Founder of Ervaring, with 22 years of IT industry experience. Holding a B.E. in Electronics &amp;amp; Communication, an EGMP from IIM Bangalore, and an M.A. in Psychology, he combines technical and psychological insights in his work. As a startup mentor, management consultant, and corporate leadership trainer, Mr. Ranjith excels in career development, change management, and strategic planning. His diverse expertise spans leadership development, team building, and business consulting, making him a valuable asset for organizations and startups seeking growth and transformation.&lt;/p&gt;&lt;p&gt;&lt;br&gt;&lt;/p&gt;Key Areas of Expertise:&lt;/strong&gt;&lt;/p&gt;&lt;ul&gt;&lt;li&gt;&lt;strong&gt;Entrepreneurship&lt;/strong&gt;: Founder of Ervaring, focusing on innovative business solutions.&lt;/li&gt;&lt;li&gt;&lt;strong&gt;Startup Mentoring&lt;/strong&gt;: Guides startups through strategic and operational challenges.&lt;/li&gt;&lt;li&gt;&lt;strong&gt;Corporate Training&lt;/strong&gt;: Expertise in leadership development, team building, and change management.&lt;/li&gt;&lt;li&gt;&lt;strong&gt;Business Consulting&lt;/strong&gt;: Provides insights on marketing strategy, strategic planning, and management consulting.&lt;/li&gt;&lt;/ul&gt;&lt;p&gt;&lt;br&gt;&lt;/p&gt;Strategic Contributions:&lt;/strong&gt;&lt;/p&gt;&lt;ul&gt;&lt;li&gt;&lt;strong&gt;Ervaring&lt;/strong&gt;: Established a successful consulting and training firm that offers tailored solutions for businesses and startups.&lt;/li&gt;&lt;li&gt;&lt;strong&gt;Leadership &amp;amp; Training&lt;/strong&gt;: Developed and delivered corporate training programs that enhance leadership and team performance.&lt;/li&gt;&lt;li&gt;&lt;strong&gt;Consulting&lt;/strong&gt;: Provided strategic business consulting services that have driven organizational growth and transformation.&lt;/li&gt;&lt;/ul&gt;&lt;p&gt;&lt;br&gt;&lt;/p&gt;Mentorship Philosophy:&lt;/strong&gt;&lt;/p&gt;&lt;p&gt;Mr. Ranjith believes in empowering individuals and organizations through a blend of strategic thinking, psychological insights, and practical experience. His approach focuses on developing leadership skills, managing change effectively, and fostering a culture of continuous improvement.&lt;/p&gt;&lt;p&gt;&lt;br&gt;&lt;/p&gt;Success Stories:&lt;/strong&gt;&lt;/p&gt;&lt;ul&gt;&lt;li&gt;&lt;strong&gt;Ervaring&lt;/strong&gt;: Successfully implemented consulting and training solutions that have positively impacted numerous businesses.&lt;/li&gt;&lt;li&gt;&lt;strong&gt;Corporate Training&lt;/strong&gt;: Delivered impactful programs that enhanced leadership capabilities and team dynamics.&lt;/li&gt;&lt;li&gt;&lt;strong&gt;Startup Mentoring&lt;/strong&gt;: Guided various startups in refining their strategies and achieving sustainable growth.&lt;/li&gt;&lt;/ul&gt;</t>
  </si>
  <si>
    <t>https://www.linkedin.com/in/ranjithraor/</t>
  </si>
  <si>
    <t>ranjith@ervaring.in</t>
  </si>
  <si>
    <t>Business Model Development || Market research || Business Model Development || Market research || Business Model Development || Market research || Business Model Development || Market research || Business Model Development || Market research || Business Model Development || Market research || Business Model Development || Market research || Business Model Development || Market research || Business Model Development || Market research || Business Model Development || Market research || Business Model Development || Market research || Business Model Development || Market research || Business Model Development || Market research || Business Model Development || Market research || Software Development || Entrepreneurship Coaching</t>
  </si>
  <si>
    <t>AI, Big Data &amp; Analytics || AI, Big Data &amp; Analytics || Automobiles &amp; Auto Components || Automobiles &amp; Auto Components || Education &amp; Training || Education &amp; Training || Professional &amp; Business Services || Professional &amp; Business Services || Retail &amp; e-Commerce || Retail &amp; e-Commerce || Services || Services || Technology &amp; Innovation || Technology &amp; Innovation || AI, Big Data &amp; Analytics || AI, Big Data &amp; Analytics || Automobiles &amp; Auto Components || Automobiles &amp; Auto Components || Education &amp; Training || Education &amp; Training || Professional &amp; Business Services || Professional &amp; Business Services || Retail &amp; e-Commerce || Retail &amp; e-Commerce || Services || Services || Technology &amp; Innovation || Technology &amp; Innovation || Software &amp; IT Services</t>
  </si>
  <si>
    <t>Ravi Kikan</t>
  </si>
  <si>
    <t>Global Chief Marketing Officer</t>
  </si>
  <si>
    <t>United We Care</t>
  </si>
  <si>
    <t>&lt;h3&gt;&lt;strong&gt;Summary:&lt;/strong&gt;&lt;/h3&gt;&lt;p&gt;&lt;br&gt;&lt;/p&gt;&lt;p&gt;Mr. Ravi is a seasoned leader and advisor with over 24 years of experience across tech and non-tech industries. He specializes in helping Founders, entrepreneurs, and startups scale their businesses rapidly. Having led functions as a CXO in marketing, finance, Product Management management, and business development, Mr. Ravi has supported businesses across India, APAC, UAE, EU, and US markets. He is a 4X entrepreneur and author of six books, passionate about mentoring teams, building communities, and solving complex challenges.&lt;/p&gt;&lt;p&gt;&lt;br&gt;&lt;/p&gt;&lt;h3&gt;&lt;strong&gt;Key Areas of Expertise:&lt;/strong&gt;&lt;/h3&gt;&lt;ul&gt;&lt;li&gt;Business Growth &amp;amp; Scaling&lt;/li&gt;&lt;li&gt;CXO Leadership (Marketing, Finance, Product Management Management)&lt;/li&gt;&lt;li&gt;Fundraising &amp;amp; Business Development&lt;/li&gt;&lt;li&gt;Cross-functional Team Building&lt;/li&gt;&lt;li&gt;Global Market Expansion&lt;/li&gt;&lt;/ul&gt;&lt;p&gt;&lt;br&gt;&lt;/p&gt;&lt;h3&gt;&lt;strong&gt;Strategic Contributions:&lt;/strong&gt;&lt;/h3&gt;&lt;ul&gt;&lt;li&gt;Scaled businesses from $0 to $10 million in top line in one year.&lt;/li&gt;&lt;li&gt;Led teams of 1000+ employees across multiple locations.&lt;/li&gt;&lt;li&gt;Built and moderated the largest startup community with over 1 million members.&lt;/li&gt;&lt;li&gt;Launched successful global Product Managements and services.&lt;/li&gt;&lt;/ul&gt;&lt;p&gt;&lt;br&gt;&lt;/p&gt;&lt;h3&gt;&lt;strong&gt;Mentorship Philosophy:&lt;/strong&gt;&lt;/h3&gt;&lt;ul&gt;&lt;li&gt;Focused on accelerating business growth and unlearning to relearn.&lt;/li&gt;&lt;li&gt;Passionate about helping others achieve their dreams and fostering collaboration.&lt;/li&gt;&lt;/ul&gt;</t>
  </si>
  <si>
    <t>https://www.linkedin.com/in/ravikikan/</t>
  </si>
  <si>
    <t>kikanbooks@gmail.com</t>
  </si>
  <si>
    <t>98115 27298</t>
  </si>
  <si>
    <t>Branding || Business Model Development || Customer Service &amp; Retention || Data Analytics || Digital Marketing || Exit Strategy Planning || Export || Go to Market Strategy || Growth Strategy Formulation || International Market Analysis || IP Management || Market access || Market research || Marketing || Media and PR || Performance Management || Pitch coaching || Product Development || Prototyping &amp; Testing || Research Partnerships || Sales Strategy || Strategic Planning || UI/UX Design || Branding || Business Model Development || Customer Service &amp; Retention || Data Analytics || Digital Marketing || Exit Strategy Planning || Export || Go to Market Strategy || Growth Strategy Formulation || International Market Analysis || IP Management || Market access || Market research || Marketing || Media and PR || Performance Management || Pitch coaching || Product Development || Prototyping &amp; Testing || Research Partnerships || Sales Strategy || Strategic Planning || UI/UX Design || Branding || Business Model Development || Customer Service &amp; Retention || Data Analytics || Digital Marketing || Exit Strategy Planning || Export || Go to Market Strategy || Growth Strategy Formulation || International Market Analysis || IP Management || Market access || Market research || Marketing || Media and PR || Performance Management || Pitch coaching || Product Development || Prototyping &amp; Testing || Research Partnerships || Sales Strategy || Strategic Planning || UI/UX Design || Branding || Business Model Development || Customer Service &amp; Retention || Data Analytics || Digital Marketing || Exit Strategy Planning || Export || Go to Market Strategy || Growth Strategy Formulation || International Market Analysis || IP Management || Market access || Market research || Marketing || Media and PR || Performance Management || Pitch coaching || Product Development || Prototyping &amp; Testing || Research Partnerships || Sales Strategy || Strategic Planning || UI/UX Design || Branding || Business Model Development || Customer Service &amp; Retention || Data Analytics || Digital Marketing || Exit Strategy Planning || Export || Go to Market Strategy || Growth Strategy Formulation || International Market Analysis || IP Management || Market access || Market research || Marketing || Media and PR || Performance Management || Pitch coaching || Product Development || Prototyping &amp; Testing || Research Partnerships || Sales Strategy || Strategic Planning || UI/UX Design || Branding || Business Model Development || Customer Service &amp; Retention || Data Analytics || Digital Marketing || Exit Strategy Planning || Export || Go to Market Strategy || Growth Strategy Formulation || International Market Analysis || IP Management || Market access || Market research || Marketing || Media and PR || Performance Management || Pitch coaching || Product Development || Prototyping &amp; Testing || Research Partnerships || Sales Strategy || Strategic Planning || UI/UX Design || Branding || Business Model Development || Customer Service &amp; Retention || Data Analytics || Digital Marketing || Exit Strategy Planning || Export || Go to Market Strategy || Growth Strategy Formulation || International Market Analysis || IP Management || Market access || Market research || Marketing || Media and PR || Performance Management || Pitch coaching || Product Development || Prototyping &amp; Testing || Research Partnerships || Sales Strategy || Strategic Planning || UI/UX Design || Branding || Business Model Development || Customer Service &amp; Retention || Data Analytics || Digital Marketing || Exit Strategy Planning || Export || Go to Market Strategy || Growth Strategy Formulation || International Market Analysis || IP Management || Market access || Market research || Marketing || Media and PR || Performance Management || Pitch coaching || Product Development || Prototyping &amp; Testing || Research Partnerships || Sales Strategy || Strategic Planning || UI/UX Design || Branding || Business Model Development || Customer Service &amp; Retention || Data Analytics || Digital Marketing || Exit Strategy Planning || Export || Go to Market Strategy || Growth Strategy Formulation || International Market Analysis || IP Management || Market access || Market research || Marketing || Media and PR || Performance Management || Pitch coaching || Product Development || Prototyping &amp; Testing || Research Partnerships || Sales Strategy || Strategic Planning || UI/UX Design || Branding || Business Model Development || Customer Service &amp; Retention || Data Analytics || Digital Marketing || Exit Strategy Planning || Export || Go to Market Strategy || Growth Strategy Formulation || International Market Analysis || IP Management || Market access || Market research || Marketing || Media and PR || Performance Management || Pitch coaching || Product Development || Prototyping &amp; Testing || Research Partnerships || Sales Strategy || Strategic Planning || UI/UX Design || Growth Strategy Formulation || Marketing &amp; Branding</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</si>
  <si>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CleanTech || CleanTech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FinTech || FinTech || FinTech || FinTech || FinTech || FinTech || FinTech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Software &amp; IT Services</t>
  </si>
  <si>
    <t>Ravin Dutt</t>
  </si>
  <si>
    <t>CEO &amp; Founder</t>
  </si>
  <si>
    <t>IATSAT</t>
  </si>
  <si>
    <t>Summary:&lt;/strong&gt; Ravin is a visionary leader with over 15 years of industry experience in marketing and Product Management development, with a deep commitment to education, technology, innovation, and social equity across India, the UK, and Australia.&lt;/p&gt;&lt;p&gt;&lt;br&gt;&lt;/p&gt;Core Expertise:&lt;/strong&gt;&lt;/p&gt;&lt;ul&gt;&lt;li&gt;Marketing &amp;amp; Product Management Development&lt;/li&gt;&lt;li&gt;International Marketing&lt;/li&gt;&lt;li&gt;Education&lt;/li&gt;&lt;li&gt;Technology Innovation&lt;/li&gt;&lt;li&gt;Social Equity&lt;/li&gt;&lt;/ul&gt;&lt;p&gt;&lt;br&gt;&lt;/p&gt;Problem-Solving Approach:&lt;/strong&gt;&lt;/p&gt;&lt;p&gt;Ravin employs a holistic approach that combines his extensive academic background and corporate experience to bridge the gap between industry, academia, and schools. His solutions are grounded in the belief that education and knowledge are the ultimate equalizers, empowering individuals to navigate life's challenges with resilience and wisdom.&lt;/p&gt;&lt;p&gt;&lt;br&gt;&lt;/p&gt;Impactful Projects:&lt;/strong&gt;&lt;/p&gt;&lt;p&gt;Ravin's journey has been marked by transformative initiatives, including the founding of IATSAT in 2016 and the One Alphabet Education Foundation in 2021. These ventures are dedicated to redefining educational paradigms and ensuring quality education for all, both in India and globally.&lt;/p&gt;&lt;p&gt;&lt;br&gt;&lt;/p&gt;Consultation Style:&lt;/strong&gt;&lt;/p&gt;&lt;p&gt;"My approach is centered around creating lasting impact through education and innovation. I believe in pushing boundaries to ensure that knowledge becomes a fundamental right, enabling individuals to thrive and contribute meaningfully to society."&lt;/p&gt;</t>
  </si>
  <si>
    <t>https://www.linkedin.com/in/ravin-dutt-7a325515/</t>
  </si>
  <si>
    <t>Australia</t>
  </si>
  <si>
    <t>Melbourne</t>
  </si>
  <si>
    <t>pr.iatsat@gmail.com</t>
  </si>
  <si>
    <t>na</t>
  </si>
  <si>
    <t>Go to Market Strategy || Market research || Marketing || Go to Market Strategy || Market research || Marketing || Marketing &amp; Branding</t>
  </si>
  <si>
    <t>Education &amp; Training || Education &amp; Training || Education &amp; Training || Tourism &amp; Hospitality || Tourism &amp; Hospitality || Tourism &amp; Hospitality || Education &amp; Training</t>
  </si>
  <si>
    <t>Ravin Sanghavi</t>
  </si>
  <si>
    <t>VatVistaar Ventures</t>
  </si>
  <si>
    <t>Summary: &lt;/strong&gt;&lt;/p&gt;&lt;p&gt;Ravin is a seasoned expert in coaching, mentoring, and business development with 28 years of experience in both Indian and multinational companies. He specializes in guiding new startups and facilitating investments through networking with angel investors and venture capitalists. Ravin has a notable background in various business functions, including sales, marketing, Product Management management, and corporate communication. He is a prominent angel investor with 35 startup investments to date and has served in influential roles such as CEO of AIC-Surati iLab and Head Coach at VentureStudio.&lt;/p&gt;&lt;p&gt;&lt;br&gt;&lt;/p&gt;Core Expertise:&lt;/strong&gt;&lt;/p&gt;&lt;ul&gt;&lt;li&gt;&lt;strong&gt;Coaching/Mentoring:&lt;/strong&gt; Provides personalized guidance to new startups, helping them navigate early-stage challenges and achieve growth. Networking with Investors: Expert in connecting startups with angel investors and venture capitalists for seed funding, angel funding, and venture funding.&lt;/li&gt;&lt;li&gt;&lt;strong&gt;Business Development:&lt;/strong&gt; Extensive experience in new business development, including setting up new ventures, key account management, and brand promotion.&lt;/li&gt;&lt;li&gt;&lt;strong&gt;Sales &amp;amp; Marketing: &lt;/strong&gt;Proficient in channel/distribution management, Product Management management, new Product Management development, and sales promotion.&lt;/li&gt;&lt;li&gt;&lt;strong&gt;Project Management:&lt;/strong&gt; Skilled in managing projects, profit centers, and procurement, with a focus on leading cross-functional teams.&lt;/li&gt;&lt;li&gt;&lt;strong&gt;Corporate Communication:&lt;/strong&gt; Expertise in corporate communication and building networks with domain experts and industry leaders.&lt;/li&gt;&lt;/ul&gt;&lt;p&gt;&lt;br&gt;&lt;/p&gt;Problem-Solving Approach: &lt;/strong&gt;Ravin employs a strategic and hands-on approach, combining his extensive business development experience with targeted mentoring. He focuses on practical, actionable strategies to address startup challenges, leveraging his network of investors and industry experts to provide comprehensive support.&lt;/p&gt;&lt;p&gt;&lt;br&gt;&lt;/p&gt;Impactful Projects:&lt;/strong&gt;&lt;/p&gt;&lt;ul&gt;&lt;li&gt;&lt;strong&gt;CEO, AIC-Surati iLab:&lt;/strong&gt; Led the incubation center, supporting startups through mentorship and facilitating their growth.&lt;/li&gt;&lt;li&gt;&lt;strong&gt;Head Coach, VentureStudio:&lt;/strong&gt; Supported aspiring entrepreneurs through one-to-one mentoring and expanded the reach and activities of the business incubator.&lt;/li&gt;&lt;li&gt;&lt;strong&gt;Angel Investments: &lt;/strong&gt;Made 35 startup investments, helping early-stage companies secure funding and scale effectively.&lt;/li&gt;&lt;/ul&gt;&lt;p&gt;&lt;br&gt;&lt;/p&gt;Consultation Style:&lt;/strong&gt; Ravin’s consultation style is collaborative and proactive. He offers tailored advice and mentorship, leveraging his extensive network and industry knowledge to provide valuable insights. His focus is on empowering startups through strategic guidance and facilitating connections with investors and domain experts.&lt;/p&gt;</t>
  </si>
  <si>
    <t>https://www.linkedin.com/in/ravin-sanghavi-19100613</t>
  </si>
  <si>
    <t>ravindev@gmail.com</t>
  </si>
  <si>
    <t>Angel Investing || Fundraising || Angel Investing || Fundraising || Investing</t>
  </si>
  <si>
    <t>Advanced Manufacturing &amp; Robotics || Advanced Manufacturing &amp; Robotics || Advanced Manufacturing &amp; Robotics || Advanced Manufacturing &amp; Robotics || Venture Funding</t>
  </si>
  <si>
    <t>Ravishekar Kalepu</t>
  </si>
  <si>
    <t xml:space="preserve">Director </t>
  </si>
  <si>
    <t>RR-GTM Ventures</t>
  </si>
  <si>
    <t>Summary:&lt;/strong&gt;&lt;/p&gt;&lt;p&gt;Ravishekar is an expert in exploring startup ideas and understanding the disruptive advantages of innovative proposals. With over two and a half decades of experience in CRM management, he has honed his skills in recognizing bold, transformative ideas and providing strategic guidance to startups. Ravishekar closely collaborates with the startups he invests in, offering his expertise to refine their strategies, create workable business models, and validate market potential.&lt;/p&gt;&lt;p&gt;&lt;br&gt;&lt;/p&gt;Core Expertise:&lt;/strong&gt;&lt;/p&gt;&lt;ul&gt;&lt;li&gt;&lt;strong&gt;CRM Management&lt;/strong&gt;: Extensive experience in managing customer relationships, leveraging CRM systems to enhance business processes and customer interactions.&lt;/li&gt;&lt;li&gt;&lt;strong&gt;Startup Advisory&lt;/strong&gt;: Specializes in guiding startups through the critical phases of business development, from ideation to market entry.&lt;/li&gt;&lt;li&gt;&lt;strong&gt;Business Model Creation&lt;/strong&gt;: Skilled in crafting robust business models that align with startup goals and market realities.&lt;/li&gt;&lt;li&gt;&lt;strong&gt;Market Validation&lt;/strong&gt;: Expertise in assessing market viability and helping startups validate their Product Managements and services.&lt;/li&gt;&lt;li&gt;&lt;strong&gt;Networking&lt;/strong&gt;: Proficient in building and maintaining high-profile connections and facilitating valuable partnerships for startups.&lt;/li&gt;&lt;/ul&gt;&lt;p&gt;&lt;br&gt;&lt;/p&gt;Problem-Solving Approach:&lt;/strong&gt;&lt;/p&gt;&lt;p&gt;Ravishekar's approach to problem-solving is rooted in a deep understanding of the startup ecosystem and the unique challenges early-stage companies face. He uses his intuition and experience to identify promising ideas and helps startups define clear business goals. He focuses on developing feasible financial models and crafting growth strategies that are sustainable and scalable. His ability to connect startups with key industry players further accelerates their growth and market presence.&lt;/p&gt;&lt;p&gt;&lt;br&gt;&lt;/p&gt;Impactful Projects:&lt;/strong&gt;&lt;/p&gt;&lt;ul&gt;&lt;li&gt;&lt;strong&gt;Strategic Advisory for Startups&lt;/strong&gt;: I have provided critical advisory services to numerous startups, helping them fine-tune their business strategies and achieve market success.&lt;/li&gt;&lt;li&gt;&lt;strong&gt;Business Model Innovation&lt;/strong&gt;: Led initiatives to develop innovative business models that have become the foundation for successful startup ventures.&lt;/li&gt;&lt;li&gt;&lt;strong&gt;CRM Management Improvements&lt;/strong&gt;: Leveraged CRM expertise to enhance customer relationship strategies, contributing to the overall growth and retention of startup customer bases.&lt;/li&gt;&lt;/ul&gt;&lt;p&gt;&lt;br&gt;&lt;/p&gt;Consultation Style:&lt;/strong&gt;&lt;/p&gt;&lt;p&gt;Ravishekar's consultation style is collaborative and hands-on. He believes in working closely with startup teams, offering personalized guidance tailored to their specific needs and challenges. He places a strong emphasis on practical solutions and actionable insights, ensuring that startups can effectively implement his recommendations.&lt;/p&gt;&lt;p&gt;&lt;br&gt;&lt;/p&gt;Value Proposition:&lt;/strong&gt;&lt;/p&gt;&lt;p&gt;Ravishekar brings a wealth of experience and a deep understanding of CRM management and the startup landscape. His ability to identify and nurture innovative ideas, coupled with his strong network of industry connections, makes him an invaluable resource for startups seeking to scale and succeed. His strategic advisory services provide startups with the tools and insights they need to navigate the complexities of business development and market entry.&lt;/p&gt;</t>
  </si>
  <si>
    <t>https://www.linkedin.com/in/ravikalepu</t>
  </si>
  <si>
    <t>Official: gtmventuresindia@gmail.com (mentor account)
Personal: vrskalepu@yahoo.com</t>
  </si>
  <si>
    <t>Customer Relationship Management || Fundraising || Go to Market Strategy || Customer Relationship Management || Fundraising || Go to Market Strategy || Customer Relationship Management || Fundraising || Go to Market Strategy || Customer Relationship Management || Fundraising || Go to Market Strategy || Customer Relationship Management || Fundraising || Go to Market Strategy || Customer Relationship Management || Fundraising || Go to Market Strategy || Customer Relationship Management || Fundraising || Go to Market Strategy || Customer Relationship Management || Fundraising || Go to Market Strategy || Customer Relationship Management || Fundraising || Go to Market Strategy || Customer Relationship Management || Fundraising || Go to Market Strategy || Entrepreneurship Coaching || Go to Market Strategy</t>
  </si>
  <si>
    <t>CleanTech || CleanTech || CleanTech || Education &amp; Training || Education &amp; Training || Education &amp; Training || FinTech || FinTech || FinTech || Pharmaceuticals, Healthcare and Wellness || Pharmaceuticals, Healthcare and Wellness || Pharmaceuticals, Healthcare and Wellness || Social &amp; Community Services || Social &amp; Community Services || Social &amp; Community Services || CleanTech || CleanTech || CleanTech || Education &amp; Training || Education &amp; Training || Education &amp; Training || FinTech || FinTech || FinTech || Pharmaceuticals, Healthcare and Wellness || Pharmaceuticals, Healthcare and Wellness || Pharmaceuticals, Healthcare and Wellness || Social &amp; Community Services || Social &amp; Community Services || Social &amp; Community Services || Software &amp; IT Services</t>
  </si>
  <si>
    <t>Reema Bajaj</t>
  </si>
  <si>
    <t>Performance Marketer &amp; Growth Consultant</t>
  </si>
  <si>
    <t>About
Reema Bajaj is a growth marketing professional specializing in performance marketing, D2C strategy, and digital brand growth. She focuses on building data-driven marketing funnels that drive customer acquisition, engagement, and measurable ROI across digital platforms. Reema combines analytical thinking with creative execution to optimize campaigns, scale brands, and create meaningful customer journeys.
Skillset
Growth &amp; Performance Marketing
D2C Brand Strategy &amp; Digital Funnels
Data-Driven Campaign Optimization
Customer Acquisition &amp; Retention
Marketing Analytics &amp; Measurement
Content Strategy &amp; Campaign Execution</t>
  </si>
  <si>
    <t>https://www.linkedin.com/in/reema-bajaj/</t>
  </si>
  <si>
    <t>reemabajaj0150@gmail.com</t>
  </si>
  <si>
    <t>Branding || Marketing || Branding || Marketing || Branding || Marketing || Branding || Marketing || Branding || Marketing || Branding || Marketing || Marketing &amp; Branding || Market Research</t>
  </si>
  <si>
    <t>Consumer Products || Consumer Products || Fashion &amp; Beauty || Fashion &amp; Beauty || Retail &amp; e-Commerce || Retail &amp; e-Commerce || Consumer Products || Consumer Products || Fashion &amp; Beauty || Fashion &amp; Beauty || Retail &amp; e-Commerce || Retail &amp; e-Commerce || Retail &amp; e-Commerce</t>
  </si>
  <si>
    <t>Reena Ahuja</t>
  </si>
  <si>
    <t>Human Resource Consultant</t>
  </si>
  <si>
    <t>SM Consulting</t>
  </si>
  <si>
    <t>About
Reena Ahuja is a senior HR and business consulting professional with over three decades of leadership experience across large multinational organizations. She brings deep expertise in strategic business management, organizational transformation, productivity enhancement, and people strategy. Her work spans talent and capability management, compensation and benefits structuring, HR operations excellence, large-scale hiring, and setting up offshore development centers with global workforce deployment.
Since 2013, Reena has been consulting with mid-to-large Indian organizations, including the public sector, helping them professionalize HR functions, institutionalize best practices, design policies and processes, and lead organization-wide transformation and change management initiatives.
Skillset
Business &amp; Organizational Strategy
Organization &amp; People Development
Talent &amp; Capability Management
Compensation, Rewards &amp; Benefits Design
HR Operations Excellence
Organization Transformation &amp; Change Management
Performance Management &amp; Succession Planning
HR &amp; Management Consulting</t>
  </si>
  <si>
    <t>https://www.linkedin.com/in/reena-ahuja-248543/?original_referer=https%3A%2F%2Fwww%2Egoogle%2Ecom%2F&amp;originalSubdomain=in</t>
  </si>
  <si>
    <t>reena.ahuja@smartheadconsulting.com</t>
  </si>
  <si>
    <t>Talent Acquisition || Talent Acquisition || Talent Acquisition || HR Consulting</t>
  </si>
  <si>
    <t>Industrial Automation &amp; Manufacturing || Pharmaceuticals, Healthcare and Wellness || Telecommunications || Telecommunications || Software &amp; IT Services</t>
  </si>
  <si>
    <t>Renu Bohra</t>
  </si>
  <si>
    <t>CHRO</t>
  </si>
  <si>
    <t>National Engineering Industries</t>
  </si>
  <si>
    <t>Renu Bohra is a seasoned HR leader and Business Partner with extensive experience driving people strategy, leadership development, and organizational culture in large corporate environments. She currently serves as Chief Human Resources Officer (CHRO) at National Engineering Industries Ltd. (NBC Bearings), where she focuses on strengthening workplace culture, talent development, and business-enabling HR functions. Renu’s leadership prioritizes continuous innovation in HR practices, inclusive work environments, and strategic workforce planning, helping organizations evolve and thrive in competitive markets. She has also been recognized among Asia’s 100 Power Leaders in HR, reflecting her influence and impact in the field. 
Skillset
Human Resources Leadership &amp; Strategy
Talent Development &amp; Organizational Culture
Leadership Succession &amp; Workforce Planning
Diversity, Equity &amp; Inclusion Advocacy
Change Management &amp; People-Focused Transformation
Employee Engagement &amp; Performance Enablement</t>
  </si>
  <si>
    <t>https://www.linkedin.com/in/renu-bohra-bb7930a?lipi=urn%3Ali%3Apage%3Ad_flagship3_profile_view_base_contact_details%3B7IUoKPIYRGm68ZWpJQHJUw%3D%3D</t>
  </si>
  <si>
    <t>renu_bohra@yahoo.com</t>
  </si>
  <si>
    <t>Organizational Development || Talent Acquisition || Team building || Training &amp; Development || Organizational Development || Talent Acquisition || Team building || Training &amp; Development || Organizational Development || Talent Acquisition || Team building || Training &amp; Development || Organizational Development || Talent Acquisition || Team building || Training &amp; Development || HR Consulting || Training &amp; Development</t>
  </si>
  <si>
    <t>Automobiles &amp; Auto Components || Automobiles &amp; Auto Components || Automobiles &amp; Auto Components || Automobiles &amp; Auto Components || Transportation &amp; Logistics || Transportation &amp; Logistics || Transportation &amp; Logistics || Transportation &amp; Logistics || Automobiles &amp; Auto Components || Automobiles &amp; Auto Components || Automobiles &amp; Auto Components || Automobiles &amp; Auto Components || Transportation &amp; Logistics || Transportation &amp; Logistics || Transportation &amp; Logistics || Transportation &amp; Logistics || Transportation &amp; Logistics</t>
  </si>
  <si>
    <t>Kushagra Gupta</t>
  </si>
  <si>
    <t>Founder | Vice President of Council of Fractional CXO | Founder of Brand Scalers | Co-Founder of Vedchakra Ayurveda</t>
  </si>
  <si>
    <t>Brand Scalers</t>
  </si>
  <si>
    <t>Summary: &lt;/strong&gt;Kushagra is a seasoned business leader with extensive experience in launching, managing, and scaling new businesses across various industries. His rich background spans value chain management, marketing, digital innovation, and brand development. Currently, Kushagra is focused on building an iconic food brand with a vision to establish the first global Biryani QSR (Quick Service Restaurant). His career includes successful green-field projects in both multinational corporations and Indian companies, scaling them to over ₹100 crore in topline profitably.&lt;/p&gt;&lt;p&gt;&lt;br&gt;&lt;/p&gt;Core Expertise&lt;/strong&gt;&lt;/p&gt;&lt;ul&gt;&lt;li&gt;&lt;strong&gt;Business Planning: &lt;/strong&gt;Developing and executing comprehensive business plans that drive growth and profitability. Innovation: Spearheading innovative strategies and processes to keep businesses at the forefront of their industries.&lt;/li&gt;&lt;li&gt;&lt;strong&gt;Marketing Strategy:&lt;/strong&gt; Crafting and implementing effective marketing strategies to build and sustain brand presence.&lt;/li&gt;&lt;li&gt;&lt;strong&gt;Digital Marketing: &lt;/strong&gt;Leveraging digital channels to enhance brand visibility and engagement.&lt;/li&gt;&lt;li&gt;&lt;strong&gt;Brand Strategy and Ideation:&lt;/strong&gt; Creating compelling brand identities and positioning strategies.&lt;/li&gt;&lt;li&gt;&lt;strong&gt;CRM (Customer Relationship Management)&lt;/strong&gt;: Enhancing customer relationships and optimizing engagement strategies.&lt;/li&gt;&lt;li&gt;&lt;strong&gt;Sales and Data Analytics:&lt;/strong&gt; Utilizing data-driven insights to boost sales performance and business outcomes.&lt;/li&gt;&lt;/ul&gt;&lt;p&gt;&lt;br&gt;&lt;/p&gt;Strategic Contributions &lt;/strong&gt;&lt;/p&gt;&lt;ul&gt;&lt;li&gt;&lt;strong&gt;Brand Launch and Scale-Up:&lt;/strong&gt; Successfully managed the launch and scale-up of several large brands, significantly increasing their market presence and profitability.&lt;/li&gt;&lt;li&gt;&lt;strong&gt;Green-Field Projects:&lt;/strong&gt; Led three green-field projects, achieving scalable and profitable outcomes in both multinational and Indian contexts.&lt;/li&gt;&lt;li&gt;&lt;strong&gt;Food Brand Vision:&lt;/strong&gt; Currently developing a global Biryani QSR, aiming to revolutionize the quick-service food industry with innovative business strategies.&lt;/li&gt;&lt;/ul&gt;&lt;p&gt;&lt;br&gt;&lt;/p&gt;Mentorship Philosophy:&lt;/strong&gt; Kushagra's approach to mentorship involves a deep dive into the complete value chain of businesses, offering strategic insights and hands-on guidance. He is committed to fostering innovation, strategic thinking, and practical solutions that drive business success. His mentorship is characterized by a focus on real-world applications and a deep understanding of industry dynamics.&lt;/p&gt;</t>
  </si>
  <si>
    <t>https://www.linkedin.com/in/kushagrag86/</t>
  </si>
  <si>
    <t>kushagra@brandscalers.in</t>
  </si>
  <si>
    <t>Branding || Go to Market Strategy || Marketing || Social Media Marketing || Branding || Go to Market Strategy || Marketing || Social Media Marketing || Branding || Go to Market Strategy || Marketing || Social Media Marketing || Branding || Go to Market Strategy || Marketing || Social Media Marketing || Marketing &amp; Branding</t>
  </si>
  <si>
    <t>Agriculture &amp; Food Processing || Agriculture &amp; Food Processing || Agriculture &amp; Food Processing || Agriculture &amp; Food Processing || Fashion &amp; Beauty || Fashion &amp; Beauty || Fashion &amp; Beauty || Fashion &amp; Beauty || Pharmaceuticals, Healthcare and Wellness || Pharmaceuticals, Healthcare and Wellness || Pharmaceuticals, Healthcare and Wellness || Pharmaceuticals, Healthcare and Wellness || Retail &amp; e-Commerce || Retail &amp; e-Commerce || Retail &amp; e-Commerce || Retail &amp; e-Commerce || Pharmaceuticals, Healthcare and Wellness</t>
  </si>
  <si>
    <t>Richa Mate</t>
  </si>
  <si>
    <t>Product Management Management Specialist</t>
  </si>
  <si>
    <t>Tale Corp</t>
  </si>
  <si>
    <t>Summary&lt;/strong&gt;&lt;/p&gt;&lt;p&gt;Ms. Richa is a seasoned Project Manager with over 12 years of IT experience in CRM, specializing in Siebel and Salesforce.com, as well as recruitment and web applications. Currently serving as a Principal Engineer at Yahoo!, she excels in managing cross-functional teams, overseeing Agile projects, and leading QA programs. Richa's expertise spans test design, strategy, automation, and continuous integration. She is adept at handling multiple projects, mentoring QA teams, and ensuring seamless user experiences through rigorous testing and effective stakeholder collaboration.&lt;/p&gt;&lt;p&gt;&lt;br&gt;&lt;/p&gt;Core Expertise&lt;/strong&gt;&lt;/p&gt;&lt;ul&gt;&lt;li&gt;CRM Systems (Siebel, Salesforce.com)&lt;/li&gt;&lt;li&gt;Test Design and Automation&lt;/li&gt;&lt;li&gt;Agile Project Management&lt;/li&gt;&lt;li&gt;Quality Assurance (QA) Programs&lt;/li&gt;&lt;li&gt;Recruitment and Web Applications&lt;/li&gt;&lt;/ul&gt;&lt;p&gt;&lt;br&gt;&lt;/p&gt;Problem Solving Approach&lt;/strong&gt;&lt;/p&gt;&lt;ul&gt;&lt;li&gt;Partners with cross-functional stakeholders to achieve strategic vision and seamless user experiences.&lt;/li&gt;&lt;li&gt;Manages commitments and prioritization in Agile environments, adapting to changes in direction and business needs.&lt;/li&gt;&lt;li&gt;Focuses on test tool design, automation, and implementing best practices in QA.&lt;/li&gt;&lt;/ul&gt;&lt;p&gt;&lt;br&gt;&lt;/p&gt;Consulting Style&lt;/strong&gt;&lt;/p&gt;&lt;ul&gt;&lt;li&gt;Leads with a strategic approach in Agile environments, ensuring alignment with business goals and user needs.&lt;/li&gt;&lt;li&gt;Emphasizes rigorous test design, continuous integration, and effective management of QA teams and processes.&lt;/li&gt;&lt;/ul&gt;</t>
  </si>
  <si>
    <t>https://www.linkedin.com/in/richavmate/</t>
  </si>
  <si>
    <t>richavmate@gmail.com</t>
  </si>
  <si>
    <t>Product Development || Prototyping &amp; Testing || Talent Acquisition || Tech Strategy &amp; Infrastructure || Product Development || Prototyping &amp; Testing || Talent Acquisition || Tech Strategy &amp; Infrastructure || Product Development || Prototyping &amp; Testing || Talent Acquisition || Tech Strategy &amp; Infrastructure || Product Development || Prototyping &amp; Testing || Talent Acquisition || Tech Strategy &amp; Infrastructure || Product Development || Prototyping &amp; Testing || Talent Acquisition || Tech Strategy &amp; Infrastructure || Product Development || Prototyping &amp; Testing || Talent Acquisition || Tech Strategy &amp; Infrastructure || Product Management</t>
  </si>
  <si>
    <t>Pharmaceuticals, Healthcare and Wellness || Pharmaceuticals, Healthcare and Wellness || Pharmaceuticals, Healthcare and Wellness || Pharmaceuticals, Healthcare and Wellness || Technology &amp; Innovation || Technology &amp; Innovation || Technology &amp; Innovation || Technology &amp; Innovation || Pharmaceuticals, Healthcare and Wellness || Pharmaceuticals, Healthcare and Wellness || Pharmaceuticals, Healthcare and Wellness || Pharmaceuticals, Healthcare and Wellness || Technology &amp; Innovation || Technology &amp; Innovation || Technology &amp; Innovation || Technology &amp; Innovation || Pharmaceuticals, Healthcare and Wellness || Pharmaceuticals, Healthcare and Wellness || Pharmaceuticals, Healthcare and Wellness || Pharmaceuticals, Healthcare and Wellness || Technology &amp; Innovation || Technology &amp; Innovation || Technology &amp; Innovation || Technology &amp; Innovation || Software &amp; IT Services</t>
  </si>
  <si>
    <t>Rishabh Gill</t>
  </si>
  <si>
    <t xml:space="preserve">CRO </t>
  </si>
  <si>
    <t>MasterMyLife EQ Education</t>
  </si>
  <si>
    <t>Rishabh Gill is an ICF-Certified Business Coach, Sales &amp; Business Growth Leader, and educator who helps individuals and organizations unlock their potential by combining human psychology with structured business systems. With over a decade of experience across sales leadership, teaching, and entrepreneurship, he has closed high-value deals, driven sustained revenue growth, and enabled international market expansion across 19 countries, including the US.
As a teacher and coach, Rishabh has mentored founders, professionals, and students through institutions such as IIT Bombay, Wadhwani Foundation, and AIC-SMU, supporting business and career growth with clarity and confidence. As an angel investor and startup mentor, he has advised 20+ organizations on go-to-market strategy, product-market fit, and fundraising, helping them scale toward long-term, sustainable growth.
Skillset
Sales Leadership &amp; High-Ticket Sales
Business Growth &amp; Revenue Strategy
ICF-Certified Coaching &amp; Mentorship
Go-to-Market Strategy &amp; Market Expansion
Product-Market Fit &amp; Fundraising Advisory
Leadership &amp; Management</t>
  </si>
  <si>
    <t>https://www.linkedin.com/in/rishabhgill/?original_referer=https%3A%2F%2Fwww%2Egoogle%2Ecom%2F&amp;originalSubdomain=in</t>
  </si>
  <si>
    <t>funding@multicrstartups.com, rishabh.gill@gmail.com</t>
  </si>
  <si>
    <t>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Angel Investing || Branding || Budgeting &amp; Financial Modeling || Fundraising || Go to Market Strategy || Investment Banking || Performance Management || Pitch coaching || Pricing Strategy || Process Optimization || Sales Strategy || Entrepreneurship Coaching || Investing</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</si>
  <si>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Sports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Sports || Sports || Sports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Fintech, Banking, Financial Services</t>
  </si>
  <si>
    <t>Rishav Agarwal</t>
  </si>
  <si>
    <t>Picxele</t>
  </si>
  <si>
    <t>Rishav Agarwal is the Founder of Picxele, a bootstrapped gig-worker and task-based platform that he launched in 2019 after identifying a critical gap between companies and student talent during his engineering studies at SRM IST. Starting with an offline operational model, he successfully generated early revenue before building Picxele into a scalable digital platform.
Over the past four years, Picxele has grown to 750K+ users, worked with 400+ companies, and achieved ₹10 Cr+ in cumulative revenue, all while remaining bootstrapped. Beyond building Picxele, Rishav is an active angel investor and mentor, having invested in 50+ startups and guided 100+ student-led startups through the Dhandho Fellowship. His work spans startups, gig economy enablement, and early-stage venture growth.
Skillset
Startup Building &amp; Scaling
Gig Economy &amp; Platform Operations
Early-Stage Startup Mentoring
Angel Investing &amp; Advisory
Project &amp; Operations Management
Market Research &amp; Growth Strategy</t>
  </si>
  <si>
    <t>https://www.linkedin.com/in/rishav-agarwal/</t>
  </si>
  <si>
    <t>rishav@picxele.com</t>
  </si>
  <si>
    <t>Angel Investing || Marketing || Sales Strategy || Angel Investing || Marketing || Sales Strategy || Angel Investing || Marketing || Sales Strategy || Angel Investing || Marketing || Sales Strategy || Angel Investing || Marketing || Sales Strategy || Angel Investing || Marketing || Sales Strategy || Social Media Marketing || Marketing &amp; Branding</t>
  </si>
  <si>
    <t>Consumer Products || Consumer Products || Consumer Products || FinTech || FinTech || FinTech || Retail &amp; e-Commerce || Retail &amp; e-Commerce || Retail &amp; e-Commerce || Consumer Products || Consumer Products || Consumer Products || FinTech || FinTech || FinTech || Retail &amp; e-Commerce || Retail &amp; e-Commerce || Retail &amp; e-Commerce || Software &amp; IT Services || Fintech, Banking, Financial Services</t>
  </si>
  <si>
    <t>Rishi Sharma</t>
  </si>
  <si>
    <t>Accelerator Lead</t>
  </si>
  <si>
    <t>Pilani Innovation &amp; Entrepreneurship Development Society</t>
  </si>
  <si>
    <t>Rishi S. is the CEO of IIT Jodhpur Technology and Innovation Support Centre (TISC), where he works closely with founders, funders, and futurists to support innovation, collaboration, and ecosystem development. His role focuses on enabling strategic partnerships, guiding business growth initiatives, and strengthening innovation-driven ventures through structured leadership and analysis.
Skillset
Business Development
Team Leadership
Strategic Partnerships
Business Analysis
Analytical &amp; Strategic Thinking</t>
  </si>
  <si>
    <t>https://www.linkedin.com/in/rishiadityash/</t>
  </si>
  <si>
    <t>Pilani</t>
  </si>
  <si>
    <t>rishiadityasharma@gmail.com
rishiadityasharma@pieds-bitspilani.org</t>
  </si>
  <si>
    <t>Branding || Business Model Development || Digital Marketing || Entity Formation || Exit Strategy Planning || Export || Fundraising || Go to Market Strategy || Growth Strategy Formulation || Market access || Market research || Marketing || Pitch coaching || Product Development || Prototyping &amp; Testing || Sales Strategy || Strategic Planning || Branding || Business Model Development || Digital Marketing || Entity Formation || Exit Strategy Planning || Export || Fundraising || Go to Market Strategy || Growth Strategy Formulation || Market access || Market research || Marketing || Pitch coaching || Product Development || Prototyping &amp; Testing || Sales Strategy || Strategic Planning || Branding || Business Model Development || Digital Marketing || Entity Formation || Exit Strategy Planning || Export || Fundraising || Go to Market Strategy || Growth Strategy Formulation || Market access || Market research || Marketing || Pitch coaching || Product Development || Prototyping &amp; Testing || Sales Strategy || Strategic Planning || Branding || Business Model Development || Digital Marketing || Entity Formation || Exit Strategy Planning || Export || Fundraising || Go to Market Strategy || Growth Strategy Formulation || Market access || Market research || Marketing || Pitch coaching || Product Development || Prototyping &amp; Testing || Sales Strategy || Strategic Planning || Branding || Business Model Development || Digital Marketing || Entity Formation || Exit Strategy Planning || Export || Fundraising || Go to Market Strategy || Growth Strategy Formulation || Market access || Market research || Marketing || Pitch coaching || Product Development || Prototyping &amp; Testing || Sales Strategy || Strategic Planning || Branding || Business Model Development || Digital Marketing || Entity Formation || Exit Strategy Planning || Export || Fundraising || Go to Market Strategy || Growth Strategy Formulation || Market access || Market research || Marketing || Pitch coaching || Product Development || Prototyping &amp; Testing || Sales Strategy || Strategic Planning || Entrepreneurship Coaching || Business Finance</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</si>
  <si>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FinTech || FinTech || FinTech || FinTech || FinTech || FinTech || FinTech || FinTech || FinTech || FinTech || FinTech || FinTech || FinTech || FinTech || FinTech || FinTech || FinTech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Education &amp; Training</t>
  </si>
  <si>
    <t>Rohit Taneja</t>
  </si>
  <si>
    <t>Decentro technologies</t>
  </si>
  <si>
    <t>Summary:&lt;/strong&gt;&lt;/p&gt;&lt;p&gt;Rohit is a serial entrepreneur with over 10 years of experience in payments, banking, and blockchain. Driven by a mission to solve some of the world's toughest problems, Rohit has a passion for creating impactful, technology-driven solutions. His deep expertise and leadership have led to the founding of successful ventures that are at the forefront of digital transformation, including Decentro, a company designed to empower businesses with seamless and cost-effective banking infrastructure.&lt;/p&gt;&lt;p&gt;&lt;br&gt;&lt;/p&gt;Core Expertise:&lt;/strong&gt;&lt;/p&gt;&lt;ul&gt;&lt;li&gt;&lt;strong&gt;Digital Payments:&lt;/strong&gt; Rohit aims to make sending money as seamless as sending a message, focusing on reducing friction and enabling faster, more secure transactions.&lt;/li&gt;&lt;li&gt;&lt;strong&gt;Blockchain:&lt;/strong&gt; With a vision to demystify blockchain technology, Rohit helps businesses harness its potential to create more efficient, transparent systems.&lt;/li&gt;&lt;li&gt;&lt;strong&gt;Sustainability &amp;amp; Climate:&lt;/strong&gt; Rohit is committed to working on sustainable solutions that ensure all geographies support life in a responsible manner, focusing on the future of our planet.&lt;/li&gt;&lt;li&gt;&lt;strong&gt;FinTech &amp;amp; Banking Infrastructure:&lt;/strong&gt; His work has empowered businesses to achieve 10X faster go-to-market timelines, significantly reduce operational costs, and lower customer acquisition expenses.&lt;/li&gt;&lt;/ul&gt;&lt;p&gt;&lt;br&gt;&lt;/p&gt;Impactful Projects:&lt;/strong&gt;&lt;/p&gt;&lt;ul&gt;&lt;li&gt;&lt;strong&gt;Founder @DecentroTech:&lt;/strong&gt; Built a pandemic-incepted venture providing robust, reliable, and cost-effective banking infrastructure, accelerating business growth and reducing costs by over 90%.&lt;/li&gt;&lt;li&gt;&lt;strong&gt;Ex-Founder @mypoolin (Exited to PayU):&lt;/strong&gt; Successfully built and exited a fintech venture that revolutionized the peer-to-peer payment space.&lt;/li&gt;&lt;/ul&gt;&lt;p&gt;&lt;br&gt;&lt;/p&gt;Problem-Solving Approach:&lt;/strong&gt;&lt;/p&gt;&lt;p&gt;Rohit believes in laying a strong foundation through culture and knowledge, ensuring that technology ventures succeed with the right mindset. His approach combines polymathic learning with hands-on experience, focusing on the future of digital payments, blockchain, and sustainability.&lt;/p&gt;&lt;p&gt;&lt;br&gt;&lt;/p&gt;Consultation Style:&lt;/strong&gt;&lt;/p&gt;&lt;p&gt;Rohit brings a practical, solution-oriented perspective, particularly in fintech, blockchain, and sustainability. His entrepreneurial spirit, combined with technical expertise, enables him to offer insightful guidance that drives meaningful change.&lt;/p&gt;</t>
  </si>
  <si>
    <t>https://www.linkedin.com/in/rohit-taneja-69b30b13</t>
  </si>
  <si>
    <t>rohit@decentro.tech</t>
  </si>
  <si>
    <t>Product Development || Product Development || Product Management || IT Consulting</t>
  </si>
  <si>
    <t>Banking &amp; Financial Services || FinTech || Fintech, Banking, Financial Services || Consumer Products</t>
  </si>
  <si>
    <t>Roushan Kumar</t>
  </si>
  <si>
    <t>President</t>
  </si>
  <si>
    <t>TARUDHAIRYA DIGITAL &amp; TARUDHAIRTA LIFE SCIENCES PRIVATE LIMITED</t>
  </si>
  <si>
    <t>Summary:&lt;/strong&gt;&lt;/p&gt;&lt;p&gt;Roushan is a dedicated Health &amp;amp; Wellness Enthusiast, Business Development Strategist, and Startup Advisor with a robust educational background, including an Executive MBA in Finance from IIT Patna and a Senior Management Program from IIM Kozhikode. His career is marked by significant roles in business development and leadership, including his position as a startup Mentor at Wadhwani Foundation. Roushan is passionate about driving growth and positive change in the Health &amp;amp; Wellness sector and is committed to contributing to the startup ecosystem. His expertise and enthusiasm make him a valuable partner for fostering industry advancements and impactful collaborations.&lt;/p&gt;&lt;p&gt;&lt;br&gt;&lt;/p&gt;Key Areas of Expertise:&lt;/strong&gt;&lt;/p&gt;&lt;ul&gt;&lt;li&gt;&lt;strong&gt;Health &amp;amp; Wellness&lt;/strong&gt;: Deep passion and knowledge in the field, focusing on promoting growth and positive industry change.&lt;/li&gt;&lt;li&gt;&lt;strong&gt;Business Development&lt;/strong&gt;: Skilled in developing and implementing strategies to drive business growth and success.&lt;/li&gt;&lt;li&gt;&lt;strong&gt;Startup Mentoring&lt;/strong&gt;: Experience in guiding and advising startups, particularly through roles at Wadhwani Foundation.&lt;/li&gt;&lt;li&gt;&lt;strong&gt;Leadership &amp;amp; Management&lt;/strong&gt;: Strong background in leadership positions with a focus on business development and management.&lt;/li&gt;&lt;/ul&gt;&lt;p&gt;&lt;br&gt;&lt;/p&gt;Strategic Contributions:&lt;/strong&gt;&lt;/p&gt;&lt;ul&gt;&lt;li&gt;&lt;strong&gt;Industry Growth&lt;/strong&gt;: Contributed to the advancement of the Health &amp;amp; Wellness sector through strategic business development and mentoring.&lt;/li&gt;&lt;li&gt;&lt;strong&gt;Startup Ecosystem&lt;/strong&gt;: Provided valuable guidance to startups, enhancing their growth and impact within the industry.&lt;/li&gt;&lt;li&gt;&lt;strong&gt;Leadership Impact&lt;/strong&gt;: Leveraged leadership skills to drive organizational success and strategic initiatives.&lt;/li&gt;&lt;/ul&gt;&lt;p&gt;&lt;br&gt;&lt;/p&gt;Mentorship Philosophy:&lt;/strong&gt;&lt;/p&gt;&lt;p&gt;Roushan believes in fostering growth and positive change by leveraging his expertise in business development and health &amp;amp; wellness. He emphasizes collaborative efforts and strategic guidance to help startups and organizations thrive, focusing on creating impactful and sustainable advancements in the industry.&lt;/p&gt;&lt;p&gt;&lt;br&gt;&lt;/p&gt;Success Stories:&lt;/strong&gt;&lt;/p&gt;&lt;ul&gt;&lt;li&gt;&lt;strong&gt;Health &amp;amp; Wellness Impact&lt;/strong&gt;: Successfully contributed to growth and positive change within the Health &amp;amp; Wellness sector.&lt;/li&gt;&lt;li&gt;&lt;strong&gt;Startup Mentoring&lt;/strong&gt;: Played a crucial role in mentoring startups, aiding their development and success.&lt;/li&gt;&lt;li&gt;&lt;strong&gt;Leadership Achievements&lt;/strong&gt;: Demonstrated strong leadership in business development and management roles, driving organizational success and strategic initiatives.&lt;/li&gt;&lt;/ul&gt;</t>
  </si>
  <si>
    <t>https://www.linkedin.com/in/roushan-kumar-ba71586</t>
  </si>
  <si>
    <t>roushan@medrechaincode.in</t>
  </si>
  <si>
    <t>Business Model Development || Go to Market Strategy || Organizational Development || Business Model Development || Go to Market Strategy || Organizational Development || Business Model Development || Go to Market Strategy || Organizational Development || Go to Market Strategy || Marketing &amp; Branding</t>
  </si>
  <si>
    <t>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Software &amp; IT Services</t>
  </si>
  <si>
    <t>Sai Abhinay Chepuri</t>
  </si>
  <si>
    <t>Startup Innovation</t>
  </si>
  <si>
    <t>T-Hub</t>
  </si>
  <si>
    <t>Sai Abhinay Chepuri is a visionary leader working at the intersection of digital transformation, public policy, corporate affairs, and innovation. His work focuses on translating forward-looking policies into actionable technology solutions that drive measurable impact across both urban and rural ecosystems in India.
He has led digital initiatives using AI, automation, and IoT, influenced technology and entrepreneurship policy at national and local levels, and built cross-sector partnerships to enable responsible innovation. As an ecosystem builder, Sai has mentored founders, supported startup growth, and contributed to the development of university incubators. A TEDx speaker and UN honoree, he is deeply committed to inclusive, data-driven strategies that advance India’s digital future. 
Skillset
Digital Transformation &amp; Innovation Strategy
Public Policy &amp; Regulatory Engagement
Ecosystem &amp; Startup Development
Strategic Consulting
Corporate Affairs &amp; Partnerships
Public Speaking &amp; Thought Leadership</t>
  </si>
  <si>
    <t>https://www.linkedin.com/in/saiabhinaychepuri/</t>
  </si>
  <si>
    <t>siabhinaychepuri@gmail.com</t>
  </si>
  <si>
    <t>Business Model Development || Market research || Prototyping &amp; Testing || Public speaking || Research Partnerships || Strategic Planning || Business Model Development || Market research || Prototyping &amp; Testing || Public speaking || Research Partnerships || Strategic Planning || Business Model Development || Market research || Prototyping &amp; Testing || Public speaking || Research Partnerships || Strategic Planning || Business Model Development || Market research || Prototyping &amp; Testing || Public speaking || Research Partnerships || Strategic Planning || Business Model Development || Market research || Prototyping &amp; Testing || Public speaking || Research Partnerships || Strategic Planning || Prototyping &amp; Testing || Entrepreneurship Coaching</t>
  </si>
  <si>
    <t>Education &amp; Training || Education &amp; Training || Education &amp; Training || Education &amp; Training || Education &amp; Training || Education &amp; Training || Media, Arts &amp; Entertainment || Media, Arts &amp; Entertainment || Media, Arts &amp; Entertainment || Media, Arts &amp; Entertainment || Media, Arts &amp; Entertainment || Media, Arts &amp; Entertainment || Others || Others || Others || Others || Others || Others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EdTech || Social &amp; Community Services</t>
  </si>
  <si>
    <t>Khamir Purohit</t>
  </si>
  <si>
    <t>Founder &amp; Director of LexiConn Content</t>
  </si>
  <si>
    <t>LexiConn Content</t>
  </si>
  <si>
    <t>Summary:&lt;/strong&gt;&lt;/p&gt;&lt;p&gt;Mr. Khamir is the &lt;strong&gt;Founder &lt;/strong&gt;and &lt;strong&gt;Director&lt;/strong&gt; of LexiConn, a content company established in 2009. With a diverse background spanning banking, instrumentation engineering, and retail management, he excels in building high-performance offshore teams for content development. Specializing in content strategy, offshore team management, and technology, Mr. Khamir has led LexiConn in delivering comprehensive content solutions, enhancing business differentiation through robust content operations. He advocates integrating content creation with industry trends in technology and AI, supporting startups through mentorship and peer collaboration. His approach emphasizes learning from experience and staying current to drive innovation and excellence.&lt;/p&gt;&lt;p&gt;&lt;br&gt;&lt;/p&gt;Key Areas of Expertise:&lt;/strong&gt;&lt;/p&gt;&lt;ul&gt;&lt;li&gt;Content Strategy and Development&lt;/li&gt;&lt;li&gt;Offshore Team Management&lt;/li&gt;&lt;li&gt;Entrepreneurship&lt;/li&gt;&lt;li&gt;Technology, SaaS, Martech, AI&lt;/li&gt;&lt;/ul&gt;&lt;p&gt;&lt;br&gt;&lt;/p&gt;Strategic Contributions:&lt;/strong&gt;&lt;/p&gt;&lt;ul&gt;&lt;li&gt;Established and led LexiConn to provide comprehensive content solutions, focusing on enabling tech businesses to scale through robust content operations.&lt;/li&gt;&lt;li&gt;Advocates for the integration of content creation to enhance business differentiation and credibility, leveraging deep industry knowledge in technology and AI.&lt;/li&gt;&lt;/ul&gt;&lt;p&gt;&lt;br&gt;&lt;/p&gt;Mentorship Philosophy:&lt;/strong&gt;&lt;/p&gt;&lt;ul&gt;&lt;li&gt;Emphasizes learning from experience, mentorship, and peer collaboration to support startups and foster professional growth.&lt;/li&gt;&lt;li&gt;Believes in sharing knowledge and staying updated with industry trends to drive innovation and excellence in content creation.&lt;/li&gt;&lt;/ul&gt;</t>
  </si>
  <si>
    <t>https://www.linkedin.com/in/khamirpurohit/</t>
  </si>
  <si>
    <t>khamir@lexiconn.in</t>
  </si>
  <si>
    <t>Deep Tech (Blockchain, AI, Robotics, AR/VR) || Software Development || Tech Strategy &amp; Infrastructure || Training &amp; Development || Marketing &amp; Branding || Content Strategy</t>
  </si>
  <si>
    <t>Services || Services || Services || Services || Media, Arts &amp; Entertainment</t>
  </si>
  <si>
    <t>Samrat Kishor</t>
  </si>
  <si>
    <t>GoldNext Ventures</t>
  </si>
  <si>
    <t>Summary&lt;/strong&gt;&lt;/p&gt;&lt;p&gt;Mr. Samrat is a results-driven technology risk professional with extensive experience in cybersecurity, GRC, and emerging technologies such as blockchain. He has a strong track record in delivering complex audit and attestation engagements, leading digital transformation initiatives, and building high-performing teams. As a mentor to startups, he leverages his entrepreneurial insights to guide their growth and success. His expertise spans technology risk management, program management, and regulatory compliance. Passionate about driving business transformation, Mr. Samrat thrives on solving complex challenges and enabling organizations to navigate the dynamic technology landscape with strategic thinking and hands-on execution.&lt;/p&gt;&lt;p&gt;&lt;br&gt;&lt;/p&gt;Core Expertise&lt;/strong&gt;&lt;/p&gt;&lt;ul&gt;&lt;li&gt;Technology Risk Management&lt;/li&gt;&lt;li&gt;Cybersecurity&lt;/li&gt;&lt;li&gt;GRC (Governance, Risk, and Compliance)&lt;/li&gt;&lt;li&gt;Blockchain&lt;/li&gt;&lt;li&gt;Audit &amp;amp; Attestation&lt;/li&gt;&lt;li&gt;Program Management&lt;/li&gt;&lt;li&gt;Practice Management&lt;/li&gt;&lt;li&gt;Team Building &amp;amp; Coaching&lt;/li&gt;&lt;li&gt;Emerging Technologies&lt;/li&gt;&lt;li&gt;Regulatory Compliance&lt;/li&gt;&lt;li&gt;Strategic Planning&lt;/li&gt;&lt;/ul&gt;&lt;p&gt;&lt;br&gt;&lt;/p&gt;Problem Solving Approach&lt;/strong&gt;&lt;/p&gt;&lt;ul&gt;&lt;li&gt;Strategic and Hands-On Execution: Combines strategic thinking with practical execution to navigate uncertainty and deliver impactful results.&lt;/li&gt;&lt;li&gt;Collaboration: Works closely with clients and stakeholders to solve complex challenges in technology risk management.&lt;/li&gt;&lt;/ul&gt;&lt;p&gt;&lt;br&gt;&lt;/p&gt;Impactful Projects&lt;/strong&gt;&lt;/p&gt;&lt;ul&gt;&lt;li&gt;Audit and Attestation Engagements: Delivered multiple complex audits ensuring compliance with industry standards such as SOC 1, SOC 2, GDPR, and ISO 27001.&lt;/li&gt;&lt;li&gt;GRC Practice Leadership: Led GRC practice, managed Security Operations Center services, and established key partnerships.&lt;/li&gt;&lt;li&gt;Digital Transformation Initiatives: Spearheaded initiatives leveraging blockchain to drive innovation and efficiency in business operations.&lt;/li&gt;&lt;li&gt;Startup Mentorship: Mentored startups, sharing insights and guiding them towards growth and success.&lt;/li&gt;&lt;/ul&gt;&lt;p&gt;&lt;br&gt;&lt;/p&gt;Consulting Style&lt;/strong&gt;&lt;/p&gt;&lt;ul&gt;&lt;li&gt;Entrepreneurial Mentorship: As a mentor in the Startup India Program, he brings a unique entrepreneurial perspective, focusing on resilience, adaptability, and a positive mindset in overcoming challenges.&lt;/li&gt;&lt;li&gt;Business Transformation Focus: Passionate about driving business transformation and enabling organizations to embrace opportunities in a dynamic technology landscape.&lt;/li&gt;&lt;/ul&gt;</t>
  </si>
  <si>
    <t>https://www.linkedin.com/in/samratkishor/</t>
  </si>
  <si>
    <t>samrat@goldennext.in</t>
  </si>
  <si>
    <t>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Deep Tech (Blockchain, AI, Robotics, AR/VR) || Tech Strategy &amp; Infrastructure || Go to Market Strategy || Legal and Compliance</t>
  </si>
  <si>
    <t>AI, Big Data &amp; Analytics || AI, Big Data &amp; Analytics || Banking &amp; Financial Services || Banking &amp; Financial Services || FinTech || FinTech || Professional &amp; Business Services || Professional &amp; Business Services || Services || Services || Technology &amp; Innovation || Technology &amp; Innovation || AI, Big Data &amp; Analytics || AI, Big Data &amp; Analytics || Banking &amp; Financial Services || Banking &amp; Financial Services || FinTech || FinTech || Professional &amp; Business Services || Professional &amp; Business Services || Services || Services || Technology &amp; Innovation || Technology &amp; Innovation || AI, Big Data &amp; Analytics || AI, Big Data &amp; Analytics || Banking &amp; Financial Services || Banking &amp; Financial Services || FinTech || FinTech || Professional &amp; Business Services || Professional &amp; Business Services || Services || Services || Technology &amp; Innovation || Technology &amp; Innovation || Software &amp; IT Services || Fintech, Banking, Financial Services</t>
  </si>
  <si>
    <t>Sanchita Mudgal</t>
  </si>
  <si>
    <t>Senior Manager - Wholesale Banking</t>
  </si>
  <si>
    <t>Kotak Mahindra Bank</t>
  </si>
  <si>
    <t>Finance professional specializing in startup banking with expertise in financial services and investment analysis. CFA Level III cleared candidate demonstrating advanced knowledge in financial markets and investment management. Currently working with Kotak Mahindra Bank's startup banking division, she brings strategic financial expertise to early-stage companies and entrepreneurs. Skills: Startup Banking, Financial Analysis, Investment Management, CFA Knowledge, Corporate Finance, Banking Operations, Risk Management, Financial Markets, Investment Advisory, Startup Finance.</t>
  </si>
  <si>
    <t>https://www.linkedin.com/in/sanchita-mudgal-3b831115b/</t>
  </si>
  <si>
    <t>mudgal.sanchita@gmail.com</t>
  </si>
  <si>
    <t>Audit &amp; Compliance || Audit &amp; Compliance || Audit &amp; Compliance || Audit &amp; Compliance || Legal and Compliance</t>
  </si>
  <si>
    <t>Banking &amp; Financial Services || FinTech || Banking &amp; Financial Services || FinTech || Fintech, Banking, Financial Services</t>
  </si>
  <si>
    <t>Abhishek Gupta</t>
  </si>
  <si>
    <t>GoMedicx</t>
  </si>
  <si>
    <t>Summary&lt;/strong&gt;&lt;/p&gt;&lt;p&gt;Abhishek Gupta is a startup consultant, investment professional, and business model expert based in Jaipur. He has over 10 years of experience in the startup ecosystem, having engaged with more than 3,000 entrepreneurs and currently working with the Wadhwani Foundation.&lt;/p&gt;&lt;p&gt;&lt;br&gt;&lt;/p&gt;Key Areas of Expertise&lt;/strong&gt;&lt;/p&gt;&lt;ul&gt;&lt;li&gt;Startup consulting&lt;/li&gt;&lt;li&gt;Investment program management&lt;/li&gt;&lt;li&gt;Business model development&lt;/li&gt;&lt;li&gt;Pitch review and presentation refinement&lt;/li&gt;&lt;li&gt;Understanding of funding schemes and opportunities&lt;/li&gt;&lt;/ul&gt;&lt;p&gt;&lt;br&gt;&lt;/p&gt;Strategic Contributions&lt;/strong&gt;&lt;/p&gt;&lt;ul&gt;&lt;li&gt;Advised over 250 startups on their investment needs, with 10% successfully raising funds&lt;/li&gt;&lt;li&gt;Assisted over 400 startups in three months at Wadhwani Foundation by offering pitch reviews and refining their presentations&lt;/li&gt;&lt;/ul&gt;&lt;p&gt;&lt;br&gt;&lt;/p&gt;Mentorship Philosophy&lt;/strong&gt;&lt;/p&gt;&lt;ul&gt;&lt;li&gt;Belief in the importance of a strong foundation and clear strategy for successful ventures&lt;/li&gt;&lt;li&gt;Passion for mentoring startups to develop compelling pitches and robust business models&lt;/li&gt;&lt;/ul&gt;&lt;p&gt;&lt;br&gt;&lt;/p&gt;Success Stories&lt;/strong&gt;&lt;/p&gt;&lt;p&gt;10% of advised startups succeeded in raising funds through different schemes&lt;/p&gt;</t>
  </si>
  <si>
    <t>https://www.linkedin.com/in/abhiskype/</t>
  </si>
  <si>
    <t>abhi.skype@gmail.com</t>
  </si>
  <si>
    <t>Angel Investing || Business Model Development || Product Development || Strategic Planning || Angel Investing || Business Model Development || Product Development || Strategic Planning || Angel Investing || Business Model Development || Product Development || Strategic Planning || Angel Investing || Business Model Development || Product Development || Strategic Planning || Angel Investing || Business Model Development || Product Development || Strategic Planning || Angel Investing || Business Model Development || Product Development || Strategic Planning || Angel Investing || Business Model Development || Product Development || Strategic Planning || Angel Investing || Business Model Development || Product Development || Strategic Planning || Entrepreneurship Coaching || Investing</t>
  </si>
  <si>
    <t>CleanTech || CleanTech || CleanTech || CleanTech || Pharmaceuticals, Healthcare and Wellness || Pharmaceuticals, Healthcare and Wellness || Pharmaceuticals, Healthcare and Wellness || Pharmaceuticals, Healthcare and Wellness || Services || Services || Services || Services || Social &amp; Community Services || Social &amp; Community Services || Social &amp; Community Services || Social &amp; Community Services || CleanTech || CleanTech || CleanTech || CleanTech || Pharmaceuticals, Healthcare and Wellness || Pharmaceuticals, Healthcare and Wellness || Pharmaceuticals, Healthcare and Wellness || Pharmaceuticals, Healthcare and Wellness || Services || Services || Services || Services || Social &amp; Community Services || Social &amp; Community Services || Social &amp; Community Services || Social &amp; Community Services || Pharmaceuticals, Healthcare and Wellness || Venture Funding</t>
  </si>
  <si>
    <t>Sandip Takwani</t>
  </si>
  <si>
    <t>Assistant Manager</t>
  </si>
  <si>
    <t xml:space="preserve"> Karnavati Innovation and Incubation Foundation</t>
  </si>
  <si>
    <t>Sandip Takwani is an innovation consultant and ecosystem enabler with over 5 years of experience supporting startups, student innovators, and academic ecosystems. With an M.Tech from Nirma University, he works at Karnavati University’s Incubation Centre (KIIF), where he leads initiatives integrating innovation, entrepreneurship, design thinking, and policy implementation.
His work focuses on mentoring early-stage founders, facilitating government grants, and building structured innovation ecosystems that transform ideas into market-ready ventures. As Convenor for programmes such as the Institution’s Innovation Council (IIC) and Student Startup &amp; Innovation Policy (SSIP), he actively bridges academia, industry, and government. A certified Design Thinking practitioner (EPICS – Purdue University), Sandip has mentored 50+ student projects and contributed to national and international innovation forums.
Skillset
Startup &amp; Innovation Ecosystem Development
Design Thinking &amp; Human-Centered Innovation
Founder Mentorship &amp; Incubation
Government Grants &amp; Policy Implementation
Project &amp; Programme Management
Academic–Industry–Government Collaboration</t>
  </si>
  <si>
    <t>https://www.linkedin.com/in/sandip-takwani-595998184/</t>
  </si>
  <si>
    <t>sandip.takwani@gmail.com</t>
  </si>
  <si>
    <t>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Branding || Business Model Development || Compliance Assistance || Customer Experience Optimization || Digital Marketing || Fundraising || Go to Market Strategy || Government Funding || Growth Strategy Formulation || IP Management || Market access || Pitch coaching || Product Development || Prototyping &amp; Testing || Public speaking || Sales Strategy || Entrepreneurship Coaching</t>
  </si>
  <si>
    <t>CleanTech || CleanTech || CleanTech || CleanTech || CleanTech || CleanTech || CleanTech || CleanTech || CleanTech || CleanTech || CleanTech || CleanTech || CleanTech || CleanTech || CleanTech || CleanTech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Others || Others || Others || Others || Others || Others || Others || Others || Others || Others || Others || Others || Others || Others || Others || Others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Education &amp; Training</t>
  </si>
  <si>
    <t>Sanjay Kale</t>
  </si>
  <si>
    <t>Stack Identity</t>
  </si>
  <si>
    <t>Summary&lt;/strong&gt;&lt;/p&gt;&lt;p&gt;Sanjay is a technology executive with extensive experience in building and scaling Product Management development teams. He has strong interpersonal skills and a forward-thinking approach with substantial domain knowledge. He has successfully exited startups as a Founder/co-Founder and specializes in Security, Data Protection, Cloud, and Storage Management.&lt;/p&gt;&lt;p&gt;&lt;br&gt;&lt;/p&gt;&lt;p&gt;Currently he is a co-Founder and CPO at Stack Identity.&lt;/p&gt;&lt;p&gt;&lt;br&gt;&lt;/p&gt;Key Areas of Expertise&lt;/strong&gt;&lt;/p&gt;&lt;ul&gt;&lt;li&gt;Product Management Strategy and Execution&lt;/li&gt;&lt;li&gt;Security, Data Protection, Storage&lt;/li&gt;&lt;li&gt;SaaS, Cloud&lt;/li&gt;&lt;/ul&gt;&lt;p&gt;&lt;br&gt;&lt;/p&gt;Success Stories&lt;/strong&gt;&lt;/p&gt;&lt;ul&gt;&lt;li&gt;Successful exits from startups as Founder/co-Founder&lt;/li&gt;&lt;/ul&gt;</t>
  </si>
  <si>
    <t>https://www.linkedin.com/in/sakale/</t>
  </si>
  <si>
    <t>sanjay.kale@gmail.com</t>
  </si>
  <si>
    <t>Design &amp; Engineering</t>
  </si>
  <si>
    <t>Angel Investing || Data Analytics || ESOPs || Go to Market Strategy || Pitch coaching || Product Development || Prototyping &amp; Testing || Software Development || Strategic Planning || Tech Strategy &amp; Infrastructure || UI/UX Design || Angel Investing || Data Analytics || ESOPs || Go to Market Strategy || Pitch coaching || Product Development || Prototyping &amp; Testing || Software Development || Strategic Planning || Tech Strategy &amp; Infrastructure || UI/UX Design || Angel Investing || Data Analytics || ESOPs || Go to Market Strategy || Pitch coaching || Product Development || Prototyping &amp; Testing || Software Development || Strategic Planning || Tech Strategy &amp; Infrastructure || UI/UX Design || IT Consulting || Product Management Management</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</si>
  <si>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FinTech || FinTech || FinTech || FinTech || FinTech || FinTech || FinTech || FinTech || FinTech || FinTech || FinTech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Software &amp; IT Services</t>
  </si>
  <si>
    <t>Sanjay Kapoor</t>
  </si>
  <si>
    <t>Professor of Practice in Entrepreneurship</t>
  </si>
  <si>
    <t>Manav Rachna International Institute of Research &amp; Studies</t>
  </si>
  <si>
    <t>Summary:&lt;/strong&gt;&lt;/p&gt;&lt;p&gt;Sanjay is a seasoned serial entrepreneur with a rich career spanning multiple industries including Textile Fabric Manufacturing, Telecom, IT Education and Training, Computer Laboratory Management, Immigration, Franchising, and Business Sales. With a strong background in running and managing diverse ventures, Sanjay brings extensive experience as an Entrepreneurship Educator and Startup Mentor. His expertise extends to helping individuals buy and sell businesses and franchises, and he has a proven track record of successfully operating franchise businesses.&lt;/p&gt;&lt;p&gt;&lt;br&gt;&lt;/p&gt;Key Areas of Expertise:&lt;/strong&gt;&lt;/p&gt;&lt;ul&gt;&lt;li&gt;&lt;strong&gt;Entrepreneurship:&lt;/strong&gt; Broad experience across various sectors, from textiles to IT and franchising.&lt;/li&gt;&lt;li&gt;&lt;strong&gt;Business Transactions:&lt;/strong&gt; Expertise in buying, selling, and franchising businesses.&lt;/li&gt;&lt;li&gt;&lt;strong&gt;Franchising:&lt;/strong&gt; Successful experience as a franchise business owner multiple times.&lt;/li&gt;&lt;li&gt;&lt;strong&gt;Mentorship and Education:&lt;/strong&gt; Guiding startups and teaching entrepreneurship to university students and professors.&lt;/li&gt;&lt;/ul&gt;&lt;p&gt;&lt;br&gt;&lt;/p&gt;Strategic Contributions:&lt;/strong&gt;&lt;/p&gt;&lt;ul&gt;&lt;li&gt;&lt;strong&gt;Diverse Ventures:&lt;/strong&gt; Managed and scaled businesses in multiple industries, demonstrating adaptability and strategic acumen.&lt;/li&gt;&lt;li&gt;&lt;strong&gt;Business Sales and Franchising:&lt;/strong&gt; Assisted numerous clients in buying and selling businesses and franchises, providing valuable insights and guidance.&lt;/li&gt;&lt;li&gt;&lt;strong&gt;Entrepreneurship Education:&lt;/strong&gt; Delivered mentorship and education on entrepreneurship, shaping the next generation of business leaders.&lt;/li&gt;&lt;/ul&gt;&lt;p&gt;&lt;br&gt;&lt;/p&gt;Mentorship Philosophy:&lt;/strong&gt;&lt;/p&gt;&lt;p&gt;Sanjay’s mentorship approach is centered on practical experience and strategic guidance. He leverages his diverse entrepreneurial background to provide actionable insights and support to startups. His philosophy emphasizes the importance of hands-on experience, strategic thinking, and a clear understanding of market dynamics to achieve business success.&lt;/p&gt;</t>
  </si>
  <si>
    <t>https://www.linkedin.com/in/kapoorsanjay/</t>
  </si>
  <si>
    <t>sanjaykapoordelhi@gmail.com</t>
  </si>
  <si>
    <t>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Business Model Development || Fundraising || Go to Market Strategy || Entrepreneurship Coaching || Teaching</t>
  </si>
  <si>
    <t>Agriculture &amp; Food Processing || Agriculture &amp; Food Processing || Agriculture &amp; Food Processing || Automobiles &amp; Auto Components || Automobiles &amp; Auto Components || Automobiles &amp; Auto Components || CleanTech || CleanTech || CleanTech || Education &amp; Training || Education &amp; Training || Education &amp; Training || Energy &amp; Renewable Resources || Energy &amp; Renewable Resources || Energy &amp; Renewable Resources || Pharmaceuticals, Healthcare and Wellness || Pharmaceuticals, Healthcare and Wellness || Pharmaceuticals, Healthcare and Wellness || Real Estate &amp; Construction || Real Estate &amp; Construction || Real Estate &amp; Construction || Retail &amp; e-Commerce || Retail &amp; e-Commerce || Retail &amp; e-Commerce || Services || Services || Services || Technology &amp; Innovation || Technology &amp; Innovation || Technology &amp; Innovation || Agriculture &amp; Food Processing || Agriculture &amp; Food Processing || Agriculture &amp; Food Processing || Automobiles &amp; Auto Components || Automobiles &amp; Auto Components || Automobiles &amp; Auto Components || CleanTech || CleanTech || CleanTech || Education &amp; Training || Education &amp; Training || Education &amp; Training || Energy &amp; Renewable Resources || Energy &amp; Renewable Resources || Energy &amp; Renewable Resources || Pharmaceuticals, Healthcare and Wellness || Pharmaceuticals, Healthcare and Wellness || Pharmaceuticals, Healthcare and Wellness || Real Estate &amp; Construction || Real Estate &amp; Construction || Real Estate &amp; Construction || Retail &amp; e-Commerce || Retail &amp; e-Commerce || Retail &amp; e-Commerce || Services || Services || Services || Technology &amp; Innovation || Technology &amp; Innovation || Technology &amp; Innovation || Agriculture &amp; Food Processing || Agriculture &amp; Food Processing || Agriculture &amp; Food Processing || Automobiles &amp; Auto Components || Automobiles &amp; Auto Components || Automobiles &amp; Auto Components || CleanTech || CleanTech || CleanTech || Education &amp; Training || Education &amp; Training || Education &amp; Training || Energy &amp; Renewable Resources || Energy &amp; Renewable Resources || Energy &amp; Renewable Resources || Pharmaceuticals, Healthcare and Wellness || Pharmaceuticals, Healthcare and Wellness || Pharmaceuticals, Healthcare and Wellness || Real Estate &amp; Construction || Real Estate &amp; Construction || Real Estate &amp; Construction || Retail &amp; e-Commerce || Retail &amp; e-Commerce || Retail &amp; e-Commerce || Services || Services || Services || Technology &amp; Innovation || Technology &amp; Innovation || Technology &amp; Innovation || Education &amp; Training || Software &amp; IT Services</t>
  </si>
  <si>
    <t>Sanjay Kumar Patel</t>
  </si>
  <si>
    <t>Excelon IP</t>
  </si>
  <si>
    <t>Summary:&lt;/strong&gt;&lt;/p&gt;&lt;p&gt;Sanjay is a seasoned IP Attorney dedicated to helping individuals and businesses create sustainable wealth through strategic intellectual property (IP) management. With deep expertise in IP evaluation and a robust understanding of IP law across multiple jurisdictions, Sanjay is uniquely positioned to unlock the true potential of inventions and creativity.&lt;/p&gt;&lt;p&gt;&lt;br&gt;&lt;/p&gt;Core Expertise:&lt;/strong&gt; Sanjay specializes in patent law, trademark law, copyright law, patent drafting and prosecution, IP portfolio management, and IP strategy. His services extend to IP due diligence, industrial design, and startup mentoring. He focuses on crafting IP strategies that protect innovations and leverage brand attributes to maximize impact.&lt;/p&gt;&lt;p&gt;&lt;br&gt;&lt;/p&gt;Problem-Solving Approach:&lt;/strong&gt;&lt;/p&gt;&lt;p&gt;Sanjay adopts a comprehensive approach to IP management, guiding clients through the intricacies of patent prosecution and negotiating infringement matters. He emphasizes the importance of understanding local and global IP laws to ensure that innovations thrive in diverse markets. His collaborative and empowering approach ensures that clients receive tailored solutions that align with their business goals.&lt;/p&gt;&lt;p&gt;&lt;br&gt;&lt;/p&gt;Impactful Projects:&lt;/strong&gt;&lt;/p&gt;&lt;p&gt;Throughout his career, Sanjay has successfully crafted winning IP strategies that have safeguarded and monetized numerous inventions and innovations. His leadership in IP law has enabled clients to navigate complex legal landscapes, leading to significant value creation and sustainable business growth.&lt;/p&gt;&lt;p&gt;&lt;br&gt;&lt;/p&gt;Consultation Style:&lt;/strong&gt;&lt;/p&gt;&lt;p&gt;Sanjay believes in a collaborative approach, where he works closely with clients to strategize, innovate, and transform their intellectual property into a key driver of success. His interpersonal skills and leadership capabilities ensure a supportive and empowering experience, making him a trusted partner in the IP journey.&lt;/p&gt;</t>
  </si>
  <si>
    <t>https://www.linkedin.com/in/sanjaykumar-patel-excelonip</t>
  </si>
  <si>
    <t>sanjay@excelonip.com</t>
  </si>
  <si>
    <t>Contracts &amp; Agreements || Entity Formation || IP Management || Contracts &amp; Agreements || Entity Formation || IP Management || Contracts &amp; Agreements || Entity Formation || IP Management || Contracts &amp; Agreements || Entity Formation || IP Management || Contracts &amp; Agreements || Entity Formation || IP Management || Contracts &amp; Agreements || Entity Formation || IP Management || Legal and Compliance || Intellectual Property Advisory</t>
  </si>
  <si>
    <t>Agriculture &amp; Food Processing || Agriculture &amp; Food Processing || Agriculture &amp; Food Processing || AI, Big Data &amp; Analytics || AI, Big Data &amp; Analytics || AI, Big Data &amp; Analytics || Pharmaceuticals, Healthcare and Wellness || Pharmaceuticals, Healthcare and Wellness || Pharmaceuticals, Healthcare and Wellness || Agriculture &amp; Food Processing || Agriculture &amp; Food Processing || Agriculture &amp; Food Processing || AI, Big Data &amp; Analytics || AI, Big Data &amp; Analytics || AI, Big Data &amp; Analytics || Pharmaceuticals, Healthcare and Wellness || Pharmaceuticals, Healthcare and Wellness || Pharmaceuticals, Healthcare and Wellness || Legal Services</t>
  </si>
  <si>
    <t>Sanjay Mehta</t>
  </si>
  <si>
    <t>MFA</t>
  </si>
  <si>
    <t>Summary&lt;/strong&gt;&lt;/p&gt;&lt;p&gt;Sanjay is a seasoned business leader with over 35 years of experience, spanning traditional engineering, e-commerce, and digital marketing. He has co-founded successful ventures, focusing on driving growth through digital innovation. As a serial entrepreneur and mentor, he helps mid-sized companies and startups scale by offering strategic advisory and mentorship. Sanjay also shares his expertise as a guest faculty and speaker. He specializes in business development, digital transformation, and growth leadership.&lt;/p&gt;&lt;p&gt;&lt;br&gt;&lt;/p&gt;Key Areas of Expertise&lt;/strong&gt;&lt;/p&gt;&lt;ul&gt;&lt;li&gt;Business Development&lt;/li&gt;&lt;li&gt;Digital Technology&lt;/li&gt;&lt;li&gt;Business Strategy&lt;/li&gt;&lt;li&gt;Revenue &amp;amp; Profit Growth&lt;/li&gt;&lt;/ul&gt;&lt;p&gt;&lt;br&gt;&lt;/p&gt;Strategic Contributions&lt;/strong&gt;&lt;/p&gt;&lt;ul&gt;&lt;li&gt;Co-founded and scaled Mirum Digital into a leading digital marketing company&lt;/li&gt;&lt;li&gt;Led major digital strategies for brands like AMFI, HUL, Apollo Tyres, and Sanofi&lt;/li&gt;&lt;li&gt;Built and scaled one of India’s earliest e-commerce platforms, Homeindia.com&lt;/li&gt;&lt;li&gt;Guided Mirum’s acquisition by WPP Group and managed post-acquisition growth&lt;/li&gt;&lt;/ul&gt;&lt;p&gt;&lt;br&gt;&lt;/p&gt;Mentorship Philosophy&lt;/strong&gt;&lt;/p&gt;&lt;p&gt;Mentors startups, focusing on commercialization, marketing strategies, and business model optimization&lt;/p&gt;&lt;p&gt;Passionate about teaching and mentoring future leaders through guest lectures and advisory roles&lt;/p&gt;</t>
  </si>
  <si>
    <t>https://www.linkedin.com/in/spmehta/</t>
  </si>
  <si>
    <t>smehta63@gmail.com</t>
  </si>
  <si>
    <t>Customer Experience Optimization || Customer Relationship Management || Customer Service &amp; Retention || Data Analytics || Digital Marketing || E-commerce Management || Go to Market Strategy || Marketing || Performance Metrics || Sales Strategy || Customer Experience Optimization || Customer Relationship Management || Customer Service &amp; Retention || Data Analytics || Digital Marketing || E-commerce Management || Go to Market Strategy || Marketing || Performance Metrics || Sales Strategy || Customer Experience Optimization || Customer Relationship Management || Customer Service &amp; Retention || Data Analytics || Digital Marketing || E-commerce Management || Go to Market Strategy || Marketing || Performance Metrics || Sales Strategy || Customer Experience Optimization || Customer Relationship Management || Customer Service &amp; Retention || Data Analytics || Digital Marketing || E-commerce Management || Go to Market Strategy || Marketing || Performance Metrics || Sales Strategy || Customer Experience Optimization || Customer Relationship Management || Customer Service &amp; Retention || Data Analytics || Digital Marketing || E-commerce Management || Go to Market Strategy || Marketing || Performance Metrics || Sales Strategy || Customer Experience Optimization || Customer Relationship Management || Customer Service &amp; Retention || Data Analytics || Digital Marketing || E-commerce Management || Go to Market Strategy || Marketing || Performance Metrics || Sales Strategy || Customer Experience Optimization || Customer Relationship Management || Customer Service &amp; Retention || Data Analytics || Digital Marketing || E-commerce Management || Go to Market Strategy || Marketing || Performance Metrics || Sales Strategy || Customer Experience Optimization || Customer Relationship Management || Customer Service &amp; Retention || Data Analytics || Digital Marketing || E-commerce Management || Go to Market Strategy || Marketing || Performance Metrics || Sales Strategy || Business Model Development</t>
  </si>
  <si>
    <t>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Education &amp; Training || Education &amp; Training || Education &amp; Training || Education &amp; Training || Education &amp; Training || Education &amp; Training || Education &amp; Training || Education &amp; Training || Education &amp; Training || Education &amp; Training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Retail &amp; e-Commerce</t>
  </si>
  <si>
    <t>Sanjay Sharma</t>
  </si>
  <si>
    <t>Vice President Delivery</t>
  </si>
  <si>
    <t>SymphonyAI</t>
  </si>
  <si>
    <t>Summary:&lt;/strong&gt;&lt;/p&gt;&lt;p&gt;Sanjay is a dynamic and versatile Delivery Leader with extensive experience in managing large-scale delivery assignments across platforms and technologies. He excels in setting up and leading delivery teams, building domain and technology solution visions, and executing them at scale. Sanjay is noted for his expertise in modernizing engineering teams, creating sustainable Product Management development, and aligning technology solutions to enhance customer experience across various domains, including ERP, Retail, CRM, and emerging technologies like IoT, Mobility, and Cloud.&lt;/p&gt;&lt;p&gt;&lt;br&gt;&lt;/p&gt;Core Expertise:&lt;/strong&gt;&lt;/p&gt;&lt;ul&gt;&lt;li&gt;&lt;strong&gt;Domain Expertise:&lt;/strong&gt; In-depth knowledge of Connected Retail, Consumer, Supply Chain, Logistics, Retail, CRM, and Analytics.&lt;/li&gt;&lt;li&gt;&lt;strong&gt;Technology Leadership:&lt;/strong&gt; Expertise in cloud-first Product Management transformation across Microsoft and Java stacks for ISVs and enterprise customers.&lt;/li&gt;&lt;li&gt;&lt;strong&gt;Delivery Management:&lt;/strong&gt; Proficient in managing global teams of 100+ members, delivering both fixed-price and T&amp;amp;M projects for major clients like Dollar General, Carrefour, and SymphonyRetailAI.&lt;/li&gt;&lt;li&gt;&lt;strong&gt;Process Champion:&lt;/strong&gt; Skilled in Agile (Scrum, Kanban), TQM, and Waterfall methodologies.&lt;/li&gt;&lt;/ul&gt;&lt;p&gt;&lt;br&gt;&lt;/p&gt;Problem-Solving Approach:&lt;/strong&gt; Sanjay is passionate about leveraging technology to solve complex business challenges. He specializes in distributed delivery and program management, handling multiple digital transformation projects simultaneously. His approach is rooted in a deep understanding of business processes, particularly in supply chain and retail, ensuring that solutions are both innovative and aligned with customer needs.&lt;/p&gt;&lt;p&gt;&lt;br&gt;&lt;/p&gt;Impactful Projects:&lt;/strong&gt;&lt;/p&gt;&lt;ul&gt;&lt;li&gt;Managed large-scale digital transformation projects for global clients, including Dollar General, Carrefour, and Tesco.&lt;/li&gt;&lt;li&gt;Built ERP practice and established an Analytics &amp;amp; Mobility lab for Symphony Retail AI, leading to significant innovation and IP creation.&lt;/li&gt;&lt;li&gt;Holds patents in the CRM space, granted by the United States Patent and Trademark Office (USPTO).&lt;/li&gt;&lt;/ul&gt;&lt;p&gt;&lt;br&gt;&lt;/p&gt;Consultation Style:&lt;/strong&gt; Sanjay is a versatile and hands-on leader who thrives on collaboration and innovation. He engages closely with teams and clients to ensure that solutions are tailored to specific business needs, driving successful outcomes through a blend of strategic vision and practical execution.&lt;/p&gt;</t>
  </si>
  <si>
    <t>https://www.linkedin.com/in/sanjay-sharma28/</t>
  </si>
  <si>
    <t>sharmasanjay28@rediffmail.com</t>
  </si>
  <si>
    <t>Data Analytics || Organizational Development || Process Optimization || Supply Chain Management || Team building || Tech Strategy &amp; Infrastructure || Data Analytics || Organizational Development || Process Optimization || Supply Chain Management || Team building || Tech Strategy &amp; Infrastructure || Data Analytics || Organizational Development || Process Optimization || Supply Chain Management || Team building || Tech Strategy &amp; Infrastructure || Data Analytics || Organizational Development || Process Optimization || Supply Chain Management || Team building || Tech Strategy &amp; Infrastructure || Data Analytics || Organizational Development || Process Optimization || Supply Chain Management || Team building || Tech Strategy &amp; Infrastructure || Data Analytics || Organizational Development || Process Optimization || Supply Chain Management || Team building || Tech Strategy &amp; Infrastructure || Data Analytics || Organizational Development || Process Optimization || Supply Chain Management || Team building || Tech Strategy &amp; Infrastructure || Data Analytics || Organizational Development || Process Optimization || Supply Chain Management || Team building || Tech Strategy &amp; Infrastructure || Data Analytics || Organizational Development || Process Optimization || Supply Chain Management || Team building || Tech Strategy &amp; Infrastructure || Software Development || Supply Chain Management</t>
  </si>
  <si>
    <t>AI, Big Data &amp; Analytics || AI, Big Data &amp; Analytics || AI, Big Data &amp; Analytics || AI, Big Data &amp; Analytics || AI, Big Data &amp; Analytics || AI, Big Data &amp; Analytics || Consumer Products || Consumer Products || Consumer Products || Consumer Products || Consumer Products || Consumer Products || Retail &amp; e-Commerce || Retail &amp; e-Commerce || Retail &amp; e-Commerce || Retail &amp; e-Commerce || Retail &amp; e-Commerce || Retail &amp; e-Commerce || AI, Big Data &amp; Analytics || AI, Big Data &amp; Analytics || AI, Big Data &amp; Analytics || AI, Big Data &amp; Analytics || AI, Big Data &amp; Analytics || AI, Big Data &amp; Analytics || Consumer Products || Consumer Products || Consumer Products || Consumer Products || Consumer Products || Consumer Products || Retail &amp; e-Commerce || Retail &amp; e-Commerce || Retail &amp; e-Commerce || Retail &amp; e-Commerce || Retail &amp; e-Commerce || Retail &amp; e-Commerce || AI, Big Data &amp; Analytics || AI, Big Data &amp; Analytics || AI, Big Data &amp; Analytics || AI, Big Data &amp; Analytics || AI, Big Data &amp; Analytics || AI, Big Data &amp; Analytics || Consumer Products || Consumer Products || Consumer Products || Consumer Products || Consumer Products || Consumer Products || Retail &amp; e-Commerce || Retail &amp; e-Commerce || Retail &amp; e-Commerce || Retail &amp; e-Commerce || Retail &amp; e-Commerce || Retail &amp; e-Commerce || Deeptech</t>
  </si>
  <si>
    <t>Sanjay Singh</t>
  </si>
  <si>
    <t>Tiket.com</t>
  </si>
  <si>
    <t>Summary:&lt;/strong&gt;&lt;/p&gt;&lt;p&gt;Sanjay is a Product Management &amp;amp; Tech Executive with deep expertise in creating Internet-scale consumer Product Managements (SuperApps) powered by complex backend tech systems, providing personalization and recommendation through AI &amp;amp; ML systems built over diverse big data systems. Extensive experience in building startups from the ground up and running large and complex teams in large Product Management organizations in the Internet, multimedia, and telecom domains. Demonstrated outstanding problem-solving, mentoring, and general management skills.&lt;/p&gt;&lt;p&gt;&lt;br&gt;&lt;/p&gt;Key Areas of Expertise:&lt;/strong&gt;&lt;/p&gt;&lt;ul&gt;&lt;li&gt;Internet-scale consumer Product Managements (SuperApps)&lt;/li&gt;&lt;li&gt;Complex backend tech systems&lt;/li&gt;&lt;li&gt;Personalization and recommendation through AI &amp;amp; ML&lt;/li&gt;&lt;li&gt;Big data systems&lt;/li&gt;&lt;li&gt;Building startups&lt;/li&gt;&lt;li&gt;Running large and complex teams&lt;/li&gt;&lt;li&gt;Business and technology leadership&lt;/li&gt;&lt;li&gt;Big data, data science, and computer vision&lt;/li&gt;&lt;/ul&gt;&lt;p&gt;&lt;br&gt;&lt;/p&gt;Strategic Contributions:&lt;/strong&gt;&lt;/p&gt;&lt;p&gt;As a key Product Management engineering executive at Tiket, Sanjay has been instrumental in building and advancing the company's app, technology, data, and infrastructure. Previously, at Paytm Group, he played a pivotal role in scaling multiple Product Management engineering organizations, contributing to the development of a world-class SuperApp. His expertise extends to acquisition strategy and mergers and acquisitions (M&amp;amp;A), focusing on accelerated inorganic growth to enhance business capabilities and market presence.&lt;/p&gt;&lt;p&gt;&lt;br&gt;&lt;/p&gt;Mentorship Philosophy:&lt;/strong&gt;&lt;/p&gt;&lt;p&gt;Sanjay firmly believes that advancements in big data, data science, and computer vision will lead to unprecedented disruption across various sectors, including FinTech, healthcare, transportation, and beyond. He is passionate about harnessing these technologies to revolutionize industries and uncover new opportunities, fostering innovation and progress in areas yet to be disrupted.&lt;/p&gt;</t>
  </si>
  <si>
    <t>https://www.linkedin.com/in/sanjaysinghiitr</t>
  </si>
  <si>
    <t>sunjaysin@gmail.com</t>
  </si>
  <si>
    <t>Business Model Development</t>
  </si>
  <si>
    <t>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Business Model Development || Customer Relationship Management || Data Analytics || Deep Tech (Blockchain, AI, Robotics, AR/VR) || ESOPs || Fundraising || Go to Market Strategy || Market research || Media and PR || Pricing Strategy || Product Development || Prototyping &amp; Testing || Public speaking || Research Partnerships || Talent Acquisition || Team building || Tech Strategy &amp; Infrastructure || Training &amp; Development || UI/UX Design || IT Consulting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</si>
  <si>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FinTech || FinTech || FinTech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FinTech || FinTech || FinTech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FinTech || FinTech || FinTech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Others || Others || Others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Tourism &amp; Hospitality</t>
  </si>
  <si>
    <t>Saumya Sharma</t>
  </si>
  <si>
    <t>Media Mic</t>
  </si>
  <si>
    <t>&lt;p&gt;&lt;span style="color: rgba(0, 0, 0, 0.9);"&gt;I am a communication partner for startups, CEOs and VCs. I help them engage with and communicate their value propositions to the target audience while maintaining consistent brand messaging. &lt;/span&gt;&lt;/p&gt;&lt;p&gt;&lt;br&gt;&lt;/p&gt;&lt;p&gt;&lt;span style="color: rgba(0, 0, 0, 0.9);"&gt;I am committed to leveraging my expertise in media relations, crisis management, and strategic storytelling to shape positive narratives for brands that inspire me. In the past five years, I have guided more than 20 startups to streamline their positioning and create a media outreach plan that has garnered them quite a lot of interest from the media, their customers and investors.&lt;/span&gt;&lt;/p&gt;&lt;p&gt;&lt;br&gt;&lt;/p&gt;&lt;p&gt;&lt;span style="color: rgba(0, 0, 0, 0.9);"&gt;I have also won a accolades on the way:&lt;/span&gt;&lt;/p&gt;&lt;p&gt;&lt;span style="color: rgba(0, 0, 0, 0.9);"&gt;• Adgully Women Disruptor (2020)&lt;/span&gt;&lt;/p&gt;&lt;p&gt;&lt;span style="color: rgba(0, 0, 0, 0.9);"&gt;• Exchange4Media PR and Corp Comm 40under40&lt;/span&gt;&lt;/p&gt;&lt;p&gt;&lt;span style="color: rgba(0, 0, 0, 0.9);"&gt;• Agency Reporter's women entrepreneur excellence award, "SHE"&lt;/span&gt;&lt;/p&gt;&lt;p&gt;&lt;span style="color: rgba(0, 0, 0, 0.9);"&gt;• Exchange4Media Women Achievers (2022)&lt;/span&gt;&lt;/p&gt;</t>
  </si>
  <si>
    <t>https://www.linkedin.com/in/saumya9</t>
  </si>
  <si>
    <t>saumya@mediamic.in</t>
  </si>
  <si>
    <t>Marketing || Media and PR || Marketing || Media and PR || Media &amp; PR || Marketing &amp; Branding</t>
  </si>
  <si>
    <t>Professional &amp; Business Services || Professional &amp; Business Services || Professional &amp; Business Services || Professional &amp; Business Services || Media, Arts &amp; Entertainment</t>
  </si>
  <si>
    <t>Sanjit Kumar Behera</t>
  </si>
  <si>
    <t>Special Advisor</t>
  </si>
  <si>
    <t>Janaagraha</t>
  </si>
  <si>
    <t>Summary:&lt;/strong&gt;&lt;/p&gt;&lt;p&gt;Sanjit is an accomplished professional with a diverse background in engineering, and a proven track record of working across both non-profit and for-profit sectors. He has excelled in various domains, including Corporate Social Responsibility, Business Planning, Strategic Planning, Fundraising, Partnership Development, Start-up Mentoring, and Business Development. His multifaceted experience allows him to navigate complex environments and drive meaningful change.&lt;/p&gt;&lt;p&gt;&lt;br&gt;&lt;/p&gt;Key Areas of Expertise:&lt;/strong&gt;&lt;/p&gt;&lt;p&gt;Sanjit brings a wealth of knowledge and experience across corporate and social sectors. He has worked with grassroots organizations, consultancies, the United Nations, private companies, international charities, non-profit trusts, government bodies, and corporations. His expertise lies in bridging the gap between business goals and social impact, leveraging his skills to create sustainable and innovative solutions.&lt;/p&gt;&lt;p&gt;&lt;br&gt;&lt;/p&gt;Strategic Contributions:&lt;/strong&gt;&lt;/p&gt;&lt;p&gt;Throughout his career, Sanjit has been pivotal in designing and implementing strategic initiatives that foster business growth and social impact. He has been instrumental in securing funding, building partnerships, and providing strategic direction to various organizations. His work has enabled organizations to achieve their objectives while also contributing positively to the broader community.&lt;/p&gt;&lt;p&gt;&lt;br&gt;&lt;/p&gt;Mentorship Philosophy:&lt;/strong&gt;&lt;/p&gt;&lt;p&gt;Sanjit is deeply passionate about mentoring startups and emerging leaders. He provides guidance that blends technical expertise with practical business insights, ensuring that his mentees can navigate challenges and seize opportunities. His mentorship approach is rooted in a commitment to sustainable development and fostering innovation across sectors. He encourages a holistic view, helping individuals and organizations align their business strategies with broader social and environmental goals.&lt;/p&gt;</t>
  </si>
  <si>
    <t>https://www.linkedin.com/in/sanjit-kumar-behera-254b902</t>
  </si>
  <si>
    <t>sanjit.behera@gmail.com</t>
  </si>
  <si>
    <t>Business Model Development || Growth Strategy Formulation || Business Model Development || Growth Strategy Formulation || Business Model Development || Growth Strategy Formulation || Business Model Development || Growth Strategy Formulation || Business Model Development || Growth Strategy Formulation || Business Model Development || Growth Strategy Formulation || Entrepreneurship Coaching || Business Model Development</t>
  </si>
  <si>
    <t>Agriculture &amp; Food Processing || Agriculture &amp; Food Processing || CleanTech || CleanTech || Energy &amp; Renewable Resources || Energy &amp; Renewable Resources || Agriculture &amp; Food Processing || Agriculture &amp; Food Processing || CleanTech || CleanTech || Energy &amp; Renewable Resources || Energy &amp; Renewable Resources || Social &amp; Community Services || CleanTech</t>
  </si>
  <si>
    <t>Sanjul Bhakri</t>
  </si>
  <si>
    <t>Head of Consulting</t>
  </si>
  <si>
    <t>Athena Education</t>
  </si>
  <si>
    <t>Summary:&lt;/strong&gt;&lt;/p&gt;&lt;p&gt;Sanjul is a seasoned expert in Strategy, Technology, and People, with 15 years of experience across various cultures and functions. His versatile background allows him to offer comprehensive insights into organizational dynamics and individual growth. Currently, he leads digital transformation initiatives at Pratham Education Foundation, where he combines his strategic acumen with a passion for education.&lt;/p&gt;&lt;p&gt;&lt;br&gt;&lt;/p&gt;Key Areas of Expertise:&lt;/strong&gt;&lt;/p&gt;&lt;p&gt;Sanjul's core competencies include strategic planning, technology integration, and people management. He has a strong track record of navigating complex environments and fostering cross-cultural and cross-functional collaborations. His expertise enables organizations to effectively integrate technology into their operations and align their strategies with broader business objectives.&lt;/p&gt;&lt;p&gt;&lt;br&gt;&lt;/p&gt;Strategic Contributions:&lt;/strong&gt;&lt;/p&gt;&lt;p&gt;In his role as a Trainer, Mentor, and Coach (TMC), Sanjul has been pivotal in guiding both individuals and organizations toward identifying their strengths, crafting effective strategies, and reaching their full potential. His strategic interventions have consistently resulted in enhanced organizational efficiency and significant personal development for his mentees. He has successfully led initiatives that streamline processes and drive digital innovation, particularly in the educational sector.&lt;/p&gt;&lt;p&gt;&lt;br&gt;&lt;/p&gt;Mentorship Philosophy:&lt;/strong&gt;&lt;/p&gt;&lt;p&gt;Sanjul's mentoring philosophy revolves around empowering people and organizations by unlocking their inherent capabilities. He tailors his mentoring approach to each client's unique context, offering practical solutions and actionable insights. He places a strong emphasis on self-discovery and strategic thinking, encouraging his clients to develop sustainable paths to success. Through his guidance, Sanjul helps others to not only achieve their immediate goals but also to cultivate long-term resilience and adaptability in an ever-changing world.&lt;/p&gt;</t>
  </si>
  <si>
    <t>https://www.linkedin.com/in/sanjul-bhakri/</t>
  </si>
  <si>
    <t>Sanjul.bhakri@sabkimentoring.com</t>
  </si>
  <si>
    <t>Growth Strategy Formulation || Training &amp; Development || Growth Strategy Formulation || Training &amp; Development || Training &amp; Development || Entrepreneurship Coaching</t>
  </si>
  <si>
    <t>Education &amp; Training || Education &amp; Training || Social &amp; Community Services || Social &amp; Community Services || Education &amp; Training || Automotive &amp; Auto Components</t>
  </si>
  <si>
    <t>Sanskriti Kapoor</t>
  </si>
  <si>
    <t>Vice President - ESG &amp; Impact</t>
  </si>
  <si>
    <t>Omnivore VC</t>
  </si>
  <si>
    <t>Impact investing and ESG specialist with expertise in agritech and climate sustainability sectors. Currently Vice President of ESG &amp; Impact at Omnivore VC, she brings advanced financial acumen developed through roles at leading institutions including Morgan Stanley, JPMorgan Chase, and MSCI. Holds MBA in Finance and Marketing from Banasthali University and CFA certifications in ESG Investing and Climate Finance, demonstrating commitment to sustainable finance and impact-driven investments. Skills: ESG Investing, Impact Investing, Climate Sustainability, Agritech Sector, Financial Analysis, Sustainable Finance, Risk Management, Capital Markets, ESG Strategy, Impact Assessment, Portfolio Management, CFA Knowledge.</t>
  </si>
  <si>
    <t>https://www.linkedin.com/in/sanskritikapoor30/</t>
  </si>
  <si>
    <t>sanskriti@omnivore.vc</t>
  </si>
  <si>
    <t>Fundraising || Sustainable Operations || Fundraising || Sustainable Operations || Fundraising || Sustainable Operations || Fundraising || Sustainable Operations || Investing || ESG Strategy</t>
  </si>
  <si>
    <t>Agriculture &amp; Food Processing || Agriculture &amp; Food Processing || CleanTech || CleanTech || Environment, Sustainability &amp; Governance (ESG) || Environment, Sustainability &amp; Governance (ESG) || FinTech || FinTech || Venture Funding</t>
  </si>
  <si>
    <t>Santosh Kumar</t>
  </si>
  <si>
    <t>Director - WISE Tech</t>
  </si>
  <si>
    <t>SPJIMR</t>
  </si>
  <si>
    <t>Summary&lt;/strong&gt;&lt;/p&gt;&lt;p&gt;Mr. Santosh is a seasoned professional with over two decades of experience in FinTech and MediaTech. As Director of SPJIMR WISE Tech and former Head of Innovation at Citi India, he has led global projects and built three ventures, achieving two exits. An IIM Bangalore alumnus and National Chairman of AIMA Young Leaders Council, he has received several awards, including the International Leadership Innovation Excellence Award. He mentors startups through multiple accelerator programs and serves on advisory boards for various startup initiatives. His diverse skills span innovation, strategic investments, and business development.&lt;/p&gt;&lt;p&gt;&lt;br&gt;&lt;/p&gt;Core Expertise&lt;/strong&gt;&lt;/p&gt;&lt;ul&gt;&lt;li&gt;Innovation Management&lt;/li&gt;&lt;li&gt;Strategic Investments&lt;/li&gt;&lt;li&gt;Startups and Entrepreneurship&lt;/li&gt;&lt;li&gt;Business Planning and Fundraising&lt;/li&gt;&lt;li&gt;Financial Modeling and Risk Management&lt;/li&gt;&lt;li&gt;FinTech and MediaTech&lt;/li&gt;&lt;li&gt;Lean, Agile, Scrum Methodologies&lt;/li&gt;&lt;/ul&gt;&lt;p&gt;&lt;br&gt;&lt;/p&gt;Problem Solving Approach&lt;/strong&gt;&lt;/p&gt;&lt;ul&gt;&lt;li&gt;Focuses on driving innovation through strategic investments and business model optimization.&lt;/li&gt;&lt;li&gt;Utilizes experience in managing global projects and startups to address complex business challenges.&lt;/li&gt;&lt;/ul&gt;&lt;p&gt;&lt;br&gt;&lt;/p&gt;Impactful Projects&lt;/strong&gt;&lt;/p&gt;&lt;ul&gt;&lt;li&gt;Headed innovation initiatives at Citi India.&lt;/li&gt;&lt;li&gt;Built and exited three startups, including roles as CEO and Co-Founder.&lt;/li&gt;&lt;/ul&gt;&lt;p&gt;&lt;br&gt;&lt;/p&gt;Consulting Style&lt;/strong&gt;&lt;/p&gt;&lt;ul&gt;&lt;li&gt;Emphasizes strategic guidance in innovation and startup growth.&lt;/li&gt;&lt;li&gt;Engages in mentoring and advisory roles to support entrepreneurial ventures.&lt;/li&gt;&lt;li&gt;Known for a practical and results-oriented approach to solving business problems.&lt;/li&gt;&lt;/ul&gt;</t>
  </si>
  <si>
    <t>https://www.linkedin.com/in/santoshrao</t>
  </si>
  <si>
    <t>santosh.krao@gmail.com</t>
  </si>
  <si>
    <t>Business Model Development || Business Model Development || Business Model Development || Business Model Development || Business Model Development || Business Model Development || Business Model Development || Business Model Development || Business Model Development || Entrepreneurship Coaching || Business Finance</t>
  </si>
  <si>
    <t>Education &amp; Training || FinTech || Media, Arts &amp; Entertainment || Education &amp; Training || FinTech || Media, Arts &amp; Entertainment || Education &amp; Training || FinTech || Media, Arts &amp; Entertainment || Fintech, Banking, Financial Services || Media, Arts &amp; Entertainment</t>
  </si>
  <si>
    <t>Satish Kottakota</t>
  </si>
  <si>
    <t>Tharka Capital</t>
  </si>
  <si>
    <t>Summary:&lt;/strong&gt; Satish is a dedicated and visionary executive with deep expertise in financial planning, control, and business strategy across a wide range of sectors, from startups to large enterprises. Known for his hands-on approach and keen business acumen, Satish brings valuable insights to the financial services, eCommerce, D2C, consumer digital, healthcare, and SaaS industries on a global scale.&lt;/p&gt;&lt;p&gt;&lt;br&gt;&lt;/p&gt;Core Expertise:&lt;/strong&gt; Satish specializes in CFO and COO roles, with a focus on financial services, eCommerce, and startup ecosystems. His skill set spans consumer digital, banking, NBFC, micro-lending, and strategic advisory, making him an invaluable mentor and board member. Satish is also experienced with listed companies, IPO processes, and partnerships with private equity and venture capital firms.&lt;/p&gt;&lt;p&gt;&lt;br&gt;&lt;/p&gt;Problem-Solving Approach:&lt;/strong&gt; Satish integrates financial insight with operational expertise, providing sound financial planning and strategic guidance tailored to the unique needs of each business. He emphasizes scalability and efficiency, drawing from his extensive experience to support both early-stage startups and established enterprises.&lt;/p&gt;&lt;p&gt;Satish is currently leading efforts to build India’s fastest-growing InfraTech unicorn, leveraging his extensive knowledge and experience to create value and drive growth in this rapidly evolving sector.&lt;/p&gt;</t>
  </si>
  <si>
    <t>https://www.linkedin.com/in/satishkottakota/</t>
  </si>
  <si>
    <t>satishfca@gmail.com</t>
  </si>
  <si>
    <t>Customer Experience Optimization || Fundraising || Customer Experience Optimization || Fundraising || Customer Experience Optimization || Fundraising || Customer Experience Optimization || Fundraising || Customer Experience Optimization || Fundraising || Customer Experience Optimization || Fundraising || Customer Experience Optimization || Fundraising || Customer Experience Optimization || Fundraising || Investing || Business Finance</t>
  </si>
  <si>
    <t>Banking &amp; Financial Services || Banking &amp; Financial Services || FinTech || FinTech || Real Estate &amp; Construction || Real Estate &amp; Construction || Retail &amp; e-Commerce || Retail &amp; e-Commerce || Banking &amp; Financial Services || Banking &amp; Financial Services || FinTech || FinTech || Real Estate &amp; Construction || Real Estate &amp; Construction || Retail &amp; e-Commerce || Retail &amp; e-Commerce || Venture Funding || Fintech, Banking, Financial Services</t>
  </si>
  <si>
    <t>Satya Mahapatra</t>
  </si>
  <si>
    <t>ROI Internet Marketing</t>
  </si>
  <si>
    <t>Summary:&lt;/strong&gt;&lt;/p&gt;&lt;p&gt;Satya is a seasoned startup mentor and growth consultant with 20 years of experience in business strategy, marketing, and branding. He has a proven track record in driving growth and revenue optimization, particularly within the e-commerce and gaming sectors. With expertise in scaling businesses and strategic problem-solving, Satya has successfully launched and managed ventures targeting Indian, North American, EU, and UK markets. He is known for his role in driving the success of Junglee Games, the fastest-growing skill gaming company in India, and serves a range of clients through his specialized digital consultancy.&lt;/p&gt;&lt;p&gt;&lt;br&gt;&lt;/p&gt;Key Areas of Expertise:&lt;/strong&gt;&lt;/p&gt;&lt;ul&gt;&lt;li&gt;Business Strategy&lt;/li&gt;&lt;li&gt;Growth &amp;amp; Revenue Optimization&lt;/li&gt;&lt;li&gt;E-commerce &amp;amp; Gaming Industry&lt;/li&gt;&lt;li&gt;Digital Consultancy&lt;/li&gt;&lt;li&gt;Acquisition at Scale&lt;/li&gt;&lt;li&gt;Affiliate Marketing&lt;/li&gt;&lt;li&gt;Maximizing Customer Lifetime Value (LTV)&lt;/li&gt;&lt;li&gt;Product Management Development&lt;/li&gt;&lt;li&gt;Go-to-Market (GTM) Strategy&lt;/li&gt;&lt;/ul&gt;&lt;p&gt;&lt;br&gt;&lt;/p&gt;Strategic Contributions:&lt;/strong&gt;&lt;/p&gt;&lt;ul&gt;&lt;li&gt;Spearheaded growth and strategy for companies like Gamesys and Party Gaming.&lt;/li&gt;&lt;li&gt;Played a pivotal role in the expansion of Junglee Games.&lt;/li&gt;&lt;li&gt;Provided strategic consultancy to various clients, including GHack Technologies, NEKTAN (Gibraltar) Limited, Adda52.com, Spice Online Retail Pvt. Ltd., Red Interactive Limited, Bidibot, and Bluff Europe.&lt;/li&gt;&lt;li&gt;Implemented effective solutions for scaling, acquisition, and monetization.&lt;/li&gt;&lt;/ul&gt;&lt;p&gt;&lt;br&gt;&lt;/p&gt;Mentorship Philosophy:&lt;/strong&gt; Satya believes in leveraging his extensive experience to guide startups and businesses through strategic growth and revenue optimization. He focuses on tailored solutions that address specific challenges and opportunities, ensuring sustainable growth and high returns.&lt;/p&gt;&lt;p&gt;&lt;br&gt;&lt;/p&gt;Success Stories:&lt;/strong&gt;&lt;/p&gt;&lt;ul&gt;&lt;li&gt;Assisted GHack Technologies in enhancing sports performance analytics through innovative technology.&lt;/li&gt;&lt;li&gt;Contributed to the success of NEKTAN’s white-label platform and Adda52.com’s prominence in the online poker industry.&lt;/li&gt;&lt;li&gt;Improved customer retention and reduced churn for Bidibot by incorporating new game mechanics.&lt;/li&gt;&lt;li&gt;Managed growth and strategic development for various small and medium-sized internet businesses.&lt;/li&gt;&lt;/ul&gt;</t>
  </si>
  <si>
    <t>https://www.linkedin.com/in/satyamahapatra/</t>
  </si>
  <si>
    <t>satya@roiim.com</t>
  </si>
  <si>
    <t>Branding || Data Analytics || Digital Marketing || Go to Market Strategy || Growth Strategy Formulation || Product Development || Branding || Data Analytics || Digital Marketing || Go to Market Strategy || Growth Strategy Formulation || Product Development || Branding || Data Analytics || Digital Marketing || Go to Market Strategy || Growth Strategy Formulation || Product Development || Branding || Data Analytics || Digital Marketing || Go to Market Strategy || Growth Strategy Formulation || Product Development || Branding || Data Analytics || Digital Marketing || Go to Market Strategy || Growth Strategy Formulation || Product Development || Branding || Data Analytics || Digital Marketing || Go to Market Strategy || Growth Strategy Formulation || Product Development || Branding || Data Analytics || Digital Marketing || Go to Market Strategy || Growth Strategy Formulation || Product Development || Branding || Data Analytics || Digital Marketing || Go to Market Strategy || Growth Strategy Formulation || Product Development || Branding || Data Analytics || Digital Marketing || Go to Market Strategy || Growth Strategy Formulation || Product Development || Branding || Data Analytics || Digital Marketing || Go to Market Strategy || Growth Strategy Formulation || Product Development || Branding || Data Analytics || Digital Marketing || Go to Market Strategy || Growth Strategy Formulation || Product Development || Branding || Data Analytics || Digital Marketing || Go to Market Strategy || Growth Strategy Formulation || Product Development || Growth Strategy Formulation || Marketing &amp; Branding</t>
  </si>
  <si>
    <t>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Others || Others || Others || Others || Others || Others || Retail &amp; e-Commerce || Retail &amp; e-Commerce || Retail &amp; e-Commerce || Retail &amp; e-Commerce || Retail &amp; e-Commerce || Retail &amp; e-Commerce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Others || Others || Others || Others || Others || Others || Retail &amp; e-Commerce || Retail &amp; e-Commerce || Retail &amp; e-Commerce || Retail &amp; e-Commerce || Retail &amp; e-Commerce || Retail &amp; e-Commerce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Others || Others || Others || Others || Others || Others || Retail &amp; e-Commerce || Retail &amp; e-Commerce || Retail &amp; e-Commerce || Retail &amp; e-Commerce || Retail &amp; e-Commerce || Retail &amp; e-Commerce || Retail &amp; e-Commerce || Consumer Products</t>
  </si>
  <si>
    <t>Satyajeet Patnayak</t>
  </si>
  <si>
    <t>Fydo</t>
  </si>
  <si>
    <t>Serial entrepreneur and Founder &amp; CEO of Fydo (formerly Lfyd), a Microsoft and NASSCOM-backed hyperlocal AdTech platform that connects customers with deals and discounts from nearby shops while helping small and medium businesses promote their products. With BTech in Mechanical Engineering from College of Engineering &amp; Technology, Bhubaneswar, he brings diverse experience from working with SKODA India and leading multiple ventures. Awarded Best Startup of Odisha 2023 and part of Indian delegation to SLUSH, Finland, he is passionate about retail digitization and community empowerment. Skills: Startup Entrepreneurship, AdTech Platform Development, Retail Tech Innovation, Business Development, Product Management, Team Leadership, Hyperlocal Solutions, SMB Growth Strategy, Mentoring, Strategic Innovation, Digital Transformation, Community Building.</t>
  </si>
  <si>
    <t>https://www.linkedin.com/in/satyajeetpatnayak/</t>
  </si>
  <si>
    <t>satyajeetpatnayak@gmail.com</t>
  </si>
  <si>
    <t>Business Model Development || Customer Relationship Management || Fundraising || Go to Market Strategy || Government Funding || Growth Strategy Formulation || Market access || Marketing || Performance Management || Pitch coaching || Pricing Strategy || Product Development || Public speaking || Sales Strategy || Strategic Planning || Talent Acquisition || Business Model Development || Customer Relationship Management || Fundraising || Go to Market Strategy || Government Funding || Growth Strategy Formulation || Market access || Marketing || Performance Management || Pitch coaching || Pricing Strategy || Product Development || Public speaking || Sales Strategy || Strategic Planning || Talent Acquisition || Business Model Development || Customer Relationship Management || Fundraising || Go to Market Strategy || Government Funding || Growth Strategy Formulation || Market access || Marketing || Performance Management || Pitch coaching || Pricing Strategy || Product Development || Public speaking || Sales Strategy || Strategic Planning || Talent Acquisition || Business Model Development || Customer Relationship Management || Fundraising || Go to Market Strategy || Government Funding || Growth Strategy Formulation || Market access || Marketing || Performance Management || Pitch coaching || Pricing Strategy || Product Development || Public speaking || Sales Strategy || Strategic Planning || Talent Acquisition || Marketing &amp; Branding || Business Model Development</t>
  </si>
  <si>
    <t>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Retail &amp; e-Commerce || Automotive &amp; Auto Components</t>
  </si>
  <si>
    <t>Nitya Shukla</t>
  </si>
  <si>
    <t>Full stack marketing and brand consultant specializing in content strategy with 7+ years of experience working with marketing teams across diverse real estate, SaaS, and AI brands. Expertise in enabling clarity through creative storytelling and comprehensive content solutions. Known for developing integrated marketing strategies and brand narratives that drive customer engagement. Skills: Full Stack Marketing, Brand Consulting, Content Strategy, Content Creation, Creative Writing, Brand Development, Digital Marketing, SaaS Marketing, AI Brand Positioning, Customer Engagement, Marketing Communications, Storytelling.</t>
  </si>
  <si>
    <t>https://www.linkedin.com/in/nityashukla/</t>
  </si>
  <si>
    <t>brandingwithnitya@gmail.com</t>
  </si>
  <si>
    <t>Branding || Digital Marketing || Branding || Digital Marketing || Branding || Digital Marketing || Branding || Digital Marketing || Content Strategy || Marketing &amp; Branding</t>
  </si>
  <si>
    <t>Consumer Products || Consumer Products || Fashion &amp; Beauty || Fashion &amp; Beauty || FinTech || FinTech || Retail &amp; e-Commerce || Retail &amp; e-Commerce || Media, Arts &amp; Entertainment</t>
  </si>
  <si>
    <t>Saurabh Jain</t>
  </si>
  <si>
    <t>FSV Capital</t>
  </si>
  <si>
    <t>Summary:&lt;/strong&gt;&lt;/p&gt;&lt;p&gt;Saurabh is an accomplished professional with extensive experience in startups, fundraising, mergers &amp;amp; acquisitions (M&amp;amp;A), and education management. His career spans across multiple sectors where he has played pivotal roles in coaching, team building, and market research.&lt;/p&gt;&lt;p&gt;&lt;br&gt;&lt;/p&gt;Key Areas of Expertise:&lt;/strong&gt;&lt;/p&gt;&lt;ul&gt;&lt;li&gt;Fundraising and Investment Strategies&lt;/li&gt;&lt;li&gt;Business Strategy and Financial Consulting&lt;/li&gt;&lt;li&gt;Go-to-Market Strategy and Growth Hacking&lt;/li&gt;&lt;li&gt;Capacity Building and Scalability&lt;/li&gt;&lt;li&gt;B2B and B2C Markets (Retail, Online, Offline)&lt;/li&gt;&lt;/ul&gt;&lt;p&gt;&lt;br&gt;&lt;/p&gt;Strategic Contributions:&lt;/strong&gt;&lt;/p&gt;&lt;p&gt;As the Co-Founder of FSV Capital - Founders Sphere Venture Capital, Saurabh has been instrumental in guiding early-stage businesses, helping them refine their business strategies and secure the necessary funding for growth. His role as Vice President at Solis Capital &amp;amp; Ventures Pvt. Ltd. and Senior Partner at Venture Garage further showcases his ability to work closely with startups, offering expert advice on business strategy, financial consulting, and market positioning.&lt;/p&gt;&lt;p&gt;&lt;br&gt;&lt;/p&gt;Mentorship Philosophy:&lt;/strong&gt;&lt;/p&gt;&lt;p&gt;Saurabh believes in a hands-on approach to mentorship, focusing on the unique needs of each business. He leverages his extensive experience to provide actionable insights that drive growth and scalability, ensuring that startups are well-positioned to succeed in competitive markets.&lt;/p&gt;&lt;p&gt;&lt;br&gt;&lt;/p&gt;Success Stories:&lt;/strong&gt;&lt;/p&gt;&lt;p&gt;Throughout his career, Saurabh has helped numerous early-stage businesses achieve significant milestones, from securing funding to expanding their market presence. His expertise in both B2B and B2C environments has enabled startups to navigate complex challenges and unlock new opportunities.&lt;/p&gt;</t>
  </si>
  <si>
    <t>https://www.linkedin.com/in/saurabh-jain-6389498/</t>
  </si>
  <si>
    <t>saurabh.jain@solisventures.in
saurabh@fsv.capital</t>
  </si>
  <si>
    <t>Fundraising || Go to Market Strategy || Growth Strategy Formulation || Fundraising || Go to Market Strategy || Growth Strategy Formulation || Fundraising || Go to Market Strategy || Growth Strategy Formulation || Investing</t>
  </si>
  <si>
    <t>Services || Services || Services || Services || Services || Services || Services || Services || Services || Venture Funding || Software &amp; IT Services</t>
  </si>
  <si>
    <t>Saurabh Srivastava</t>
  </si>
  <si>
    <t>CMO</t>
  </si>
  <si>
    <t>Foundit</t>
  </si>
  <si>
    <t>Summary:&lt;/strong&gt;&amp;nbsp;Saurabh is a seasoned Growth &amp;amp; Marketing Specialist with over 20 years of experience, including 12+ years in leadership roles. He has a diverse background across multiple industries such as eCommerce, Fintech, Fashion, Online Travel, SaaS, Gaming, FoodTech, Automobile, Telecom/FMCG/Pharmaceuticals, and Real Estate (Proptech). His extensive experience in marketing, media, strategy, and retail has allowed him to build successful brands and drive significant business growth.&amp;nbsp;&lt;/p&gt;&lt;p&gt;&lt;br&gt;&lt;/p&gt;Core Expertise:&lt;/strong&gt;&amp;nbsp;&lt;/p&gt;&lt;ul&gt;&lt;li&gt;Marketing and Media Strategy&lt;/li&gt;&lt;li&gt;Business Growth and Development&lt;/li&gt;&lt;li&gt;Brand Building&lt;/li&gt;&lt;li&gt;Leadership in Cross-Functional, Multi-Geography Teams&lt;/li&gt;&lt;li&gt;Conceptual and Analytical Skills&amp;nbsp;&lt;/li&gt;&lt;/ul&gt;&lt;p&gt;&lt;br&gt;&lt;/p&gt;Problem-Solving Approach:&lt;/strong&gt;&amp;nbsp;Saurabh's problem-solving approach is centered on leveraging his extensive industry knowledge and analytical skills to identify opportunities for growth. He excels in creating strategic marketing plans that align with business objectives, leading cross-functional teams to execute these plans effectively, and adapting strategies based on market trends and data-driven insights.&amp;nbsp;&lt;/p&gt;&lt;p&gt;&lt;br&gt;&lt;/p&gt;Impactful Projects:&lt;/strong&gt;&amp;nbsp;Throughout his career, Saurabh has successfully led marketing initiatives that have transformed businesses across various sectors. His work in eCommerce, Fintech, and other industries has resulted in significant brand recognition and business growth. Saurabh's leadership has been instrumental in achieving impressive results, from increasing customer acquisition and retention to optimizing marketing spend for maximum ROI.&amp;nbsp;&lt;/p&gt;&lt;p&gt;&lt;br&gt;&lt;/p&gt;Consultation Style:&lt;/strong&gt;&amp;nbsp;Saurabh's consultation style is collaborative and strategic. He works closely with clients to understand their unique challenges and goals, providing tailored solutions that leverage his deep expertise. Saurabh's ability to lead cross-functional, multi-geography teams ensures that his strategies are executed seamlessly, delivering outstanding business results.&lt;/p&gt;</t>
  </si>
  <si>
    <t>https://www.linkedin.com/in/saurabhcbo/</t>
  </si>
  <si>
    <t>2ksaurabh@gmail.com</t>
  </si>
  <si>
    <t>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Branding || Digital Marketing || Go to Market Strategy || Growth Strategy Formulation || Marketing || Marketing &amp; Branding || Growth Strategy Formulation</t>
  </si>
  <si>
    <t>Agriculture &amp; Food Processing || Agriculture &amp; Food Processing || Agriculture &amp; Food Processing || Agriculture &amp; Food Processing || Agriculture &amp; Food Processing || Automobiles &amp; Auto Components || Automobiles &amp; Auto Components || Automobiles &amp; Auto Components || Automobiles &amp; Auto Components || Automobiles &amp; Auto Components || Consumer Products || Consumer Products || Consumer Products || Consumer Products || Consumer Products || Fashion &amp; Beauty || Fashion &amp; Beauty || Fashion &amp; Beauty || Fashion &amp; Beauty || Fashion &amp; Beauty || FinTech || FinTech || FinTech || FinTech || FinTech || Pharmaceuticals, Healthcare and Wellness || Pharmaceuticals, Healthcare and Wellness || Pharmaceuticals, Healthcare and Wellness || Pharmaceuticals, Healthcare and Wellness || Pharmaceuticals, Healthcare and Wellness || Real Estate &amp; Construction || Real Estate &amp; Construction || Real Estate &amp; Construction || Real Estate &amp; Construction || Real Estate &amp; Construction || Retail &amp; e-Commerce || Retail &amp; e-Commerce || Retail &amp; e-Commerce || Retail &amp; e-Commerce || Retail &amp; e-Commerce || Telecommunications || Telecommunications || Telecommunications || Telecommunications || Telecommunications || Textiles &amp; Apparel || Textiles &amp; Apparel || Textiles &amp; Apparel || Textiles &amp; Apparel || Textiles &amp; Apparel || Agriculture &amp; Food Processing || Agriculture &amp; Food Processing || Agriculture &amp; Food Processing || Agriculture &amp; Food Processing || Agriculture &amp; Food Processing || Automobiles &amp; Auto Components || Automobiles &amp; Auto Components || Automobiles &amp; Auto Components || Automobiles &amp; Auto Components || Automobiles &amp; Auto Components || Consumer Products || Consumer Products || Consumer Products || Consumer Products || Consumer Products || Fashion &amp; Beauty || Fashion &amp; Beauty || Fashion &amp; Beauty || Fashion &amp; Beauty || Fashion &amp; Beauty || FinTech || FinTech || FinTech || FinTech || FinTech || Pharmaceuticals, Healthcare and Wellness || Pharmaceuticals, Healthcare and Wellness || Pharmaceuticals, Healthcare and Wellness || Pharmaceuticals, Healthcare and Wellness || Pharmaceuticals, Healthcare and Wellness || Real Estate &amp; Construction || Real Estate &amp; Construction || Real Estate &amp; Construction || Real Estate &amp; Construction || Real Estate &amp; Construction || Retail &amp; e-Commerce || Retail &amp; e-Commerce || Retail &amp; e-Commerce || Retail &amp; e-Commerce || Retail &amp; e-Commerce || Telecommunications || Telecommunications || Telecommunications || Telecommunications || Telecommunications || Textiles &amp; Apparel || Textiles &amp; Apparel || Textiles &amp; Apparel || Textiles &amp; Apparel || Textiles &amp; Apparel || Retail &amp; e-Commerce || Fintech, Banking, Financial Services</t>
  </si>
  <si>
    <t>Sayyed Naqvi</t>
  </si>
  <si>
    <t>CFO</t>
  </si>
  <si>
    <t>iLearningEngines</t>
  </si>
  <si>
    <t>Summary:&lt;/strong&gt;&lt;/p&gt;&lt;p&gt;Farhan Naqvi is a seasoned finance professional with a rich background in corporate finance, investment banking, and private equity. He currently serves as the Chief Financial Officer and Head of Corporate Development at iLearningEngines, a leading enterprise cloud-based learning and engagement company. Farhan brings a wealth of experience in financial modeling, due diligence, and transaction advisory, making him a key figure in driving strategic financial initiatives.&lt;/p&gt;&lt;p&gt;&lt;br&gt;&lt;/p&gt;Core Expertise:&lt;/strong&gt;&lt;/p&gt;&lt;p&gt;Farhan specializes in financial modeling, private equity, and due diligence, with extensive experience in managing complex financial transactions and corporate development strategies.&lt;/p&gt;&lt;p&gt;&lt;br&gt;&lt;/p&gt;Problem-Solving Approach:&lt;/strong&gt;&lt;/p&gt;&lt;p&gt;Leveraging his background in investment banking and transaction advisory, Farhan takes a meticulous and data-driven approach to problem-solving. He excels at identifying opportunities for growth and optimizing financial performance to support long-term business objectives.&lt;/p&gt;&lt;p&gt;&lt;br&gt;&lt;/p&gt;Consultation Style:&lt;/strong&gt; Farhan is known for his collaborative and results-oriented approach. He works closely with teams to align financial strategies with business objectives, ensuring sustainable growth and value creation. His expertise in financial analysis and corporate development makes him a trusted advisor to both startups and established enterprises.&lt;/p&gt;</t>
  </si>
  <si>
    <t>https://www.linkedin.com/in/farhanalinaqvi/</t>
  </si>
  <si>
    <t>farhan901@gmail.com</t>
  </si>
  <si>
    <t>Budgeting &amp; Financial Modeling || Investment Banking || Budgeting &amp; Financial Modeling || Investment Banking || Business Finance</t>
  </si>
  <si>
    <t>AI, Big Data &amp; Analytics || AI, Big Data &amp; Analytics || AI, Big Data &amp; Analytics || AI, Big Data &amp; Analytics || Software &amp; IT Services || Fintech, Banking, Financial Services</t>
  </si>
  <si>
    <t>Seshadri Krishnan</t>
  </si>
  <si>
    <t>Trip38.com</t>
  </si>
  <si>
    <t>Summary&lt;/strong&gt;&lt;/p&gt;&lt;p&gt;Mr. Seshadri Krishnan is a senior technology executive and Product Management leader with over 20 years of global experience in consulting, technology services, and entrepreneurship. He has led businesses across North America, Europe, and Southeast Asia and has a strong background in Consumer Internet, Online Travel, E-Commerce, Digital Marketing, and Enterprise SaaS. As a startup specialist and mentor, he focuses on business strategy, digital Product Management innovation, and scaling startups. His commitment to solving real problems and building world-class teams reflects his dedication to transforming businesses and supporting entrepreneurs.&lt;/p&gt;&lt;p&gt;&lt;br&gt;&lt;/p&gt;Core Expertise&lt;/strong&gt;&lt;/p&gt;&lt;ul&gt;&lt;li&gt;Business Strategy&lt;/li&gt;&lt;li&gt;Product Management Strategy and Management&lt;/li&gt;&lt;li&gt;Digitization and Digital Transformation&lt;/li&gt;&lt;li&gt;Digital Product Management Innovation&lt;/li&gt;&lt;li&gt;Global Consulting and Services Delivery&lt;/li&gt;&lt;li&gt;Omni-Channel Commerce&lt;/li&gt;&lt;li&gt;Startup Ecosystem (Consumer Internet, E-Commerce, Online Travel, SaaS)&lt;/li&gt;&lt;li&gt;Building Global Mobile-Only Startups&lt;/li&gt;&lt;li&gt;Business Growth and Scaling&lt;/li&gt;&lt;li&gt;Mentoring Early-Stage Startups&lt;/li&gt;&lt;li&gt;Organization Culture Transformation&lt;/li&gt;&lt;/ul&gt;&lt;p&gt;&lt;br&gt;&lt;/p&gt;Problem Solving Approach&lt;/strong&gt;&lt;/p&gt;&lt;ul&gt;&lt;li&gt;Focuses on addressing real problems rather than vanity metrics.&lt;/li&gt;&lt;li&gt;Believes in transforming organizations through digital adaptation and building sustainable, habit-forming Product Managements.&lt;/li&gt;&lt;/ul&gt;&lt;p&gt;&lt;br&gt;&lt;/p&gt;Impactful Projects&lt;/strong&gt;&lt;/p&gt;&lt;ul&gt;&lt;li&gt;Mentors startups and entrepreneurs through TiE, NASSCOM 10,000 startups, TLabs, Stanford Ignite, Jaarvis, Numa, and other platforms.&lt;/li&gt;&lt;/ul&gt;&lt;p&gt;&lt;br&gt;&lt;/p&gt;Consulting Style&lt;/strong&gt;&lt;/p&gt;&lt;ul&gt;&lt;li&gt;Emphasizes a "Pay it Forward" approach by actively providing insights and mentorship to startups.&lt;/li&gt;&lt;li&gt;Focuses on enabling digital transformation and building world-class teams and leaders.&lt;/li&gt;&lt;li&gt;Involved in creating and scaling startups, with a strong emphasis on practical and impactful solutions.&lt;/li&gt;&lt;/ul&gt;</t>
  </si>
  <si>
    <t>https://www.linkedin.com/in/seshkrishnan/</t>
  </si>
  <si>
    <t>seshkrish@gmail.com</t>
  </si>
  <si>
    <t>Business Model Development || Market research || Business Model Development || Market research || Business Model Development || Market research || Business Model Development || Go to Market Strategy</t>
  </si>
  <si>
    <t>Technology &amp; Innovation || Technology &amp; Innovation || Technology &amp; Innovation || Technology &amp; Innovation || Technology &amp; Innovation || Technology &amp; Innovation || Fintech, Banking, Financial Services || Telecommunications</t>
  </si>
  <si>
    <t>Shachindra Sheode</t>
  </si>
  <si>
    <t>Campus Recruiter</t>
  </si>
  <si>
    <t>Silvermine Group</t>
  </si>
  <si>
    <t>Human Resources and Talent Acquisition professional with nearly a decade of early career hiring expertise at Silvermine Group. Specializes in campus recruitment, HRBP functions, and employee engagement across tech and non-tech roles. Holds PGDM in Human Resources from Institute of Management Technology (IMT) and BTech in Mechanical Engineering. Experienced in scaling organizations, cross-functional collaboration, and workforce development with a passion for people management and innovative solutions. Skills: Campus Recruitment, Talent Acquisition, HRBP, Employee Engagement, Early Career Hiring, Workforce Planning, Cross-functional Collaboration, HR Strategy, Soft Skills Training, Organizational Development, Placement Management, Labor Relations, HR Operations.</t>
  </si>
  <si>
    <t>https://www.linkedin.com/in/shachindra-sheode/</t>
  </si>
  <si>
    <t>er.shachindra@gmail.com</t>
  </si>
  <si>
    <t>Talent Acquisition || Training &amp; Development || Talent Acquisition || Training &amp; Development || Talent Acquisition || Training &amp; Development || Talent Acquisition || Training &amp; Development || HR Consulting || Training &amp; Development</t>
  </si>
  <si>
    <t>Education &amp; Training || Education &amp; Training || FinTech || FinTech || Education &amp; Training || Education &amp; Training || FinTech || FinTech || Education &amp; Training</t>
  </si>
  <si>
    <t>Shadab Husain</t>
  </si>
  <si>
    <t>Incubation Manager</t>
  </si>
  <si>
    <t>AIC pinnacle Entrepreneurship Forum</t>
  </si>
  <si>
    <t>Entrepreneurship and incubation professional with 10+ years of experience leading incubation programs and fostering startup ecosystems at AIC - Pinnacle Entrepreneurship Forum. Specializes in early-stage startup support, entrepreneur mentoring, and innovation ecosystem development. Brings expertise in startup incubation models, acceleration programs, and venture building with a focus on empowering entrepreneurs and scaling early-stage ventures. Skills: Startup Incubation, Entrepreneurship Mentoring, Innovation Ecosystem Development, Venture Building, Startup Support Programs, Business Model Development, Founder Coaching, Funding Facilitation, Startup Strategy, Acceleration Program Management, Stakeholder Management.</t>
  </si>
  <si>
    <t>https://www.linkedin.com/in/shadab-husain-ba5b48159/</t>
  </si>
  <si>
    <t>shadabhusain05@gmail.com</t>
  </si>
  <si>
    <t>Strategic Planning || Sustainable Operations || Strategic Planning || Sustainable Operations || Strategic Planning || Sustainable Operations || Strategic Planning || Sustainable Operations || Strategic Planning || Sustainable Operations || Strategic Planning || Sustainable Operations || Entrepreneurship Coaching</t>
  </si>
  <si>
    <t>Agriculture &amp; Food Processing || Agriculture &amp; Food Processing || CleanTech || CleanTech || Education &amp; Training || Education &amp; Training || Industrial Automation &amp; Manufacturing || Industrial Automation &amp; Manufacturing || Others || Others || Pharmaceuticals, Healthcare and Wellness || Pharmaceuticals, Healthcare and Wellness || Education &amp; Training</t>
  </si>
  <si>
    <t>B.P. Pattnaik</t>
  </si>
  <si>
    <t>Business Development Consultant</t>
  </si>
  <si>
    <t>BonV Aero</t>
  </si>
  <si>
    <t>Summary:&lt;/strong&gt;&lt;/p&gt;&lt;p&gt;Mr. Pattnaik is an accomplished professional with expertise in various aspects of startup development and business consulting. His work spans problem validation, design thinking, Product Management-market fit, value proposition, and business model development. Mr. Pattnaik is adept at team grooming, business strategy formulation, and Product Management road map creation, with a focus on strategic partnerships, scaling up, and market access. He has extensive experience in disaster management for startups and offers comprehensive incubator services, CSR profiling, and strength consulting tactics. Additionally, he is a sector expert in CleanTech, EdTech, AgriTech, and rural innovation.&lt;/p&gt;&lt;p&gt;&lt;br&gt;&lt;/p&gt;Key Areas of Expertise:&lt;/strong&gt;&lt;/p&gt;&lt;ul&gt;&lt;li&gt;Problem Validation&lt;/li&gt;&lt;li&gt;Design Thinking&lt;/li&gt;&lt;li&gt;Product Management-Market Fit&lt;/li&gt;&lt;li&gt;Value Proposition and Business Model Development&lt;/li&gt;&lt;li&gt;Team Grooming and Business Strategy&lt;/li&gt;&lt;li&gt;Product Management Road Map and Branding Strategy&lt;/li&gt;&lt;li&gt;Strategic Partnership and Scaleup&lt;/li&gt;&lt;li&gt;Disaster Management for Startups&lt;/li&gt;&lt;li&gt;Incubator Services (Incubator 360)&lt;/li&gt;&lt;li&gt;CSR Profiling and Strength Consulting Tactics&lt;/li&gt;&lt;/ul&gt;&lt;p&gt;&lt;br&gt;&lt;/p&gt;Strategic Contributions:&lt;/strong&gt;&lt;/p&gt;&lt;ul&gt;&lt;li&gt;Facilitating problem solution fit and Product Management-market fit for startups.&lt;/li&gt;&lt;li&gt;Guiding the development of business strategies and Product Management road maps.&lt;/li&gt;&lt;li&gt;Leading branding strategies and strategic partnerships for expansion.&lt;/li&gt;&lt;li&gt;Managing pilot projects and market access initiatives.&lt;/li&gt;&lt;/ul&gt;</t>
  </si>
  <si>
    <t>https://www.linkedin.com/in/bppattnaik/</t>
  </si>
  <si>
    <t>klikbp@gmail.com</t>
  </si>
  <si>
    <t>Branding || Business Model Development || Corporate Social Responsibility || Digital Marketing || ESG Strategy || Go to Market Strategy || Growth Strategy Formulation || Market research || Marketing || Media and PR || Organizational Development || Performance Management || Pitch coaching || Pricing Strategy || Prototyping &amp; Testing || Strategic Planning || Sustainable Operations || Tech Strategy &amp; Infrastructure || Training &amp; Development || Branding || Business Model Development || Corporate Social Responsibility || Digital Marketing || ESG Strategy || Go to Market Strategy || Growth Strategy Formulation || Market research || Marketing || Media and PR || Organizational Development || Performance Management || Pitch coaching || Pricing Strategy || Prototyping &amp; Testing || Strategic Planning || Sustainable Operations || Tech Strategy &amp; Infrastructure || Training &amp; Development || Branding || Business Model Development || Corporate Social Responsibility || Digital Marketing || ESG Strategy || Go to Market Strategy || Growth Strategy Formulation || Market research || Marketing || Media and PR || Organizational Development || Performance Management || Pitch coaching || Pricing Strategy || Prototyping &amp; Testing || Strategic Planning || Sustainable Operations || Tech Strategy &amp; Infrastructure || Training &amp; Development || Branding || Business Model Development || Corporate Social Responsibility || Digital Marketing || ESG Strategy || Go to Market Strategy || Growth Strategy Formulation || Market research || Marketing || Media and PR || Organizational Development || Performance Management || Pitch coaching || Pricing Strategy || Prototyping &amp; Testing || Strategic Planning || Sustainable Operations || Tech Strategy &amp; Infrastructure || Training &amp; Development || Product Management || Business Model Development</t>
  </si>
  <si>
    <t>CleanTech || CleanTech || CleanTech || CleanTech || CleanTech || CleanTech || CleanTech || CleanTech || CleanTech || CleanTech || CleanTech || CleanTech || CleanTech || CleanTech || CleanTech || CleanTech || CleanTech || CleanTech || CleanTech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CleanTech</t>
  </si>
  <si>
    <t>Shalini Lal</t>
  </si>
  <si>
    <t xml:space="preserve">Founder, MD &amp; CEO </t>
  </si>
  <si>
    <t xml:space="preserve"> Eukairos Private Limited</t>
  </si>
  <si>
    <t>Summary&lt;/strong&gt;&lt;/p&gt;&lt;p&gt;Ms. Shalini is the Founder, MD, and CEO of Eukairos Private Limited, where she pioneers innovative human resource strategies to enhance employee engagement and talent development. With over a decade of experience in human resources, she is committed to fostering a culture of excellence, focusing on people success, happiness, and wellness. As a Certified PoSH Trainer, IICA-certified Independent Director, and Start-Up mentor, Ms. Shalini's leadership philosophy emphasizes professional development and employee well-being to drive organizational growth.&lt;/p&gt;&lt;p&gt;&lt;br&gt;&lt;/p&gt;Key Areas of Expertise&lt;/strong&gt;&lt;/p&gt;&lt;ul&gt;&lt;li&gt;Idea to Implementation&lt;/li&gt;&lt;li&gt;Talent Management&lt;/li&gt;&lt;li&gt;Learning and Development&lt;/li&gt;&lt;li&gt;Employee Benefits Design and Administration&lt;/li&gt;&lt;li&gt;Strategic HR&lt;/li&gt;&lt;li&gt;Leadership Development&lt;/li&gt;&lt;li&gt;HR Transformation&lt;/li&gt;&lt;li&gt;HR Project Management&lt;/li&gt;&lt;li&gt;Communication&lt;/li&gt;&lt;/ul&gt;&lt;p&gt;&lt;br&gt;&lt;/p&gt;Strategic Contributions&lt;/strong&gt;&lt;/p&gt;&lt;ul&gt;&lt;li&gt;Pioneering innovative HR strategies that enhance employee engagement and talent development at Eukairos Private Limited.&lt;/li&gt;&lt;li&gt;Leading the creation of collaborative, creative solutions that align with company vision and foster workforce success.&lt;/li&gt;&lt;li&gt;Developing and managing diverse talent effectively through a versatile career in human resources.&lt;/li&gt;&lt;/ul&gt;&lt;p&gt;&lt;br&gt;&lt;/p&gt;Mentorship Philosophy&lt;/strong&gt;&lt;/p&gt;&lt;p&gt;Ms. Shalini is dedicated to empowering individuals by fostering a work environment that nurtures growth, focusing on professional development, employee well-being, and organizational excellence.&lt;/p&gt;</t>
  </si>
  <si>
    <t>https://www.linkedin.com/in/shalini-lal/</t>
  </si>
  <si>
    <t>slal0329@gmail.com (Mentor)
shalini@eukairos.in</t>
  </si>
  <si>
    <t>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Business Model Development || Market access || Market research || Pricing Strategy || Product Development || Prototyping &amp; Testing || Strategic Planning || Talent Acquisition || HR Consulting || Training &amp;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</si>
  <si>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Technology &amp; Innovation || Technology &amp; Innovation || Technology &amp; Innovation || Technology &amp; Innovation || Technology &amp; Innovation || Technology &amp; Innovation || Technology &amp; Innovation || Technology &amp; Innovation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HR Services || Fintech, Banking, Financial Services</t>
  </si>
  <si>
    <t>Sharad Ingule</t>
  </si>
  <si>
    <t>Mentor and Advisor</t>
  </si>
  <si>
    <t>Summary:&lt;/strong&gt;&lt;/p&gt;&lt;p&gt;Mr. Sharad is an accomplished entrepreneur with expertise in Fintech and digital transformation. As the Founder of GoldUno, he revolutionized the gold loan sector through innovative, tech-driven solutions, leading to a successful acquisition by RupTok. With a focus on financial inclusivity, Mr. Sharad leveraged deep tech integrations and strong banking partnerships to scale operations significantly. His expertise in online marketing, mobile applications, and digital transformation continues to drive his entrepreneurial efforts, empowering individuals to achieve financial independence.&lt;/p&gt;&lt;p&gt;&lt;br&gt;&lt;/p&gt;Key Areas of Expertise:&lt;/strong&gt;&lt;/p&gt;&lt;ul&gt;&lt;li&gt;Fintech&lt;/li&gt;&lt;li&gt;Digital Transformation&lt;/li&gt;&lt;li&gt;Gold Loan Sector&lt;/li&gt;&lt;li&gt;Deep Tech Integrations&lt;/li&gt;&lt;li&gt;Online Marketing &amp;amp; Mobile Applications&lt;/li&gt;&lt;/ul&gt;&lt;p&gt;&lt;br&gt;&lt;/p&gt;Strategic Contributions:&lt;/strong&gt;&lt;/p&gt;&lt;ul&gt;&lt;li&gt;Founder of GoldUno, leading its acquisition by RupTok.&lt;/li&gt;&lt;li&gt;Scaled annual disbursements in gold loans through tech-driven solutions.&lt;/li&gt;&lt;li&gt;Built robust banking partnerships to expand financial services.&lt;/li&gt;&lt;/ul&gt;&lt;p&gt;&lt;br&gt;&lt;/p&gt;</t>
  </si>
  <si>
    <t>https://www.linkedin.com/in/sharadi/</t>
  </si>
  <si>
    <t>sharad.ingule@gmail.com</t>
  </si>
  <si>
    <t>Business Model Development || Customer Relationship Management || Digital Marketing || Growth Strategy Formulation || Market research || Public speaking || Sales Strategy || Social Media Marketing || UI/UX Design || Business Model Development || Customer Relationship Management || Digital Marketing || Growth Strategy Formulation || Market research || Public speaking || Sales Strategy || Social Media Marketing || UI/UX Design || Business Model Development || Customer Relationship Management || Digital Marketing || Growth Strategy Formulation || Market research || Public speaking || Sales Strategy || Social Media Marketing || UI/UX Design || Business Model Development || Customer Relationship Management || Digital Marketing || Growth Strategy Formulation || Market research || Public speaking || Sales Strategy || Social Media Marketing || UI/UX Design || Business Model Development || Customer Relationship Management || Digital Marketing || Growth Strategy Formulation || Market research || Public speaking || Sales Strategy || Social Media Marketing || UI/UX Design || Business Model Development || Customer Relationship Management || Digital Marketing || Growth Strategy Formulation || Market research || Public speaking || Sales Strategy || Social Media Marketing || UI/UX Design || Go to Market Strategy || Investing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</si>
  <si>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Education &amp; Training || Education &amp; Training || Education &amp; Training || Education &amp; Training || Education &amp; Training || Education &amp; Training || Education &amp; Training || Education &amp; Training || Education &amp; Training || FinTech || FinTech || FinTech || FinTech || FinTech || FinTech || FinTech || FinTech || FinTech || Retail &amp; e-Commerce || Retail &amp; e-Commerce || Retail &amp; e-Commerce || Retail &amp; e-Commerce || Retail &amp; e-Commerce || Retail &amp; e-Commerce || Retail &amp; e-Commerce || Retail &amp; e-Commerce || Retail &amp; e-Commerce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Tourism &amp; Hospitality || Tourism &amp; Hospitality || Tourism &amp; Hospitality || Tourism &amp; Hospitality || Tourism &amp; Hospitality || Tourism &amp; Hospitality || Tourism &amp; Hospitality || Tourism &amp; Hospitality || Tourism &amp; Hospitality || Fintech, Banking, Financial Services</t>
  </si>
  <si>
    <t>Shardul Nayak</t>
  </si>
  <si>
    <t>Eonverse AI</t>
  </si>
  <si>
    <t>AI Strategist and Chief AI Strategist at Eonverse AI specializing in Agentic AI Avatars for enterprise customer engagement. Strategic Product Manager with passion for building innovative solutions that drive business growth, bringing 4+ years of hands-on product management experience in AI, SaaS, and emerging technologies. MTech in Data Science &amp; Engineering from BITS Pilani, with expertise in product strategy, roadmap execution, cross-functional collaboration, and data-driven insights. Skills: AI Strategy, Product Management, AI/ML Product Development, Product Strategy, Roadmap Execution, Data-Driven Decision Making, Cross-functional Leadership, Market Analysis, Business Development, Agentic AI, Enterprise Solutions, SaaS, Digital Transformation, Software Engineering</t>
  </si>
  <si>
    <t>https://www.linkedin.com/in/shardulnayak/</t>
  </si>
  <si>
    <t>shardul.nayak@gmail.com</t>
  </si>
  <si>
    <t>Business Model Development || Deep Tech (Blockchain, AI, Robotics, AR/VR) || Product Development || Software Development || Strategic Planning || Business Model Development || Deep Tech (Blockchain, AI, Robotics, AR/VR) || Product Development || Software Development || Strategic Planning || Business Model Development || Deep Tech (Blockchain, AI, Robotics, AR/VR) || Product Development || Software Development || Strategic Planning || Business Model Development || Deep Tech (Blockchain, AI, Robotics, AR/VR) || Product Development || Software Development || Strategic Planning || Product Management || Data Analytics</t>
  </si>
  <si>
    <t>IT &amp; Communication || IT &amp; Communication || IT &amp; Communication || IT &amp; Communication || IT &amp; Communication || Others || Others || Others || Others || Others || IT &amp; Communication || IT &amp; Communication || IT &amp; Communication || IT &amp; Communication || IT &amp; Communication || Others || Others || Others || Others || Others || Software &amp; IT Services || Fintech, Banking, Financial Services</t>
  </si>
  <si>
    <t>Shashank Misra</t>
  </si>
  <si>
    <t>Sr Director, Customer Growth</t>
  </si>
  <si>
    <t>Vistaar Technologies</t>
  </si>
  <si>
    <t>Summary:&lt;/strong&gt;&lt;/p&gt;&lt;p&gt;Shashank is a seasoned sales and strategy expert with a proven track record of driving growth in the SaaS industry, particularly in the beverage alcohol domain. With extensive experience across multiple functions, Shashank has played a key role in scaling a software Product Management from a single customer to commanding an impressive 80% market share in the industry.&lt;/p&gt;&lt;p&gt;&lt;br&gt;&lt;/p&gt;Core Expertise:&lt;/strong&gt;&lt;/p&gt;&lt;ul&gt;&lt;li&gt;&lt;strong&gt;SaaS Product Management Development:&lt;/strong&gt; Specializing in niche verticals, particularly in the beverage alcohol industry, Shashank has a deep understanding of market dynamics and software solutions tailored to this sector.&lt;/li&gt;&lt;li&gt;&lt;strong&gt;Sales Leadership:&lt;/strong&gt; As a one-person sales team, Shashank successfully closed several high-ARR SaaS deals, managing everything from outbound efforts to negotiations.&lt;/li&gt;&lt;li&gt;&lt;strong&gt;Cross-Functional Expertise:&lt;/strong&gt; With hands-on experience across Customer Success, Solution Consulting, Business Analysis, Strategy, and Product Management Management, he brings a comprehensive approach to business growth.&lt;/li&gt;&lt;li&gt;&lt;strong&gt;Pricing and Growth Strategy:&lt;/strong&gt; Shashank excels in pricing models and formulating growth strategies to help companies scale their offerings.&lt;/li&gt;&lt;/ul&gt;&lt;p&gt;&lt;br&gt;&lt;/p&gt;Impactful Projects:&lt;/strong&gt;&lt;/p&gt;&lt;ul&gt;&lt;li&gt;Grew a SaaS Product Management from 1 customer to 80% market share in the beverage alcohol domain.&lt;/li&gt;&lt;li&gt;Led the company’s largest vertical, driving significant growth and revenue.&lt;/li&gt;&lt;li&gt;Closed multiple high-value SaaS deals single-handedly, from lead generation to contract negotiation.&lt;/li&gt;&lt;/ul&gt;&lt;p&gt;&lt;br&gt;&lt;/p&gt;Consultation Style:&lt;/strong&gt;&lt;/p&gt;&lt;p&gt;Shashank combines strategic insight with hands-on experience, providing actionable guidance on pricing, growth strategy, and sales execution. His ability to work across functions ensures a holistic approach to problem-solving.&lt;/p&gt;</t>
  </si>
  <si>
    <t>https://www.linkedin.com/in/shashankmisra/</t>
  </si>
  <si>
    <t>shashanks.misra@gmail.com</t>
  </si>
  <si>
    <t>Growth Strategy Formulation || Pricing Strategy || Growth Strategy Formulation || Pricing Strategy || Go to Market Strategy || Marketing &amp; Branding</t>
  </si>
  <si>
    <t>Shashi Shekhar Tripathi</t>
  </si>
  <si>
    <t>eShipz</t>
  </si>
  <si>
    <t>Summary:&lt;/strong&gt; Shashi Shekhar is the co-Founder of eShipz, a Unified Shipping API solution that automates warehouse outbound dispatches, reduces manual efforts, and improves overall supply chain efficiency. With a focus on Enterprise SaaS and Logistics, Shashi leverages his expertise to drive corporate strategy and enhance sales and marketing efforts.&lt;/p&gt;&lt;p&gt;&lt;br&gt;&lt;/p&gt;Core Expertise: &lt;/strong&gt;Enterprise SaaS: Developing and implementing SaaS solutions tailored to enterprise needs. Logistics: Streamlining and automating supply chain processes to enhance efficiency. Corporate Strategy: Crafting and executing strategic plans for business growth. Sales &amp;amp; Marketing: Building partnerships and leading internal teams to create compelling customer success stories.&lt;/p&gt;&lt;p&gt;&lt;br&gt;&lt;/p&gt;Problem-Solving Approach:&lt;/strong&gt; Shashi uses a data-driven approach to identify inefficiencies in supply chains, automates processes with innovative technology, and collaborates with partners to implement effective sales and marketing strategies.&lt;/p&gt;&lt;p&gt;&lt;br&gt;&lt;/p&gt;Strategic Partnerships:&lt;/strong&gt; Established and executed sales and marketing partnerships that contributed to substantial business growth and customer success.&lt;/p&gt;&lt;p&gt;&lt;br&gt;&lt;/p&gt;Consultation Style:&lt;/strong&gt; Shashi engages collaboratively with startups, providing strategic guidance and actionable insights in corporate strategy, sales, and marketing. He is dedicated to fostering long-term partnerships and delivering measurable results that drive business success.&lt;/p&gt;</t>
  </si>
  <si>
    <t>https://www.linkedin.com/in/shashi-s-tripathi/</t>
  </si>
  <si>
    <t>shashi@eshipz.com</t>
  </si>
  <si>
    <t>Go to Market Strategy || Logistics Management || Process Optimization || Supply Chain Management || Sustainable Operations || Go to Market Strategy || Logistics Management || Process Optimization || Supply Chain Management || Sustainable Operations || Go to Market Strategy || Logistics Management || Process Optimization || Supply Chain Management || Sustainable Operations || Go to Market Strategy || Logistics Management || Process Optimization || Supply Chain Management || Sustainable Operations || Supply Chain Management || Supply Chain Management</t>
  </si>
  <si>
    <t>Automobiles &amp; Auto Components || Automobiles &amp; Auto Components || Automobiles &amp; Auto Components || Automobiles &amp; Auto Components || Automobiles &amp; Auto Components || Transportation &amp; Logistics || Transportation &amp; Logistics || Transportation &amp; Logistics || Transportation &amp; Logistics || Transportation &amp; Logistics || Automobiles &amp; Auto Components || Automobiles &amp; Auto Components || Automobiles &amp; Auto Components || Automobiles &amp; Auto Components || Automobiles &amp; Auto Components || Transportation &amp; Logistics || Transportation &amp; Logistics || Transportation &amp; Logistics || Transportation &amp; Logistics || Transportation &amp; Logistics || Transportation &amp; Logistics</t>
  </si>
  <si>
    <t>Shashikant Chaurasia</t>
  </si>
  <si>
    <t>Project Manager - Insights &amp; Enablement</t>
  </si>
  <si>
    <t>GE Healthcare</t>
  </si>
  <si>
    <t>Project Manager with 8+ years of management consulting expertise at GE Healthcare, PwC, and Praxis, specializing in customer experience strategy, B2B eCommerce, and commercial excellence. MBA from NITIE Mumbai with strong background in deal management, M&amp;A operations, supply chain optimization, and healthcare strategy. Gold medalist in International Olympiad of Mathematics with proven expertise in driving long-term strategic planning and identifying high-impact initiatives across commercial and digital pillars. Skills: Business Strategy, Project Management, Customer Experience, B2B Ecommerce Strategy, Supply Chain Optimization, M&amp;A Operations Due Diligence, Healthcare Consulting, Pricing Strategy, Go-To-Market Strategy, Market Assessment, Financial Modeling, Six Sigma, Lean Management, Strategic Planning, Synergy Analysis.</t>
  </si>
  <si>
    <t>https://www.linkedin.com/in/shashikant-chaurasia-6bb30652/</t>
  </si>
  <si>
    <t>shashi.chaurasia.nitie@gmail.com</t>
  </si>
  <si>
    <t>Business Model Development || Go to Market Strategy || Pricing Strategy || Product Development || Strategic Planning || Supply Chain Management || Sustainable Operations || Business Model Development || Go to Market Strategy || Pricing Strategy || Product Development || Strategic Planning || Supply Chain Management || Sustainable Operations || Business Model Development || Go to Market Strategy || Pricing Strategy || Product Development || Strategic Planning || Supply Chain Management || Sustainable Operations || Growth Strategy Formulation || Go to Market Strategy</t>
  </si>
  <si>
    <t>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t>
  </si>
  <si>
    <t>Sheetal Bansal</t>
  </si>
  <si>
    <t>Consultant Expert</t>
  </si>
  <si>
    <t>GLG</t>
  </si>
  <si>
    <t>Summary: &lt;/strong&gt;&lt;/p&gt;&lt;p&gt;Sheetal is an intrapreneurship-driven business professional with 15 years of experience in strategy consulting, enterprise transformation, change leadership, and data analytics. His expertise in delivering value advisory has significantly impacted the bottom line for Fortune 500 clients. Sheetal has successfully led programs in Product Managementivity improvement, cost optimization, intelligent automation, sales acceleration, and Product Management growth. His ability to navigate business uncertainties and influence key decisions through robust strategies and agile processes has made him a trusted advisor to C-level executives. Recently, he has excelled in building and scaling an analytics-driven enterprise SaaS Product Management consulting practice, achieving a remarkable 9x revenue growth in three years for a next-generation workplace analytics and Product Managementivity enhancement venture.&lt;/p&gt;&lt;p&gt;&lt;br&gt;&lt;/p&gt;Core Expertise:&lt;/strong&gt;&lt;/p&gt;&lt;p&gt;Sheetal's core expertise includes strategy consulting, enterprise transformation, change leadership, and data analytics. He specializes in providing data-driven value advisory services that deliver tangible bottom-line impact. His proficiency in Product Managementivity improvement, cost optimization, and intelligent automation has been instrumental in enhancing operational efficiency for global clients. Additionally, Sheetal excels in sales acceleration and Product Management growth, leveraging his skills to drive significant revenue increases and business expansion. His experience spans consulting for large-scale enterprises, particularly in the SaaS, AI, and analytics domains.&lt;/p&gt;&lt;p&gt;&lt;br&gt;&lt;/p&gt;Problem-Solving Approach:&lt;/strong&gt;&lt;/p&gt;&lt;p&gt;Sheetal employs a comprehensive and data-driven approach to problem-solving. He utilizes robust transformation strategies and frameworks to address complex business challenges. His methodology involves thorough business research and analytics to ensure effective solutions. By integrating digital operations technology strategy (DOTS) with agile processes, Sheetal fosters business growth and agility. He excels in identifying opportunities for improvement, implementing cost-saving measures, and optimizing Product Managementivity. His approach is centered around influencing key decisions and driving sustainable business models that align with clients' strategic goals.&lt;/p&gt;&lt;p&gt;&lt;br&gt;&lt;/p&gt;Impactful Projects: &lt;/strong&gt;Sheetal's career is marked by several impactful projects. He has led programs that resulted in a 14% improvement in business Product Managementivity, $5.4 million in annual cost savings, and a $12 million improvement opportunity across a large employee base. His recent success in scaling an enterprise SaaS Product Management consulting practice highlights his ability to drive significant revenue growth and enhance Product Management offerings. Sheetal's contributions have been crucial in achieving transformative results for clients, including a $6 billion US revenue cycle management giant.&lt;/p&gt;&lt;p&gt;&lt;br&gt;&lt;/p&gt;Consultation Style: &lt;/strong&gt;Sheetal’s consultation style is characterized by his data-driven insights and strategic approach. He engages closely with clients to understand their unique needs and challenges, providing tailored advice that aligns with their business objectives. His style includes leveraging comprehensive research and analytics to support decision-making and implementing effective transformation strategies. Sheetal’s role extends to advising startups, particularly in the SaaS, AI, and analytics sectors, on Product Management growth, positioning, and fundraising. He also offers guidance to investors to enhance portfolio performance and achieve accelerated ROI. In his personal time, Sheetal serves as a life coach, helping individuals discover their purpose and achieve personal fulfillment.&lt;/p&gt;</t>
  </si>
  <si>
    <t>https://www.linkedin.com/in/sheetalbansal</t>
  </si>
  <si>
    <t>er.bansal.s@gmail.com</t>
  </si>
  <si>
    <t>Angel Investing || Data Analytics || Fundraising || Product Development || Entrepreneurship Coaching</t>
  </si>
  <si>
    <t>AI, Big Data &amp; Analytics || AI, Big Data &amp; Analytics || AI, Big Data &amp; Analytics || AI, Big Data &amp; Analytics || Software &amp; IT Services</t>
  </si>
  <si>
    <t>Sivesh Kumar</t>
  </si>
  <si>
    <t>Coffea India</t>
  </si>
  <si>
    <t>Summary:&lt;/strong&gt;&lt;/p&gt;&lt;p&gt;Sivesh is the Chief Operating Officer (COO) at Coffea India, a bootstrapped coffee brand. He has over eight years of experience in leading, scaling, and mentoring startups. Sivesh is an expert at market expansion, brand building, and investor relations.&lt;/p&gt;&lt;p&gt;&lt;br&gt;&lt;/p&gt;Key Areas of Expertise:&lt;/strong&gt;&lt;/p&gt;&lt;ul&gt;&lt;li&gt;Leading and scaling startups&lt;/li&gt;&lt;li&gt;Brand building and investor relations&lt;/li&gt;&lt;li&gt;Mentoring and supporting entrepreneurs&lt;/li&gt;&lt;/ul&gt;&lt;p&gt;&lt;br&gt;&lt;/p&gt;Strategic Contributions:&lt;/strong&gt;&lt;/p&gt;&lt;ul&gt;&lt;li&gt;Shaping the trajectory of Coffea India&lt;/li&gt;&lt;li&gt;Serving as the COO of MitwaTV (a platform for quality content and entertainment)&lt;/li&gt;&lt;li&gt;A mentor, jury member, speaker, and advisor for prestigious institutions and organizations&lt;/li&gt;&lt;/ul&gt;&lt;p&gt;&lt;br&gt;&lt;/p&gt;Mentorship Philosophy:&lt;/strong&gt;&lt;/p&gt;&lt;p&gt;Passionate about empowering and inspiring the next generation of entrepreneurs and innovators.&lt;/p&gt;</t>
  </si>
  <si>
    <t>https://www.linkedin.com/in/siveshkumar/</t>
  </si>
  <si>
    <t>Skumar@startup-monk.com &amp; skumar@coffeafoods.com (Mentor Account)</t>
  </si>
  <si>
    <t>Business Model Development || Customer Service &amp; Retention || Go to Market Strategy || Market research || Business Model Development || Customer Service &amp; Retention || Go to Market Strategy || Market research || Business Model Development || Customer Service &amp; Retention || Go to Market Strategy || Market research || Business Model Development || Customer Service &amp; Retention || Go to Market Strategy || Market research || Business Model Development || Customer Service &amp; Retention || Go to Market Strategy || Market research || Business Model Development || Customer Service &amp; Retention || Go to Market Strategy || Market research || Marketing &amp; Branding || Business Model Development</t>
  </si>
  <si>
    <t>Agriculture &amp; Food Processing || Agriculture &amp; Food Processing || Agriculture &amp; Food Processing || Agriculture &amp; Food Processing || Education &amp; Training || Education &amp; Training || Education &amp; Training || Education &amp; Training || Tourism &amp; Hospitality || Tourism &amp; Hospitality || Tourism &amp; Hospitality || Tourism &amp; Hospitality || Agriculture &amp; Food Processing || Agriculture &amp; Food Processing || Agriculture &amp; Food Processing || Agriculture &amp; Food Processing || Education &amp; Training || Education &amp; Training || Education &amp; Training || Education &amp; Training || Tourism &amp; Hospitality || Tourism &amp; Hospitality || Tourism &amp; Hospitality || Tourism &amp; Hospitality || Agritech &amp; Food Processing || Fundraising</t>
  </si>
  <si>
    <t>Shivani A Trivedi</t>
  </si>
  <si>
    <t>S.K. Patel Institute of Management and Computer Studies</t>
  </si>
  <si>
    <t>Summary:&lt;/strong&gt;&lt;/p&gt;&lt;p&gt;Dr. Shivani is an Assistant Professor at SKPIMCS-MCA and Chief Coordinator at the Women's Empowerment Cell (WEC) at S.K. Patel Institute of Management and Computer Studies. She focuses on fostering personal growth and self-discovery among students. With core expertise in Technical Entrepreneurship, Digital Transformation, Database Technologies, Machine Learning, IoT, and Cognitive Computing, Dr. Shivani brings a wealth of knowledge and experience to her teaching and coordination roles, helping students navigate and excel in these rapidly evolving fields.&lt;/p&gt;&lt;p&gt;&lt;br&gt;&lt;/p&gt;Core Expertise: &lt;/strong&gt;&lt;/p&gt;&lt;ul&gt;&lt;li&gt;Technical Entrepreneurship&lt;/li&gt;&lt;li&gt;Digital Transformation&lt;/li&gt;&lt;li&gt;Database Technologies&lt;/li&gt;&lt;li&gt;Machine Learning&lt;/li&gt;&lt;li&gt;IoT&lt;/li&gt;&lt;li&gt;Cognitive Computing.&lt;/li&gt;&lt;/ul&gt;</t>
  </si>
  <si>
    <t>https://www.linkedin.com/in/dr-shivani-a-trivedi-96191557/</t>
  </si>
  <si>
    <t>Gandhinagar</t>
  </si>
  <si>
    <t>satrivedi@gmail.com</t>
  </si>
  <si>
    <t>Business Model Development || Product Development || Tech Strategy &amp; Infrastructure || Business Model Development || Product Development || Tech Strategy &amp; Infrastructure || Entrepreneurship Coaching</t>
  </si>
  <si>
    <t>Shivendra Singh Chauhan</t>
  </si>
  <si>
    <t>Bhramos Industries</t>
  </si>
  <si>
    <t>CEO &amp; Founder at CircuitMaster AI / BHRAMOS TECHNOLOGIES specializing in unmanned aerial vehicles (UAVs), industrial automation, agri-tech, and smart city solutions. Startup India Mentor and Atal Innovation Mission Mentor of Change with expertise in drone technology, innovation development, and sustainable solutions. IIT-trained professional recognized with multiple awards including Best Innovation Award and recognition for sustainable development contributions. Passionate about leveraging cutting-edge drone technology to create value and positive impact across agriculture, mining, infrastructure, and defense sectors. Skills: UAV Manufacturing, Industrial Automation, Agri-Tech Solutions, Smart Cities Development, Drone Technology, Innovation Management, Startup Mentoring, Product Development, Defense Technology, Sustainable Development, Aerospace Engineering, Technology Leadership.</t>
  </si>
  <si>
    <t>https://www.linkedin.com/in/shivendra-singh-chauhan/</t>
  </si>
  <si>
    <t>shivendra.singh240@gmail.com</t>
  </si>
  <si>
    <t>Business Model Development || Growth Strategy Formulation || Market research || Product Development || Tech Strategy &amp; Infrastructure || Business Model Development || Growth Strategy Formulation || Market research || Product Development || Tech Strategy &amp; Infrastructure || Business Model Development || Growth Strategy Formulation || Market research || Product Development || Tech Strategy &amp; Infrastructure || Business Model Development || Growth Strategy Formulation || Market research || Product Development || Tech Strategy &amp; Infrastructure || Business Model Development || Growth Strategy Formulation || Market research || Product Development || Tech Strategy &amp; Infrastructure || Business Model Development || Growth Strategy Formulation || Market research || Product Development || Tech Strategy &amp; Infrastructure || Business Model Development || Growth Strategy Formulation || Market research || Product Development || Tech Strategy &amp; Infrastructure || Business Model Development || Growth Strategy Formulation || Market research || Product Development || Tech Strategy &amp; Infrastructure || Digital Transformation || Research and Development</t>
  </si>
  <si>
    <t>Agriculture &amp; Food Processing || Agriculture &amp; Food Processing || Agriculture &amp; Food Processing || Agriculture &amp; Food Processing || Agriculture &amp; Food Processing || CleanTech || CleanTech || CleanTech || CleanTech || CleanTech || Defence &amp; Public Safety || Defence &amp; Public Safety || Defence &amp; Public Safety || Defence &amp; Public Safety || Defence &amp; Public Safety || Industrial Automation &amp; Manufacturing || Industrial Automation &amp; Manufacturing || Industrial Automation &amp; Manufacturing || Industrial Automation &amp; Manufacturing || Industrial Automation &amp; Manufacturing || Agriculture &amp; Food Processing || Agriculture &amp; Food Processing || Agriculture &amp; Food Processing || Agriculture &amp; Food Processing || Agriculture &amp; Food Processing || CleanTech || CleanTech || CleanTech || CleanTech || CleanTech || Defence &amp; Public Safety || Defence &amp; Public Safety || Defence &amp; Public Safety || Defence &amp; Public Safety || Defence &amp; Public Safety || Industrial Automation &amp; Manufacturing || Industrial Automation &amp; Manufacturing || Industrial Automation &amp; Manufacturing || Industrial Automation &amp; Manufacturing || Industrial Automation &amp; Manufacturing || Deeptech || CleanTech</t>
  </si>
  <si>
    <t>Shobha Tahilramani</t>
  </si>
  <si>
    <t>Part time CHRO</t>
  </si>
  <si>
    <t>shobhatahilramani.com/</t>
  </si>
  <si>
    <t>Consultation Type: Paid
Summary: Shobha Tahilramani is a versatile professional with over 27 years of experience across diverse industries, including IT, media, automotive, chemicals, and electronics. As a Certified Coach and Mentor, she specializes in guiding entrepreneurs and corporate professionals towards realizing their full potential. In her role as CHRO for small and medium-sized organizations, she spearheads HR strategies that foster sustainable growth and profitability. Shobha's academic background in HR &amp; Marketing, along with a Master's in Psychology, is complemented by certifications from ICF &amp; ICHARS and a license in Neuro-Linguistic Programming from Dr. Richard Bandler.
Key Areas of Expertise: Shobha specializes in HR strategy development, leadership coaching, crisis intervention, and organizational transformation. Her broad industry experience has equipped her with deep insights into people management, business dynamics, and cultural nuances, making her adept at addressing challenges in both Indian conglomerates and multinational corporations.
Strategic Contributions: Throughout her career, Shobha has led significant HR transformations, particularly in her last role as CHRO for Siegwerk India (India &amp; Bangladesh) &amp; HR Coordinator for Asia. Her leadership in developing HR strategies has been pivotal in driving organizational growth and profitability across various sectors.
Mentorship Philosophy: Shobha’s mentoring philosophy revolves around empowering individuals and organizations to thrive amidst challenges. She believes in the power of understanding human behavior and leveraging that knowledge to facilitate transformative journeys. Her approach is holistic, blending academic rigor with practical insights to drive meaningful change.
Success Stories: Over the years, Shobha has mentored and coached individuals at all levels, both formally and informally. Her guidance has been instrumental in fostering personal and professional growth, leading to lasting impacts on the careers and lives of those she has mentored.</t>
  </si>
  <si>
    <t>https://www.linkedin.com/in/shobha-tahilramani-05207410/</t>
  </si>
  <si>
    <t>shobha.tahilramani@gmail.com</t>
  </si>
  <si>
    <t>Team building || Team building || Performance Management || Talent Acquisition || Training &amp; Development || Performance Management || Talent Acquisition || Training &amp; Development || Performance Management || Talent Acquisition || Training &amp; Development || Performance Management || Talent Acquisition || Training &amp; Development || Performance Management || Talent Acquisition || Training &amp; Development || Performance Management || Talent Acquisition || Training &amp; Development || Performance Management || Talent Acquisition || Training &amp; Development || Performance Management || Talent Acquisition || Training &amp; Development || Performance Management || Talent Acquisition || Training &amp; Development || Leadership Coaching || HR Consulting</t>
  </si>
  <si>
    <t>Healthtech &amp; Wellness || Healthtech &amp; Wellness || Consumer Products || Consumer Products || Consumer Products || Industrial Automation &amp; Manufacturing || Industrial Automation &amp; Manufacturing || Industrial Automation &amp; Manufacturing || Media, Arts &amp; Entertainment || Media, Arts &amp; Entertainment || Media, Arts &amp; Entertainment || Consumer Products || Consumer Products || Consumer Products || Industrial Automation &amp; Manufacturing || Industrial Automation &amp; Manufacturing || Industrial Automation &amp; Manufacturing || Media, Arts &amp; Entertainment || Media, Arts &amp; Entertainment || Media, Arts &amp; Entertainment || Consumer Products || Consumer Products || Consumer Products || Industrial Automation &amp; Manufacturing || Industrial Automation &amp; Manufacturing || Industrial Automation &amp; Manufacturing || Media, Arts &amp; Entertainment || Media, Arts &amp; Entertainment || Media, Arts &amp; Entertainment || Manufacturing || Consumer Products</t>
  </si>
  <si>
    <t>Shobhana Mahanti</t>
  </si>
  <si>
    <t>PMO-Manager</t>
  </si>
  <si>
    <t>PAteam</t>
  </si>
  <si>
    <t>Summary:
Ms. Shobhana is a Leading PMO initiatives at PAteam, focusing on integrating strategic management with agile methodologies to drive organizational growth and operational excellence. Recent achievements include successful deployment of robotic process automation (RPA) to enhance Product Managementivity and foster innovation across business units.
Core Expertise:
Project Management Office (PMO) Leadership,
Strategic Management,
Agile Methodologies,
Robotic Process Automation (RPA),
Collaborative Team Leadership,
Web Application Development.
Problem Solving Approach:
Emphasizes meticulous planning and execution to bridge technology and business goals.
Utilizes agile methodologies and collaborative team leadership to drive transformative projects that enhance Product Managementivity and foster innovation.
Impactful Projects:
Successful deployment of RPA at PAteam, leading to enhanced Product Managementivity and innovation across business units.
Demonstrated commitment to integrating technology solutions with business objectives to achieve organizational goals.
Consulting Style:
Methodical and collaborative approach to project management, focusing on strategic alignment and operational efficiency.
Combines agile methodologies with a strong emphasis on team leadership and technology integration to deliver impactful outcomes.</t>
  </si>
  <si>
    <t>https://www.linkedin.com/in/shobhana-mahanti-24814932/</t>
  </si>
  <si>
    <t xml:space="preserve">shobhana.mahanti@gmail.com </t>
  </si>
  <si>
    <t>Technology selection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Data Analytics || Deep Tech (Blockchain, AI, Robotics, AR/VR) || Team building || Tech Strategy &amp; Infrastructure || Software Development || Software Development</t>
  </si>
  <si>
    <t>IT &amp; Communication || Agriculture &amp; Food Processing || Agriculture &amp; Food Processing || Agriculture &amp; Food Processing || Agriculture &amp; Food Processing || AI, Big Data &amp; Analytics || AI, Big Data &amp; Analytics || AI, Big Data &amp; Analytics || AI, Big Data &amp; Analytics || Automobiles &amp; Auto Components || Automobiles &amp; Auto Components || Automobiles &amp; Auto Components || Automobiles &amp; Auto Components || Banking &amp; Financial Services || Banking &amp; Financial Services || Banking &amp; Financial Services || Banking &amp; Financial Services || CleanTech || CleanTech || CleanTech || CleanTech || Consumer Products || Consumer Products || Consumer Products || Consumer Products || Defence &amp; Public Safety || Defence &amp; Public Safety || Defence &amp; Public Safety || Defence &amp; Public Safety || Education &amp; Training || Education &amp; Training || Education &amp; Training || Education &amp; Training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Fashion &amp; Beauty || Fashion &amp; Beauty || Fashion &amp; Beauty || Fashion &amp; Beauty || FinTech || FinTech || FinTech || FinTech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Others || Others || Others || Others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Real Estate &amp; Construction || Real Estate &amp; Construction || Real Estate &amp; Construction || Real Estate &amp; Construction || Retail &amp; e-Commerce || Retail &amp; e-Commerce || Retail &amp; e-Commerce || Retail &amp; e-Commerce || Services || Services || Services || Services || Social &amp; Community Services || Social &amp; Community Services || Social &amp; Community Services || Social &amp; Community Services || Sports || Sports || Sports || Sports || Technology &amp; Innovation || Technology &amp; Innovation || Technology &amp; Innovation || Technology &amp; Innovation || Telecommunications || Telecommunications || Telecommunications || Telecommunications || Textiles &amp; Apparel || Textiles &amp; Apparel || Textiles &amp; Apparel || Textiles &amp; Apparel || Tourism &amp; Hospitality || Tourism &amp; Hospitality || Tourism &amp; Hospitality || Tourism &amp; Hospitality || Transportation &amp; Logistics || Transportation &amp; Logistics || Transportation &amp; Logistics || Transportation &amp; Logistics || Software &amp; IT Services</t>
  </si>
  <si>
    <t>Shrddha Shetty</t>
  </si>
  <si>
    <t>Summary&lt;/strong&gt;&lt;/p&gt;&lt;p&gt;Ms. Shraddha is a seasoned professional with over 15 years of experience in IT, corporate strategy consulting, and entrepreneurship. She is currently engaged in various advisory roles, including her work with the India-UAE Bilateral Business Council and WICCI, where she mentors startups, women entrepreneurs, and student entrepreneurs. Ms. Shraddha’s passion lies in driving social impact, particularly in promoting innovation, supporting youth, and bridging urban-rural divides in India. Her goal is to leverage her extensive global experience to contribute to socio-tech initiatives and Sustainable Development Goals (SDGs), with a strong focus on empowering women and youth.&lt;/p&gt;&lt;p&gt;&lt;br&gt;&lt;/p&gt;Core Expertise&lt;/strong&gt;&lt;/p&gt;&lt;ul&gt;&lt;li&gt;Startup Advisory and Mentorship&lt;/li&gt;&lt;li&gt;Business Strategy and Consulting&lt;/li&gt;&lt;li&gt;Social Innovation and Impact&lt;/li&gt;&lt;li&gt;Women-led and Early-Stage Startups&lt;/li&gt;&lt;li&gt;Education and Employability Skills Training&lt;/li&gt;&lt;li&gt;Lean Canvas, MVP/Prototype Development&lt;/li&gt;&lt;li&gt;Outreach and Strategic Partnerships&lt;/li&gt;&lt;li&gt;Diversity and Inclusivity&lt;/li&gt;&lt;/ul&gt;&lt;p&gt;&lt;br&gt;&lt;/p&gt;Problem Solving Approach&lt;/strong&gt;&lt;/p&gt;&lt;ul&gt;&lt;li&gt;Collaborative, open communication with integrity.&lt;/li&gt;&lt;li&gt;Constructive feedback with a focus on positive and proactive engagement.&lt;/li&gt;&lt;li&gt;Encourages diverse perspectives and creative problem-solving.&lt;/li&gt;&lt;li&gt;Emphasizes two-way communication and alignment with mentees’ goals.&lt;/li&gt;&lt;/ul&gt;&lt;p&gt;&lt;br&gt;&lt;/p&gt;Impactful Projects&lt;/strong&gt;&lt;/p&gt;&lt;ul&gt;&lt;li&gt;Mentored over 1,000 school students on social innovation.&lt;/li&gt;&lt;li&gt;Trained 5,000+ college students in employability skills.&lt;/li&gt;&lt;li&gt;Supported 100+ women career returnees in reskilling and regaining career momentum.&lt;/li&gt;&lt;li&gt;Led a program on unconscious bias for 150+ women across six countries.&lt;/li&gt;&lt;li&gt;Provided strategy consulting to 50+ early-stage women-led startups and 30+ social impact studentpreneurs.&lt;/li&gt;&lt;/ul&gt;&lt;p&gt;&lt;br&gt;&lt;/p&gt;Consulting Style&lt;/strong&gt;&lt;/p&gt;&lt;ul&gt;&lt;li&gt;Collaborative approach towards common goals with mentees.&lt;/li&gt;&lt;li&gt;Proactive, diverse, and creative in problem-solving.&lt;/li&gt;&lt;li&gt;Focus on creating a comfortable, non-offensive, and positive environment for mentorship.&lt;/li&gt;&lt;/ul&gt;</t>
  </si>
  <si>
    <t>https://www.linkedin.com/in/shrddhas/</t>
  </si>
  <si>
    <t>shrddhashetty@yahoo.com</t>
  </si>
  <si>
    <t>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Go to Market Strategy || Growth Strategy Formulation || Organizational Development || Prototyping &amp; Testing || Business Model Development || Go to Market Strategy</t>
  </si>
  <si>
    <t>Agriculture &amp; Food Processing || Agriculture &amp; Food Processing || Agriculture &amp; Food Processing || Agriculture &amp; Food Processing || CleanTech || CleanTech || CleanTech || CleanTech || Education &amp; Training || Education &amp; Training || Education &amp; Training || Education &amp; Training || Fashion &amp; Beauty || Fashion &amp; Beauty || Fashion &amp; Beauty || Fashion &amp; Beauty || Media, Arts &amp; Entertainment || Media, Arts &amp; Entertainment || Media, Arts &amp; Entertainment || Media, Arts &amp; Entertainment || Others || Others || Others || Others || Pharmaceuticals, Healthcare and Wellness || Pharmaceuticals, Healthcare and Wellness || Pharmaceuticals, Healthcare and Wellness || Pharmaceuticals, Healthcare and Wellness || Social &amp; Community Services || Social &amp; Community Services || Social &amp; Community Services || Social &amp; Community Services || Technology &amp; Innovation || Technology &amp; Innovation || Technology &amp; Innovation || Technology &amp; Innovation || Tourism &amp; Hospitality || Tourism &amp; Hospitality || Tourism &amp; Hospitality || Tourism &amp; Hospitality || Agriculture &amp; Food Processing || Agriculture &amp; Food Processing || Agriculture &amp; Food Processing || Agriculture &amp; Food Processing || CleanTech || CleanTech || CleanTech || CleanTech || Education &amp; Training || Education &amp; Training || Education &amp; Training || Education &amp; Training || Fashion &amp; Beauty || Fashion &amp; Beauty || Fashion &amp; Beauty || Fashion &amp; Beauty || Media, Arts &amp; Entertainment || Media, Arts &amp; Entertainment || Media, Arts &amp; Entertainment || Media, Arts &amp; Entertainment || Others || Others || Others || Others || Pharmaceuticals, Healthcare and Wellness || Pharmaceuticals, Healthcare and Wellness || Pharmaceuticals, Healthcare and Wellness || Pharmaceuticals, Healthcare and Wellness || Social &amp; Community Services || Social &amp; Community Services || Social &amp; Community Services || Social &amp; Community Services || Technology &amp; Innovation || Technology &amp; Innovation || Technology &amp; Innovation || Technology &amp; Innovation || Tourism &amp; Hospitality || Tourism &amp; Hospitality || Tourism &amp; Hospitality || Tourism &amp; Hospitality || Social &amp; Community Services || Software &amp; IT Services</t>
  </si>
  <si>
    <t>Shreekant Patil</t>
  </si>
  <si>
    <t>Parent Nashik</t>
  </si>
  <si>
    <t>Summary: &lt;/strong&gt;Shreekant is a distinguished mentor and Founder of Paramount Enterprises, known for its renowned brand PARENTNashik, which provides high-quality resistance-robotic spot welding gun parts globally. With extensive experience in engineering and business, Shreekant has significantly contributed to the automotive, switchgear, and electronics industries. His leadership and strategic vision have guided Paramount Enterprises since its establishment in 2004.&lt;/p&gt;&lt;p&gt;&lt;br&gt;&lt;/p&gt;Key Areas of Expertise:&lt;/strong&gt;&lt;/p&gt;&lt;ul&gt;&lt;li&gt;&lt;strong&gt;Welding Technology:&lt;/strong&gt; Expertise in developing spot welding consumables and robotic welding solutions.&lt;/li&gt;&lt;li&gt;&lt;strong&gt;Startup Mentoring:&lt;/strong&gt; Guidance and support for emerging startups in various sectors.&lt;/li&gt;&lt;li&gt;&lt;strong&gt;Business Strategy:&lt;/strong&gt; Strategic direction and Product Management development for growth and efficiency.&lt;/li&gt;&lt;li&gt;&lt;strong&gt;Export and International Business:&lt;/strong&gt; Facilitating global business expansion and compliance with international standards.&lt;/li&gt;&lt;li&gt;&lt;strong&gt;Lean and Quality Consulting:&lt;/strong&gt; Certified in LEAN, ZED, and MSME consulting.&lt;/li&gt;&lt;/ul&gt;&lt;p&gt;&lt;br&gt;&lt;/p&gt;Strategic Contributions:&lt;/strong&gt;&lt;/p&gt;&lt;ul&gt;&lt;li&gt;&lt;strong&gt;Business Growth:&lt;/strong&gt; Led Paramount Enterprises to become a global supplier of welding technology, serving major automobile brands in India, Europe, and the USA.&lt;/li&gt;&lt;li&gt;&lt;strong&gt;Innovation:&lt;/strong&gt; Developed advanced welding components, including 3D busbars for switchgear industries, ensuring cost-efficiency and high quality.&lt;/li&gt;&lt;li&gt;&lt;strong&gt;Awards and Recognition:&lt;/strong&gt; Received the Excellence Award for Industrial Development 2018 in India and Asia's Leading Entrepreneur in Small Business India 2019.&lt;/li&gt;&lt;/ul&gt;&lt;p&gt;&lt;br&gt;&lt;/p&gt;Mentorship Philosophy:&lt;/strong&gt; Shreekant believes in empowering startups through hands-on mentorship, leveraging his extensive industry experience to guide entrepreneurs in scaling their businesses and navigating the challenges of the global market. His approach emphasizes practical solutions, strategic planning, and fostering innovation to drive success.&lt;/p&gt;&lt;p&gt;&lt;br&gt;&lt;/p&gt;Success Stories:&lt;/strong&gt;&lt;/p&gt;&lt;ul&gt;&lt;li&gt;&lt;strong&gt;Paramount Enterprises:&lt;/strong&gt; Successfully transitioned from a small local business to an international supplier of high-quality welding parts, enhancing its reputation in the global market.&lt;/li&gt;&lt;li&gt;&lt;strong&gt;Startup Support:&lt;/strong&gt; Actively mentored startups at MAARG Startup India and various incubators, helping them achieve significant growth and operational excellence.&lt;/li&gt;&lt;li&gt;&lt;strong&gt;Community Impact:&lt;/strong&gt; Contributed to the development of innovative solutions for industries and supported numerous entrepreneurs in their journey to success.&lt;/li&gt;&lt;/ul&gt;</t>
  </si>
  <si>
    <t>https://in.linkedin.com/in/shreekantpatilparamount</t>
  </si>
  <si>
    <t>shreekant@parentnashik.com</t>
  </si>
  <si>
    <t>Go to Market Strategy || Go to Market Strategy || Go to Market Strategy || Go to Market Strategy || Go to Market Strategy || Go to Market Strategy || Go to Market Strategy || Go to Market Strategy || Go to Market Strategy || Product Management || Leadership Coaching</t>
  </si>
  <si>
    <t>Industrial Automation &amp; Manufacturing || Services || Technology &amp; Innovation || Industrial Automation &amp; Manufacturing || Services || Technology &amp; Innovation || Industrial Automation &amp; Manufacturing || Services || Technology &amp; Innovation || Manufacturing</t>
  </si>
  <si>
    <t>Shreyas Bakshi</t>
  </si>
  <si>
    <t>DWM Innovations</t>
  </si>
  <si>
    <t>Summary:&lt;/strong&gt; Shreyas is passionate about democratizing innovation and building innovation ecosystems within and across organizations. With a rich background in leading ventures from conceptualization to commercialization, he is recognized for his ability to inspire and guide innovation at various levels.&lt;/p&gt;&lt;p&gt;&lt;br&gt;&lt;/p&gt;Core Expertise:&lt;/strong&gt; Shreyas specializes in innovation leadership, strategic business planning, business transformation, and identifying new opportunities across diverse contexts. His experience spans multiple industries, making him a versatile asset in both Product Management and service innovation.&lt;/p&gt;&lt;p&gt;&lt;br&gt;&lt;/p&gt;Problem-Solving Approach:&lt;/strong&gt; Shreyas is known for his ability to navigate complex situations by understanding the unique dynamics at play. He customizes his approach to fit the specific needs of each client, ensuring that his solutions are both practical and impactful. His leadership style focuses on building comfort outside the comfort zone, enabling teams to embrace change and pursue new opportunities.&lt;/p&gt;&lt;p&gt;&lt;br&gt;&lt;/p&gt;Impactful Projects:&lt;/strong&gt; Shreyas has led numerous first-of-their-kind ventures, resulting in the creation of new Product Managements, services, processes, business models, and even entire businesses. His work has consistently delivered tangible results, driving growth and transformation in the organizations he partners with.&lt;/p&gt;&lt;p&gt;&lt;br&gt;&lt;/p&gt;Consultation Style:&lt;/strong&gt; Shreyas is highly approachable and tailors his guidance to the individual needs of his clients. He is an inspiring coach who works closely with CXOs and other leaders to foster a culture of innovation. His engagement style is collaborative, ensuring that his clients feel supported and empowered throughout the innovation process.&lt;/p&gt;</t>
  </si>
  <si>
    <t>https://www.linkedin.com/in/shreyasbakshi/</t>
  </si>
  <si>
    <t>shreyas@dwminnovations.com</t>
  </si>
  <si>
    <t>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Go to Market Strategy || Prototyping &amp; Testing || Software Development || Strategic Planning</t>
  </si>
  <si>
    <t>Agriculture &amp; Food Processing || Agriculture &amp; Food Processing || AI, Big Data &amp; Analytics || AI, Big Data &amp; Analytics || Education &amp; Training || Education &amp; Training || Industrial Automation &amp; Manufacturing || Industrial Automation &amp; Manufacturing || Pharmaceuticals, Healthcare and Wellness || Pharmaceuticals, Healthcare and Wellness || Technology &amp; Innovation || Technology &amp; Innovation || Tourism &amp; Hospitality || Tourism &amp; Hospitality || Agriculture &amp; Food Processing || Agriculture &amp; Food Processing || AI, Big Data &amp; Analytics || AI, Big Data &amp; Analytics || Education &amp; Training || Education &amp; Training || Industrial Automation &amp; Manufacturing || Industrial Automation &amp; Manufacturing || Pharmaceuticals, Healthcare and Wellness || Pharmaceuticals, Healthcare and Wellness || Technology &amp; Innovation || Technology &amp; Innovation || Tourism &amp; Hospitality || Tourism &amp; Hospitality || Agriculture &amp; Food Processing || Agriculture &amp; Food Processing || AI, Big Data &amp; Analytics || AI, Big Data &amp; Analytics || Education &amp; Training || Education &amp; Training || Industrial Automation &amp; Manufacturing || Industrial Automation &amp; Manufacturing || Pharmaceuticals, Healthcare and Wellness || Pharmaceuticals, Healthcare and Wellness || Technology &amp; Innovation || Technology &amp; Innovation || Tourism &amp; Hospitality || Tourism &amp; Hospitality || Automotive &amp; Auto Components || Software &amp; IT Services</t>
  </si>
  <si>
    <t>Shridhar Lolla</t>
  </si>
  <si>
    <t xml:space="preserve"> CVMark Consulting</t>
  </si>
  <si>
    <t>Summary&lt;/strong&gt;&lt;/p&gt;&lt;p&gt;Mr. Shridhar is a seasoned advisor with a strong focus on growth strategy, operational excellence, and business model innovation. He has worked extensively with organizations of all sizes across sectors such as IT, eMobility, manufacturing, healthcare, pharmaceuticals, and industrial automation. With a rich history of involvement in India’s startup and SME ecosystem, Mr. Shridhar helps businesses and leaders realize their full potential by identifying leverage points for improvement. His experience includes collaborating with global organizations, co-authoring impactful books, and leading transformational projects in China, all aimed at empowering business leaders to navigate uncertainty and complexity.&lt;/p&gt;&lt;p&gt;&lt;br&gt;&lt;/p&gt;Core Expertise&lt;/strong&gt;&lt;/p&gt;&lt;ul&gt;&lt;li&gt;Growth Strategy&lt;/li&gt;&lt;li&gt;Business Model Innovation&lt;/li&gt;&lt;li&gt;Operational Excellence (Theory of Constraints)&lt;/li&gt;&lt;li&gt;Entrepreneurship Development&lt;/li&gt;&lt;li&gt;Focused Execution&lt;/li&gt;&lt;/ul&gt;&lt;p&gt;&lt;br&gt;&lt;/p&gt;Problem Solving Approach&lt;/strong&gt;&lt;/p&gt;&lt;ul&gt;&lt;li&gt;Empowers business leaders to leverage powerful thinking tools and techniques, even under resource constraints and uncertainty.&lt;/li&gt;&lt;li&gt;Guides entrepreneurs in identifying business leverage points to unlock potential and enhance performance.&lt;/li&gt;&lt;/ul&gt;&lt;p&gt;&lt;br&gt;&lt;/p&gt;Impactful Projects&lt;/strong&gt;&lt;/p&gt;&lt;ul&gt;&lt;li&gt;Led large operational excellence initiatives with Goldratt Consulting, transforming businesses in China.&lt;/li&gt;&lt;li&gt;Co-created books like &lt;em&gt;The Path&lt;/em&gt; and &lt;em&gt;Building Manufacturing Competitiveness&lt;/em&gt;, focusing on operational excellence and business model innovation.&lt;/li&gt;&lt;li&gt;Played a key role in the startup management team of ABB's Industrial IT Research Centre in India.&lt;/li&gt;&lt;/ul&gt;&lt;p&gt;&lt;br&gt;&lt;/p&gt;Consulting Style&lt;/strong&gt;&lt;/p&gt;&lt;ul&gt;&lt;li&gt;Hands-on approach, focusing on empowering leaders and entrepreneurs.&lt;/li&gt;&lt;li&gt;Deep collaboration with clients across industries to co-create strategies and solutions.&lt;/li&gt;&lt;/ul&gt;</t>
  </si>
  <si>
    <t>http://www.linkedin.com/in/lolla</t>
  </si>
  <si>
    <t>lolla@cvmark.com</t>
  </si>
  <si>
    <t>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Business Model Development || Growth Strategy Formulation || Sustainable Operations || Growth Strategy Formulation || Business Model Development</t>
  </si>
  <si>
    <t>Automobiles &amp; Auto Components || Automobiles &amp; Auto Components || Automobiles &amp; Auto Components || Industrial Automation &amp; Manufacturing || Industrial Automation &amp; Manufacturing || Industrial Automation &amp; Manufacturing || Pharmaceuticals, Healthcare and Wellness || Pharmaceuticals, Healthcare and Wellness || Pharmaceuticals, Healthcare and Wellness || Technology &amp; Innovation || Technology &amp; Innovation || Technology &amp; Innovation || Automobiles &amp; Auto Components || Automobiles &amp; Auto Components || Automobiles &amp; Auto Components || Industrial Automation &amp; Manufacturing || Industrial Automation &amp; Manufacturing || Industrial Automation &amp; Manufacturing || Pharmaceuticals, Healthcare and Wellness || Pharmaceuticals, Healthcare and Wellness || Pharmaceuticals, Healthcare and Wellness || Technology &amp; Innovation || Technology &amp; Innovation || Technology &amp; Innovation || Automobiles &amp; Auto Components || Automobiles &amp; Auto Components || Automobiles &amp; Auto Components || Industrial Automation &amp; Manufacturing || Industrial Automation &amp; Manufacturing || Industrial Automation &amp; Manufacturing || Pharmaceuticals, Healthcare and Wellness || Pharmaceuticals, Healthcare and Wellness || Pharmaceuticals, Healthcare and Wellness || Technology &amp; Innovation || Technology &amp; Innovation || Technology &amp; Innovation || Software &amp; IT Services || Automotive &amp; Auto Components</t>
  </si>
  <si>
    <t>Shridhar N Upadhye</t>
  </si>
  <si>
    <t>JobsPorto</t>
  </si>
  <si>
    <t>&lt;p&gt;Summary Mr. Shridhar N Upadhye is a seasoned professional with over 27 years of experience across various strategic roles, including business operations, customer experience, customer success, CRM, and service delivery. His industry expertise spans sectors such as AV integration, education, healthcare, and interior design. Currently, he serves as Senior General Manager – Customer Experience at HomeLane, overseeing key functions like Customer Experience, Contact Centre, and Field Support across India. Shridhar has also founded his own start-up, The Living Walls, and actively mentors early-stage start-ups, offering guidance on scaling, pricing, and growth strategy. Shridhar is also an angel investor through Let's Venture platform. Currently he is working on his 2nd startup in Oral Healthcare called 'TruMed Dental' in offering affordable, accessible &amp;amp; tech enabled oral healthcare services domain. This new startup will be launched shortly within the next few weeks. Key Areas of Expertise Operations Management Customer Experience &amp;amp; Success CRM (Customer Relationship Management) Tech Support Key Account Management Channel Management Project Management Process Re-engineering Operational Strategy Business Delivery Start-up Mentorship Strategic Contributions Scaled Pearson's digital classroom project to 27,000 classrooms in six years. Played a key role in expanding start-ups like Portea, CallHealth, and Nightingales Healthcare. Founded and successfully ran The Living Walls. Led operations, customer experience, and CRM in multiple companies, including Medwell Ventures, CallHealth, and Portea Medical. Mentored start-ups on growth strategies, pricing, and GTM (Go-to-Market) strategies. Mentorship Philosophy Mr. Shridhar actively mentors early-stage start-ups, providing them with practical guidance on scaling, pricing strategies, and Go-to-Market planning. He also helps fresh graduates shape their start-up ideas and evaluates business plans as a jury member for the National B-Plan Championship. Success Stories Successfully scaled Pearson's digital classroom project. Mentored start-ups to achieve growth and sustainability. Contributed to the growth of healthcare start-ups like Portea and CallHealth. Skills (Additional) Leadership in Customer Experience Business Delivery and CRM&lt;/p&gt;</t>
  </si>
  <si>
    <t>https://www.linkedin.com/in/shridhar-n-upadhye-35588916/?utm_source=share&amp;utm_campaign=share_via&amp;utm_content=profile&amp;utm_medium=android_app</t>
  </si>
  <si>
    <t>shridharnu@gmail.com</t>
  </si>
  <si>
    <t>Business Model Development || HR Consulting || Buisness Operations</t>
  </si>
  <si>
    <t>Agriculture &amp; Food Processing || HR Services</t>
  </si>
  <si>
    <t>Shripad Kulkarni</t>
  </si>
  <si>
    <t>Service Line Specialist</t>
  </si>
  <si>
    <t>Cognizant</t>
  </si>
  <si>
    <t>Summary:&lt;/strong&gt; Shripad is a seasoned professional with extensive experience in managing portfolios within the Health Sciences vertical, focusing on business growth and maintaining project financial health. As a Service Line/Commercial Lead, he is adept at driving presales and solution proposals, collaborating across teams to deliver successful outcomes. His expertise spans across ERP solutions, supply chain processes, and IT management, making him a valuable resource in the field.&lt;/p&gt;&lt;p&gt;&lt;br&gt;&lt;/p&gt;Core Expertise:&lt;/strong&gt; Shripad specializes in:&lt;/p&gt;&lt;ul&gt;&lt;li&gt;ERP Solutioning&lt;/li&gt;&lt;li&gt;Supply Chain Operations&lt;/li&gt;&lt;li&gt;Financial Management&lt;/li&gt;&lt;li&gt;Health Sciences Vertical&lt;/li&gt;&lt;li&gt;Proposal Management and GTM (Go-To-Market) Strategies&lt;/li&gt;&lt;/ul&gt;&lt;p&gt;&lt;br&gt;&lt;/p&gt;Problem-Solving Approach:&lt;/strong&gt; Shripad employs a strategic and methodical approach to problem-solving, focusing on thorough risk evaluation and financial management. He works closely with client partners, competencies, and support teams to create solutions that are not only innovative but also financially sound. His ability to manage the commercial aspects of ongoing projects ensures that they remain profitable and aligned with business objectives throughout their lifecycle.&lt;/p&gt;&lt;p&gt;&lt;br&gt;&lt;/p&gt;Impactful Projects:&lt;/strong&gt; Shripad has led several high-impact projects, particularly in the areas of ERP implementation and supply chain optimization. His work has resulted in significant improvements in operational efficiency and cost savings for his clients. He has been instrumental in developing solutions for Oracle ERP, specifically within the domains of Order Management, Purchasing, and Sourcing, driving substantial business growth.&lt;/p&gt;&lt;p&gt;&lt;br&gt;&lt;/p&gt;Consultation Style:&lt;/strong&gt; Shripad’s consultation style is highly collaborative and tailored to the specific needs of his clients. He believes in open communication and works closely with stakeholders to understand their unique challenges. By leveraging his extensive experience and technical expertise, Shripad provides actionable insights and solutions that are both practical and strategically aligned with the client’s goals.&lt;/p&gt;</t>
  </si>
  <si>
    <t>https://www.linkedin.com/in/shripadgkulkarni</t>
  </si>
  <si>
    <t>shripadgkulkarni@gmail.com</t>
  </si>
  <si>
    <t>Budgeting &amp; Financial Modeling || Go to Market Strategy || Sales Strategy || Supply Chain Management || Tech Strategy &amp; Infrastructure || Budgeting &amp; Financial Modeling || Go to Market Strategy || Sales Strategy || Supply Chain Management || Tech Strategy &amp; Infrastructure || Budgeting &amp; Financial Modeling || Go to Market Strategy || Sales Strategy || Supply Chain Management || Tech Strategy &amp; Infrastructure || Budgeting &amp; Financial Modeling || Go to Market Strategy || Sales Strategy || Supply Chain Management || Tech Strategy &amp; Infrastructure || Budgeting &amp; Financial Modeling || Go to Market Strategy || Sales Strategy || Supply Chain Management || Tech Strategy &amp; Infrastructure || Budgeting &amp; Financial Modeling || Go to Market Strategy || Sales Strategy || Supply Chain Management || Tech Strategy &amp; Infrastructure || IT Consulting || Go to Market Strategy</t>
  </si>
  <si>
    <t>AI, Big Data &amp; Analytics || AI, Big Data &amp; Analytics || AI, Big Data &amp; Analytics || AI, Big Data &amp; Analytics || AI, Big Data &amp; Analytics || Transportation &amp; Logistics || Transportation &amp; Logistics || Transportation &amp; Logistics || Transportation &amp; Logistics || Transportation &amp; Logistics || AI, Big Data &amp; Analytics || AI, Big Data &amp; Analytics || AI, Big Data &amp; Analytics || AI, Big Data &amp; Analytics || AI, Big Data &amp; Analytics || Transportation &amp; Logistics || Transportation &amp; Logistics || Transportation &amp; Logistics || Transportation &amp; Logistics || Transportation &amp; Logistics || AI, Big Data &amp; Analytics || AI, Big Data &amp; Analytics || AI, Big Data &amp; Analytics || AI, Big Data &amp; Analytics || AI, Big Data &amp; Analytics || Transportation &amp; Logistics || Transportation &amp; Logistics || Transportation &amp; Logistics || Transportation &amp; Logistics || Transportation &amp; Logistics || Software &amp; IT Services</t>
  </si>
  <si>
    <t>Shubham Sharma</t>
  </si>
  <si>
    <t>Business Head</t>
  </si>
  <si>
    <t>Unanimity Capital</t>
  </si>
  <si>
    <t>Shubham Sharma is an Investment Banker with 8+ years of experience across Private Equity, Venture Capital, Fundraising, and Strategic Advisory, working closely with startups and high-growth ventures in the Consumer, Industrial, and Technology sectors. He leads end-to-end mandates for startups from Pre-Series A to Series B, covering deal sourcing, evaluation, structuring, and negotiation.
His work focuses on growth capital syndication, M&amp;A advisory, and strategic partnerships, helping founders achieve deal readiness, investor alignment, and long-term scale. Shubham’s core strength lies in identifying high-potential businesses early and matching them with the right capital partners to unlock sustainable value.
Skillset
Startup Fundraising &amp; Capital Advisory
Investment Syndication &amp; Capital Structuring
Deal Evaluation &amp; Negotiation
Investor Relations &amp; Strategic Partnerships
Early-Stage &amp; Growth-Stage Advisory
PE &amp; VC Transaction Execution</t>
  </si>
  <si>
    <t>https://www.linkedin.com/in/shubham-sharma-a764a2104/</t>
  </si>
  <si>
    <t>shubham.vnv@gmail.com</t>
  </si>
  <si>
    <t>Entity Formation || Fundraising || Investment Banking || Tax Incentives || Trade Compliance || Entity Formation || Fundraising || Investment Banking || Tax Incentives || Trade Compliance || Entity Formation || Fundraising || Investment Banking || Tax Incentives || Trade Compliance || Entity Formation || Fundraising || Investment Banking || Tax Incentives || Trade Compliance || Entity Formation || Fundraising || Investment Banking || Tax Incentives || Trade Compliance || Entity Formation || Fundraising || Investment Banking || Tax Incentives || Trade Compliance || Entity Formation || Fundraising || Investment Banking || Tax Incentives || Trade Compliance || Entity Formation || Fundraising || Investment Banking || Tax Incentives || Trade Compliance || Entity Formation || Fundraising || Investment Banking || Tax Incentives || Trade Compliance || Entity Formation || Fundraising || Investment Banking || Tax Incentives || Trade Compliance || Entity Formation || Fundraising || Investment Banking || Tax Incentives || Trade Compliance || Entity Formation || Fundraising || Investment Banking || Tax Incentives || Trade Compliance || Investing</t>
  </si>
  <si>
    <t>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Fashion &amp; Beauty || Fashion &amp; Beauty || Fashion &amp; Beauty || Fashion &amp; Beauty || Fashion &amp; Beauty || FinTech || FinTech || FinTech || FinTech || FinTech || Retail &amp; e-Commerce || Retail &amp; e-Commerce || Retail &amp; e-Commerce || Retail &amp; e-Commerce || Retail &amp; e-Commerce || Services || Services || Services || Services || Services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Fashion &amp; Beauty || Fashion &amp; Beauty || Fashion &amp; Beauty || Fashion &amp; Beauty || Fashion &amp; Beauty || FinTech || FinTech || FinTech || FinTech || FinTech || Retail &amp; e-Commerce || Retail &amp; e-Commerce || Retail &amp; e-Commerce || Retail &amp; e-Commerce || Retail &amp; e-Commerce || Services || Services || Services || Services || Services || Venture Funding</t>
  </si>
  <si>
    <t>Shweta Raka</t>
  </si>
  <si>
    <t>SM Business Ventures</t>
  </si>
  <si>
    <t>&lt;h3&gt;&lt;strong&gt;Summary:&lt;/strong&gt;&lt;/h3&gt;&lt;p&gt;Ms. Shweta has spent over a decade cultivating her skills in business growth, embodying an entrepreneurial spirit characterized by dedication, passion, innovation, and a relentless pursuit of growth. Her brainchild, IndusTreeBiz, serves as a dedicated Success Partner, helping manufacturers, MSMEs, brands, startups, and entrepreneurs achieve significant milestones. Within just one year, IndusTreeBiz has been instrumental in generating over 45 crore in cumulative revenue for its clients.&lt;/p&gt;&lt;p&gt;&lt;br&gt;&lt;/p&gt;&lt;h3&gt;&lt;strong&gt;Key Areas of Expertise:&lt;/strong&gt;&lt;/h3&gt;&lt;ul&gt;&lt;li&gt;Brand Consulting&lt;/li&gt;&lt;li&gt;Business Consulting&lt;/li&gt;&lt;li&gt;Business Development&lt;/li&gt;&lt;li&gt;Business Funding (50L to 1000Cr+ in Debt &amp;amp; Equity)&lt;/li&gt;&lt;li&gt;Marketing Support&lt;/li&gt;&lt;li&gt;Sales Training&lt;/li&gt;&lt;li&gt;Organic Lead Generation&lt;/li&gt;&lt;li&gt;LinkedIn Marketing&lt;/li&gt;&lt;li&gt;E-commerce Management&lt;/li&gt;&lt;li&gt;Social Media Marketing&lt;/li&gt;&lt;li&gt;Government Tendering&lt;/li&gt;&lt;li&gt;Website Development&lt;/li&gt;&lt;li&gt;Startup Mentoring&lt;/li&gt;&lt;li&gt;Pitchdeck&lt;/li&gt;&lt;li&gt;Export Consulting&lt;/li&gt;&lt;/ul&gt;&lt;p&gt;&lt;br&gt;&lt;/p&gt;&lt;h3&gt;&lt;strong&gt;Strategic Contributions:&lt;/strong&gt;&lt;/h3&gt;&lt;ul&gt;&lt;li&gt;Successfully consulted 215+ businesses and aided 147+ startups in their growth.&lt;/li&gt;&lt;li&gt;Handled 30+ curated startup funding cases since the inception of IndusTreeBiz on January 23, 2023.&lt;/li&gt;&lt;li&gt;Contributed to India's business ecosystem through roles as a 'Mentor of Change' at NITI Aayog, a Startup Mentor at IIT Bombay and IIT Madras, and a Funding Advisor.&lt;/li&gt;&lt;/ul&gt;&lt;p&gt;&lt;br&gt;&lt;/p&gt;&lt;h3&gt;&lt;strong&gt;Mentorship Philosophy:&lt;/strong&gt;&lt;/h3&gt;&lt;ul&gt;&lt;li&gt;As a Business Coach for the Delhi Government, the aim is to align aspirations with the growth of fellow entrepreneurs.&lt;/li&gt;&lt;li&gt;At IndusTreeBiz, the entrepreneurial journey is a shared odyssey, where Shweta and her team act not just as consultants but as dedicated partners, guiding through the complexities of business.&lt;/li&gt;&lt;/ul&gt;&lt;p&gt;&lt;br&gt;&lt;/p&gt;&lt;h3&gt;&lt;strong&gt;Success Stories:&lt;/strong&gt;&lt;/h3&gt;&lt;ul&gt;&lt;li&gt;IndusTreeBiz has helped businesses achieve over 45+ cr in cumulative revenue within a year.&lt;/li&gt;&lt;li&gt;Successfully consulted 215+ businesses and aided 147+ startups in their growth.&lt;/li&gt;&lt;li&gt;Handled 30+ curated startup funding cases in the last year.&lt;/li&gt;&lt;/ul&gt;</t>
  </si>
  <si>
    <t>https://www.linkedin.com/in/shwetaraka/</t>
  </si>
  <si>
    <t>shweta.industreebiz@gmail.com</t>
  </si>
  <si>
    <t>Branding || Business Model Development || Digital Marketing || E-commerce Management || Export || Fundraising || Market access || Market research || Marketing || Pitch coaching || Sales Strategy || Social Media Marketing || Tech Strategy &amp; Infrastructure || Branding || Business Model Development || Digital Marketing || E-commerce Management || Export || Fundraising || Market access || Market research || Marketing || Pitch coaching || Sales Strategy || Social Media Marketing || Tech Strategy &amp; Infrastructure || Branding || Business Model Development || Digital Marketing || E-commerce Management || Export || Fundraising || Market access || Market research || Marketing || Pitch coaching || Sales Strategy || Social Media Marketing || Tech Strategy &amp; Infrastructure || Branding || Business Model Development || Digital Marketing || E-commerce Management || Export || Fundraising || Market access || Market research || Marketing || Pitch coaching || Sales Strategy || Social Media Marketing || Tech Strategy &amp; Infrastructure || Training &amp; Development || Business Model Development</t>
  </si>
  <si>
    <t>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Social &amp; Community Services</t>
  </si>
  <si>
    <t>Siddesh Biyani</t>
  </si>
  <si>
    <t>Synergia Legal</t>
  </si>
  <si>
    <t>Corporate &amp; Transactional Lawyer based in Hyderabad with expertise in venture deals, M&amp;A, and corporate governance. Currently working at Synergia Legal as Corporate Lawyer. He has progressively built his legal expertise across top-tier firms including IndusLaw, Khaitan &amp; Co, Themis Associates, and Algo Legal, with extensive experience in corporate law, transactional work, IPR litigation, and legal research across multiple domains.
Skills: Corporate Law, M&amp;A, Venture Deals, Corporate Governance, Due Diligence, Legal Opinion Drafting, IPR Litigation, Contract Drafting, Corporate Transaction Expertise, Research &amp; Analysis, Arbitration Law, FDI Regulations</t>
  </si>
  <si>
    <t>https://in.linkedin.com/in/siddesh-biyani-08b320b1</t>
  </si>
  <si>
    <t>siddesh.biyani@synergialegal.com</t>
  </si>
  <si>
    <t>Audit &amp; Compliance || Compliance Assistance || Fundraising || Audit &amp; Compliance || Compliance Assistance || Fundraising || Audit &amp; Compliance || Compliance Assistance || Fundraising || Audit &amp; Compliance || Compliance Assistance || Fundraising || Audit &amp; Compliance || Compliance Assistance || Fundraising || Audit &amp; Compliance || Compliance Assistance || Fundraising || Audit &amp; Compliance || Compliance Assistance || Fundraising || Audit &amp; Compliance || Compliance Assistance || Fundraising || Audit &amp; Compliance || Compliance Assistance || Fundraising || Audit &amp; Compliance || Compliance Assistance || Fundraising || Audit &amp; Compliance || Compliance Assistance || Fundraising || Audit &amp; Compliance || Compliance Assistance || Fundraising || Audit &amp; Compliance || Compliance Assistance || Fundraising || Audit &amp; Compliance || Compliance Assistance || Fundraising || Legal and Compliance</t>
  </si>
  <si>
    <t>Advanced Manufacturing &amp; Robotics || Advanced Manufacturing &amp; Robotics || Advanced Manufacturing &amp; Robotics || AI, Big Data &amp; Analytics || AI, Big Data &amp; Analytics || AI, Big Data &amp; Analytics || CleanTech || CleanTech || CleanTech || E-Commerce || E-Commerce || E-Commerce || EdTech || EdTech || EdTech || FinTech || FinTech || FinTech || Gaming || Gaming || Gaming || Healthtech &amp; Wellness || Healthtech &amp; Wellness || Healthtech &amp; Wellness || IT &amp; Communication || IT &amp; Communication || IT &amp; Communication || Media &amp; Entertainment || Media &amp; Entertainment || Media &amp; Entertainment || Mobility || Mobility || Mobility || Others || Others || Others || Security &amp; Defence || Security &amp; Defence || Security &amp; Defence || Services || Services || Services || Legal Services</t>
  </si>
  <si>
    <t>Siddharth Ramakrishnan</t>
  </si>
  <si>
    <t>SSE</t>
  </si>
  <si>
    <t>Meta</t>
  </si>
  <si>
    <t>Summary:&lt;/strong&gt;&amp;nbsp;&lt;/p&gt;&lt;p&gt;&lt;span style="color: inherit;"&gt;Siddharth&lt;/span&gt;&amp;nbsp;is a seasoned Staff Software Engineer with extensive experience in leading teams and developing innovative solutions for complex technical challenges. Currently at Meta,&amp;nbsp;&lt;span style="color: inherit;"&gt;Siddharth&lt;/span&gt;&amp;nbsp;leads a team of machine learning and software engineers to create long-term and sustainable integrity solutions for ads running on Meta platforms. His prior experience includes a significant tenure at Google, where he served as a Senior Software Engineer (SSE) and Tech Lead in various high-impact roles.&lt;/p&gt;&lt;p&gt;&lt;br&gt;&lt;/p&gt;Core Expertise:&lt;/strong&gt;&lt;/p&gt;&lt;ul&gt;&lt;li&gt;Machine Learning and AI&lt;/li&gt;&lt;li&gt;Software Engineering&lt;/li&gt;&lt;li&gt;Big Data Processing and Analytics&lt;/li&gt;&lt;li&gt;Privacy, Legal, and Security Compliance&lt;/li&gt;&lt;li&gt;Experiment Design and Data Evaluation&lt;/li&gt;&lt;/ul&gt;&lt;p&gt;&lt;br&gt;&lt;/p&gt;Problem-Solving Approach:&lt;/strong&gt;&amp;nbsp;&lt;span style="color: inherit;"&gt;Siddharth&lt;/span&gt;&amp;nbsp;utilizes a data-driven and collaborative approach to tackle complex technical problems. His expertise in developing scalable solutions and leading cross-functional teams enables him to address intricate privacy, legal, and regulatory challenges effectively.&amp;nbsp;&lt;span style="color: inherit;"&gt;Siddharth&lt;/span&gt;'s focus on sustainability and performance optimization ensures that his solutions are both innovative and practical.&lt;/p&gt;&lt;p&gt;&lt;br&gt;&lt;/p&gt;Impactful Projects:&lt;/strong&gt;&lt;/p&gt;&lt;ul&gt;&lt;li&gt;At Meta,&amp;nbsp;&lt;span style="color: inherit;"&gt;Siddharth&lt;/span&gt;&amp;nbsp;leads the development of integrity solutions for ads, aiming to enhance the sustainability and reliability of advertising processes on Meta platforms.&lt;/li&gt;&lt;li&gt;At Google Health, he designed and developed solutions to improve patient health outcomes, leading cross-team efforts to address privacy and regulatory issues in consumer health. As Tech Lead for Survey Lift,&amp;nbsp;&lt;span style="color: inherit;"&gt;Siddharth&lt;/span&gt;&amp;nbsp;developed and scaled big data processing pipelines, significantly improving report generation speed and handling substantial data volumes. He also led engineering projects to measure ad campaign effectiveness, contributing to revenue insights and improving survey quality.&lt;/li&gt;&lt;/ul&gt;&lt;p&gt;&lt;br&gt;&lt;/p&gt;Consultation Style:&lt;/strong&gt;&amp;nbsp;&lt;span style="color: inherit;"&gt;Siddharth&lt;/span&gt;’s consultation style is analytical and collaborative. He emphasizes understanding the specific needs and goals of his clients or teams to provide tailored solutions and strategic guidance. His approach involves leveraging his extensive technical expertise and fostering effective communication across teams to achieve optimal outcomes.&lt;/p&gt;&lt;p&gt;&lt;br&gt;&lt;/p&gt;Mentorship Philosophy:&lt;/strong&gt;&amp;nbsp;In his mentorship role,&amp;nbsp;&lt;span style="color: inherit;"&gt;Siddharth&lt;/span&gt;&amp;nbsp;focuses on empowering startups and individuals with practical knowledge and skills in software engineering, AI, and machine learning. He is committed to sharing insights and best practices to help emerging technologies and applications thrive. His hands-on experience and dedication to mentoring make him a valuable resource for those seeking to advance their technical capabilities and navigate complex engineering challenges.&lt;/p&gt;</t>
  </si>
  <si>
    <t>https://www.linkedin.com/in/siramakrishnan</t>
  </si>
  <si>
    <t>Fremont</t>
  </si>
  <si>
    <t>siddharth00@gmail.com</t>
  </si>
  <si>
    <t>Product Development || Software Development</t>
  </si>
  <si>
    <t>AI, Big Data &amp; Analytics || Software &amp; IT Services</t>
  </si>
  <si>
    <t>Siddhartha Kathpalia</t>
  </si>
  <si>
    <t>Stealth Mode</t>
  </si>
  <si>
    <t>Summary:&lt;/strong&gt; Siddhartha is a seasoned multipreneur and marketing leader with over 10 years of experience in performance marketing, content marketing, SEO, and Product Management marketing. He has successfully managed teams and mentored over 200+ mentees, playing a pivotal role in the growth of Product Management Marketing in India. Currently, Siddhartha is running a profitable venture in stealth mode, applying his expertise across various industries, including EdTech, Hospitality, Live Events, Puzzles and Gaming, and Business Consulting.&lt;/p&gt;&lt;p&gt;&lt;br&gt;&lt;/p&gt;Core Expertise:&lt;/strong&gt; Siddhartha specializes in marketing strategy, Product Management marketing, content marketing, and SEO. His expertise extends across multiple industries, particularly B2B SaaS, EdTech, Hospitality, and more. He has a deep understanding of how to optimize marketing processes, improve lead generation, and execute Product Management marketing initiatives that drive significant growth.&lt;/p&gt;&lt;p&gt;&lt;br&gt;&lt;/p&gt;Problem-Solving Approach:&lt;/strong&gt; Siddhartha adopts a data-driven approach to solving challenges, focusing on understanding the core needs of the business and aligning solutions with market demands. His methodology includes thorough market analysis, strategic content optimization, and leveraging sales enablement tools to enhance conversion rates. Siddhartha is adept at identifying growth opportunities within established and emerging markets and applying innovative marketing strategies to capture them.&lt;/p&gt;&lt;p&gt;&lt;br&gt;&lt;/p&gt;Impactful Projects:&lt;/strong&gt;&lt;/p&gt;&lt;ul&gt;&lt;li&gt;At &lt;strong&gt;VWO&lt;/strong&gt;, Siddhartha led marketing efforts that resulted in a 100% improvement in MQL to Customer Conversion Rate and a 10% enhancement in website conversion rates.&lt;/li&gt;&lt;li&gt;During his tenure at &lt;strong&gt;Freshworks&lt;/strong&gt;, he improved organic lead generation by 4% and launched a podium-winning in-app marketing tool.&lt;/li&gt;&lt;li&gt;At &lt;strong&gt;Sulekha.com&lt;/strong&gt;, he scaled Facebook lead generation from 100 to 4,500+ within eight months, dramatically reducing the cost per acquisition.&lt;/li&gt;&lt;li&gt;As a &lt;strong&gt;multipreneur&lt;/strong&gt;, he has applied his Product Management marketing fundamentals to bootstrap and profitably grow businesses across multiple sectors, achieving consistent success.&lt;/li&gt;&lt;/ul&gt;&lt;p&gt;&lt;br&gt;&lt;/p&gt;Consultation Style:&lt;/strong&gt; Siddhartha prefers a collaborative approach to consultation, tailoring his guidance to the specific needs of his clients. He believes in the power of mentorship and enjoys helping others navigate the complexities of Product Management marketing through strategic insights and data-driven methodologies. His consultations are highly customized, ensuring that each client receives actionable advice aligned with their business goals.&lt;/p&gt;</t>
  </si>
  <si>
    <t>https://www.linkedin.com/in/siddhartha-kathpalia/</t>
  </si>
  <si>
    <t>siddhartha@ProductManagementmarketing.co.in</t>
  </si>
  <si>
    <t>Digital Marketing || Marketing || Digital Marketing || Marketing || Digital Marketing || Marketing || Digital Marketing || Marketing || Digital Marketing || Marketing || Digital Marketing || Marketing || Marketing &amp; Branding</t>
  </si>
  <si>
    <t>Education &amp; Training || Education &amp; Training || Industrial Automation &amp; Manufacturing || Industrial Automation &amp; Manufacturing || Tourism &amp; Hospitality || Tourism &amp; Hospitality || Education &amp; Training || Education &amp; Training || Industrial Automation &amp; Manufacturing || Industrial Automation &amp; Manufacturing || Tourism &amp; Hospitality || Tourism &amp; Hospitality || Retail &amp; e-Commerce</t>
  </si>
  <si>
    <t>Sivaraman Swaminathan</t>
  </si>
  <si>
    <t>AKP Learning Solution</t>
  </si>
  <si>
    <t>Summary&lt;/strong&gt;:&lt;/p&gt;&lt;p&gt;Mr. Sivaraman is the Founder of AKP Learning Solution Pvt. Ltd., a seasoned educator, and an angel investor with a strong background in professional training and coaching. He has extensive experience in entrepreneurship, lecturing, leadership, and public speaking. With a Master of Science in Analytical Chemistry, Mr. Sivaraman is dedicated to mentoring startups and fostering innovation in the education sector. His expertise and passion for teaching have made him a respected figure in the industry, helping shape the next generation of leaders and entrepreneurs.&lt;/p&gt;&lt;p&gt;&lt;br&gt;&lt;/p&gt;Key Areas of Expertise:&lt;/strong&gt;&lt;/p&gt;&lt;ul&gt;&lt;li&gt;Entrepreneurship&lt;/li&gt;&lt;li&gt;Professional Training &amp;amp; Coaching&lt;/li&gt;&lt;li&gt;Leadership Development&lt;/li&gt;&lt;li&gt;Public Speaking&lt;/li&gt;&lt;li&gt;Analytical Chemistry&lt;/li&gt;&lt;/ul&gt;&lt;p&gt;&lt;br&gt;&lt;/p&gt;Mentorship Philosophy:&lt;/strong&gt;&lt;/p&gt;&lt;p&gt;Mr. Sivaraman believes in the power of education and mentorship to unlock the potential of aspiring entrepreneurs. He focuses on guiding startups with practical insights and fostering a culture of continuous learning and innovation.&lt;/p&gt;</t>
  </si>
  <si>
    <t>https://www.linkedin.com/in/sivaraman-swaminathan-82826bb7/</t>
  </si>
  <si>
    <t>shivaclasses@gmail.com</t>
  </si>
  <si>
    <t>Business Model Development || Market research || Public speaking || Training &amp; Development || Training &amp; Development</t>
  </si>
  <si>
    <t>Education &amp; Training || Education &amp; Training || Education &amp; Training || Education &amp; Training || Education &amp; Training</t>
  </si>
  <si>
    <t>Avinash Kumar</t>
  </si>
  <si>
    <t>Product Management Manager - Technology</t>
  </si>
  <si>
    <t xml:space="preserve">Jubilant FoodWorks Ltd. </t>
  </si>
  <si>
    <t>Summary:&lt;/strong&gt;&lt;/p&gt;&lt;p&gt;Avinash is a strategic Product Management leader with a passion for creating high-impact, purpose-driven Product Managements and services that benefit millions globally. With hands-on experience in transforming customer needs into lovable Product Managements, Avinash has led numerous cross-functional initiatives to drive business growth and enhance customer retention. His diverse experience spans industries such as E-commerce, Retail, Food Tech, and Supply Chain &amp;amp; Logistics.&lt;/p&gt;&lt;p&gt;&lt;br&gt;&lt;/p&gt;Core Expertise:&lt;/strong&gt;&lt;/p&gt;&lt;ul&gt;&lt;li&gt;&lt;strong&gt;Product Management Leadership:&lt;/strong&gt; Spearheading Product Management strategy, development, and execution, focusing on customer experience and innovation.&lt;/li&gt;&lt;li&gt;&lt;strong&gt;Industry Experience:&lt;/strong&gt; Extensive experience across E-commerce, Retail, Food Tech, Supply Chain &amp;amp; Logistics, and Healthcare.&lt;/li&gt;&lt;li&gt;&lt;strong&gt;Customer-Centric Approach:&lt;/strong&gt; Deep expertise in first principles thinking and understanding consumer behavior to build, run, and grow Product Managements that resonate with users.&lt;/li&gt;&lt;/ul&gt;&lt;p&gt;&lt;br&gt;&lt;/p&gt;Problem-Solving Approach:&lt;/strong&gt; Avinash excels in building and scaling Product Managements from concept to market, ensuring they meet customer needs and drive business success. His approach is rooted in deep consumer insights and strategic thinking, enabling him to create Product Managements that solve problems and delight users.&lt;/p&gt;&lt;p&gt;&lt;br&gt;&lt;/p&gt;Impactful Projects:&lt;/strong&gt;&lt;/p&gt;&lt;ul&gt;&lt;li&gt;&lt;strong&gt;Group Product Management Manager at Jubilant FoodWorks (JFL):&lt;/strong&gt;&amp;nbsp;Led the transformation of JFL into a modern food tech and customer experience company, overseeing brands like Domino’s Pizza, Dunkin, and Popeyes in India and South Asia.&lt;/li&gt;&lt;li&gt;&lt;strong&gt;3PL Platform @ Xpressbees:&lt;/strong&gt; Built and scaled a microservices and multi-tenant logistics platform from 0 to 10x, launching one of India's first hyperlocal platforms for last-mile delivery and fulfillment.&lt;/li&gt;&lt;li&gt;&lt;strong&gt;Fabric/YDV - Headless Commerce Platform:&lt;/strong&gt; Led the vision and execution of a headless commerce platform, driving significant GMV growth for major US retailers like Eddie Bauer and Staples.&lt;/li&gt;&lt;li&gt;&lt;strong&gt;Qritive:&lt;/strong&gt; Developed an AI-powered ecosystem to digitize pathology workflows, making cancer diagnosis faster, cheaper, and more accurate.&lt;/li&gt;&lt;li&gt;&lt;strong&gt;Manufacturing Industry @ VCS:&lt;/strong&gt; Automated and optimized supply chain operations for major cement manufacturers, contributing to significant logistics and sales distribution improvements.&lt;/li&gt;&lt;/ul&gt;&lt;p&gt;&lt;br&gt;&lt;/p&gt;Consultation Style:&lt;/strong&gt; Avinash is a hands-on leader who prioritizes deep consumer understanding and first principles thinking. He focuses on building key pillars for Product Management success, adhering to core Product Management management principles, and driving outcomes that align with both business goals and customer satisfaction.&lt;/p&gt;</t>
  </si>
  <si>
    <t>https://www.linkedin.com/in/avinash-kumar-80676858</t>
  </si>
  <si>
    <t>avinashrgtu2011@gmail.com</t>
  </si>
  <si>
    <t>Go to Market Strategy || Product Development || Supply Chain Management || Go to Market Strategy || Product Development || Supply Chain Management || Go to Market Strategy || Product Development || Supply Chain Management || Go to Market Strategy || Product Development || Supply Chain Management || Go to Market Strategy || Product Development || Supply Chain Management || Go to Market Strategy || Product Development || Supply Chain Management || Product Management || Digital Transformation</t>
  </si>
  <si>
    <t>Agriculture &amp; Food Processing || Agriculture &amp; Food Processing || Agriculture &amp; Food Processing || Retail &amp; e-Commerce || Retail &amp; e-Commerce || Retail &amp; e-Commerce || Transportation &amp; Logistics || Transportation &amp; Logistics || Transportation &amp; Logistics || Agriculture &amp; Food Processing || Agriculture &amp; Food Processing || Agriculture &amp; Food Processing || Retail &amp; e-Commerce || Retail &amp; e-Commerce || Retail &amp; e-Commerce || Transportation &amp; Logistics || Transportation &amp; Logistics || Transportation &amp; Logistics || Agritech &amp; Food Processing</t>
  </si>
  <si>
    <t>Sneh Soni</t>
  </si>
  <si>
    <t>Freestand</t>
  </si>
  <si>
    <t>Passionate marketer and Founder of FreeStand, a B2B SaaS platform that enables FMCG brands to digitize and automate their product sampling operations. Holds a Bachelor's degree in Statistics from Lady Shri Ram College for Women, Delhi. Recognized as a Global Women Entrepreneur nominee and part of Google Startup Accelerator 2022. She brings data analytics expertise and has successfully grown FreeStand to work with multiple FMCG brands including Anmol Industries, Keeros Foods, and Wild Vitamin Drink, with the startup backed by seed funding from SucSEED Indovation Fund and incubated at AIC Banasthali Vidyapith.
Skills: Product Sampling, FMCG Marketing, SaaS Business Models, Data Analytics, B2B Platform Development, Digital Marketing, Entrepreneurship, Startup Scaling, Customer Engagement, Go-to-Market Strategy, Mentorship, Women Entrepreneurship</t>
  </si>
  <si>
    <t>https://www.linkedin.com/in/sneh-soni-/</t>
  </si>
  <si>
    <t>sneh@freestand.in</t>
  </si>
  <si>
    <t>Marketing || Marketing || Marketing || Marketing || Marketing || Marketing || Marketing || Marketing || Marketing &amp; Branding || Business Model Development</t>
  </si>
  <si>
    <t>Consumer Products || Fashion &amp; Beauty || Retail &amp; e-Commerce || Technology &amp; Innovation || Consumer Products || Fashion &amp; Beauty || Retail &amp; e-Commerce || Technology &amp; Innovation || Consumer Products​ || Consumer Products</t>
  </si>
  <si>
    <t>Sohan Babu Khatri</t>
  </si>
  <si>
    <t>Management Consultant and Trainer</t>
  </si>
  <si>
    <t>&lt;h3&gt;&lt;strong&gt;Summary&lt;/strong&gt;&lt;/h3&gt;&lt;h3&gt;Mr. Sohan, a management consultant and educator, has over 15 years of corporate consulting experience and 17 years of teaching graduate-level (MBA) subjects like Strategic Management, Entrepreneurship and Innovation, Management of Innovation, Strategic Marketing and Business Planning. He was the co-Founder and CEO of Three H Management Pvt. Ltd. (estd 2010), a management consulting firm till April, 2022. In the recent past, he had assumed the role of Deputy Chief of Party (DCOP) in USAID Trade and Competitiveness Activity and was also leading the activity objective related to ‘Increasing assess of SMEs to market based financial and non-financial services’. He had served as a BoD of a commercial bank for about 7 plus years (2008-2016). He has been an adjunct and visiting faculty in various renowned management colleges of and continues to contribute as a faculty of Entrepreneurship and Innovation, Strategic Management, Strategic Marketing, Business Development and Planning at Ace Institute of Management and of Managing Innovation and Creativity and Business Crisis &amp;amp; Continuity Management at Ace International Business School (affiliated to Glasgow Caledonian University).&amp;nbsp;&lt;/h3&gt;&lt;h3&gt;&lt;br&gt;&lt;/h3&gt;&lt;h3&gt;His experience, among others includes contribution to the development of understanding and capacities related to entrepreneurship and startups among youths in roles of mentor, coach, trainer, evaluator, and consultant through entrepreneurial boot camps, start-up accelerator programs, and related projects of development/social organizations focused on development of vocational skills, employment generation, micro-enterprise development and entrepreneurship development. He has been instrumental in inception and growth of couple of startups (agro-farm, ecommerce, IT/ Software development) as investor and consultant. He has rendered his consultancy and training service across the sectors/industries which include agri-business, hydropower, tourism/hospitality, retail, hospitals, humanitarian and development sector, banks and financial institutions, manufacturing, information technology, FMCG to name a few. Majority of the consulting projects he led in the corporate world involved the modules like strategic audit, strategic planning, business planning, due diligence of organizational systems and processes, value/ activity chain analysis, baseline study, impact study, market research, stakeholder analysis, opportunity analysis, feasibility study, IT integration, business modeling to name a few. Some of the esteemed clients he has provided his consultancy and training services are – Rastriya Banijya Bank Ltd., Nepal Airlines Corporation, Norvic International Hospital, Town Development Fund (TDF), National Society of Earthquake Technology (NSET), Swiss Contact Nepal, UNCDF, Asian Disaster Reduction and Response Network (ADRRN), Network for Empowered Aid Responses (NEAR), Employment Fund Secretariat (EFS)/ Helvetas, High-Value Agriculture Project (HVAP), SME Link Project – Planet Finance, Nepal, Swiss Contact-Sajaj, CASA etc.&lt;/h3&gt;&lt;h3&gt;&lt;br&gt;&lt;/h3&gt;&lt;h3&gt;He has been involved in research supervision, business planning and assessment team of various organizations, including academic institutions. Passionate about art, gardening, and cooking, Mr. Sohan values balancing technical accuracy with emotional intelligence in problem-solving. He has so far been involved as an artist in four painting exhibitions.&lt;/h3&gt;&lt;h3&gt;&lt;br&gt;&lt;/h3&gt;&lt;h3&gt;&lt;strong&gt;Key Areas of Expertise&lt;/strong&gt;&lt;/h3&gt;&lt;h3&gt;Strategic Management (Analysis, Formulation, Planning etc.)&lt;/h3&gt;&lt;h3&gt;Business Planning&lt;/h3&gt;&lt;h3&gt;Business Process Re-engineering&lt;/h3&gt;&lt;h3&gt;Corporate Trainings (on Strategy, Planning, Leadership, Innovation etc.)&lt;/h3&gt;&lt;h3&gt;Entrepreneurial Skills and Capacity Development&lt;/h3&gt;&lt;h3&gt;MSMEs and Startup Management Consulting&lt;/h3&gt;&lt;h3&gt;Organizational Capacity, Performance and Management Systems Analysis&lt;/h3&gt;&lt;h3&gt;Management of Organizational Creativity and Innovation&lt;/h3&gt;&lt;h3&gt;Organizational Policy Analysis and Development&lt;/h3&gt;&lt;h3&gt;Marketing and Branding Strategy Development&lt;/h3&gt;&lt;h3&gt;Value-Chain/ Business Process Analysis and Design&lt;/h3&gt;&lt;h3&gt;&lt;br&gt;&lt;/h3&gt;&lt;h3&gt;&lt;strong&gt;Strategic Contributions:&lt;/strong&gt;&lt;/h3&gt;&lt;h3&gt;Led consulting projects across sectors, including agri-business, hydropower, tourism/hospitality, retail, hospitals, humanitarian and development sector, banks and financial institutions, manufacturing, information technology, FMCG&amp;nbsp;&lt;/h3&gt;&lt;h3&gt;Contributed to entrepreneurship development programs focused on entrepreneurial skills/ capacity development, Startup/ SME modeling and planning, micro-enterprise creation and development, marketing and branding of startups and SMEs.&lt;/h3&gt;&lt;h3&gt;Worked with high-profile clients at strategic level - like Rastriya Banijya Bank Ltd., Norvic International Hospital, Town Development Fund (TDF), National Society of Earthquake Technology (NSET), Swiss Contact Nepal, UNCDF, USAID, Asian Disaster Reduction and Response Network (ADRRN), Employment Fund Secretariat (EFS)/ Helvetas, SNV, SME Link Project – Planet Finance, Nepal, Swiss Contact-Sajaj, CASA.&lt;/h3&gt;&lt;h3&gt;Designed and taught the courses related to entrepreneurship, innovation, business planning in renowned academic institutions of Nepal for MBA level students.&amp;nbsp;&lt;/h3&gt;&lt;h3&gt;Contributed in designing and developing business model of few prominent incubators and accelerators, which were first movers in entrepreneurial ecosystem of Nepal.&lt;/h3&gt;&lt;h3&gt;Founded and led a management consulting organization (Three H Management) for 12 years and created a rich profile of clienteles and consulting assignments.&lt;/h3&gt;&lt;h3&gt;Co-Led the design and development of the foundational documents, team formation, stakeholder consultation and onboarding of the collaborators in entrepreneurial and SME ecosystem of Nepal as a&amp;nbsp;Deputy Chief of Party (DCOP) in USAID Trade and Competitiveness.&lt;/h3&gt;&lt;h3&gt;Played instrumental role in business model pivoting of few growth phase startups in the sectors like IT and agriculture.&amp;nbsp;&lt;/h3&gt;&lt;h3&gt;&lt;br&gt;&lt;/h3&gt;&lt;h3&gt;&lt;strong&gt;Mentorship Philosophy&lt;/strong&gt;&lt;/h3&gt;&lt;h3&gt;Guide entrepreneurs toward self-discovery and decision-making recognizing their unique strengths, weaknesses and aspirations. Focuses on developing young entrepreneurs, balancing technical solutions with emotional intelligence to help businesses and individuals reach their potential&lt;/h3&gt;&lt;h3&gt;&lt;br&gt;&lt;/h3&gt;&lt;h3&gt;&lt;strong&gt;Success Stories&lt;/strong&gt;&lt;/h3&gt;&lt;ol&gt;&lt;li&gt;Formulated full-fledged 5-year strategic plan of Nepal’s second and only Government owned bank (Rastriya Banijya Bank) through comprehensive exercises involving all the stakeholders in the process. It was the first comprehensive and formal strategic plan of the bank in its rich history of 56 years. Led the business process re-engineering (BPR) process of three departments of the bank as a part of the prioritized initiative of the formulated strategic plan. Also successfully completed the assignment related to the measurement of employee satisfaction, customer satisfaction and brand image/ association in order to create baseline indicators for developing strategic initiatives. Succession planning was also developed for the same bank as a part of prioritized strategic initiative as indicated by strategic plan.&amp;nbsp;&lt;/li&gt;&lt;li&gt;Formulated 10-year strategic plan of Nepal’s first NGO (Nepal Society for Earthquake Technology) working in earthquake risk management through comprehensive exercises involving all the stakeholders (including Government agencies) in the process. It was the first comprehensive and formal strategic plan of the NGO in its rich history of 27 years.&amp;nbsp;&lt;/li&gt;&lt;li&gt;Completed a comprehensive consulting assignment of ‘Exploring IT based ERP system in order to enhance the services of NEFSCUN to its members for Nepal Federation of Savings and Credit Cooperative Unions Ltd (NEFSCUN) – Nepal’s only private federation of Savings and Credit Cooperatives (SACCOS). This assignment formed the base for the design and development of cloud based ERP system named ‘Myra’, which is being used by thousands of member SACCOS. Served as an expert member of 'Technology Study and Development Taskforce' of NEFSUN and played pivotal role in deciding the procurement system and selecting IT partner for developing the ERP system. A study of investment and cost structure of IT System used by Savings and Credit Co-operatives (SACCOS) was successfully conducted in order to generate business intelligence for taking pricing decision of ‘Myra’ – this assignment became the major base for developing pricing strategies for Myra.&amp;nbsp;&lt;/li&gt;&lt;li&gt;Completed comprehensive research on ‘Pre-requisites for establishment of commercially viable Auction Market for Tea, Ginger and Cardamom in Province 1 - for Sahaj - Nepal Agricultural Market Development Programme (NAMDP), a project funded by Swiss Contact. This research became the major base of the project to recommend necessary actions for taking decisions by the Government of Nepal for establishment of Auction Market. Research on ‘Framework for Developing Auctioning Guidelines (for Agriculture Product Managements)’ was completed for the same project, which helped the project to recommend necessary guidelines to the Government of Nepal&lt;/li&gt;&lt;li&gt;Completed SME Assessment Study – ‘Identification of high growth potential SMEs and Agribusinesses in the dairy and vegetable sectors’ for Commercial Agriculture for Smallholders and Agri-business (CASA), Swiss Contact Nepal. The study contributed in designing the project interventions which could unlock the opportunities and catalyze entrepreneurship development in these two sectors.&amp;nbsp;&lt;/li&gt;&lt;li&gt;Mentored, coached and trained more than 500 entrepreneurs and aspiring entrepreneurs individually and through various startup boot camps, business accelerators and startup incubators within 15 years. During the course of such mentorship and training, played important role in shaping up the business idea, business modeling, designing value proposition (Product Managements/ services), developing lean startup plan, go-to-market strategy, marketing and branding, growth strategies etc.&lt;/li&gt;&lt;/ol&gt;</t>
  </si>
  <si>
    <t>https://www.linkedin.com/in/sohanbabukhatri/</t>
  </si>
  <si>
    <t>Nepal</t>
  </si>
  <si>
    <t>Kathmandu</t>
  </si>
  <si>
    <t>sohan.khatri@gmail.com</t>
  </si>
  <si>
    <t>+9779851184100</t>
  </si>
  <si>
    <t>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Branding || Budgeting &amp; Financial Modeling || Business Model Development || Customer Relationship Management || Customer Service &amp; Retention || Go to Market Strategy || Growth Strategy Formulation || Marketing || Organizational Development || Pitch coaching || Pricing Strategy || Process Optimization || Product Development || Prototyping &amp; Testing || Strategic Planning || Tech Strategy &amp; Infrastructure || Training &amp; Development || Business Model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</si>
  <si>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FinTech || FinTech || FinTech || FinTech || FinTech || FinTech || FinTech || FinTech || FinTech || FinTech || FinTech || FinTech || FinTech || FinTech || FinTech || FinTech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Education &amp; Training</t>
  </si>
  <si>
    <t>Somnath Dutta</t>
  </si>
  <si>
    <t>Astt.Professor</t>
  </si>
  <si>
    <t>KIIT School of Rural Management</t>
  </si>
  <si>
    <t>Summary&lt;/strong&gt;:&lt;/p&gt;&lt;p&gt;Mr. Somnath is a seasoned academic and industry expert with over 28 years of experience, equally divided between corporate roles and academia. Currently pursuing a Ph.D. in Strategic Management, he holds an MBM from IIT Kharagpur and a B.Sc.Tech in Textile Technology. His expertise spans Corporate and Competitive Strategy, Social Entrepreneurship, Marketing, Branding, Business Ethics, and Sustainable Development. He has also earned a platinum-level certification in entrepreneurship from the National Entrepreneurship Network.&lt;/p&gt;&lt;p&gt;&lt;br&gt;&lt;/p&gt;Key Areas of Expertise:&lt;/strong&gt;&lt;/p&gt;&lt;ul&gt;&lt;li&gt;Corporate &amp;amp; Competitive Strategy&lt;/li&gt;&lt;li&gt;Social Entrepreneurship&lt;/li&gt;&lt;li&gt;Marketing &amp;amp; Branding&lt;/li&gt;&lt;li&gt;Business Ethics&lt;/li&gt;&lt;li&gt;Sustainable Development&lt;/li&gt;&lt;/ul&gt;&lt;p&gt;&lt;br&gt;&lt;/p&gt;Strategic Contributions:&lt;/strong&gt;&lt;/p&gt;&lt;ul&gt;&lt;li&gt;Balancing academic and industry experience to bridge theory and practical application in his teaching and consulting roles.&lt;/li&gt;&lt;/ul&gt;&lt;p&gt;&lt;br&gt;&lt;/p&gt;Mentorship Philosophy:&lt;/strong&gt;&lt;/p&gt;&lt;ul&gt;&lt;li&gt;Guiding entrepreneurs with a focus on ethics, sustainability, and strategic growth.&lt;/li&gt;&lt;/ul&gt;&lt;p&gt;&lt;br&gt;&lt;/p&gt;</t>
  </si>
  <si>
    <t>https://www.linkedin.com/in/somnath-dutta-35585815/?originalSubdomain=in</t>
  </si>
  <si>
    <t>somnathduttaiimc@gmail.com
somnath.dutta@ksrm.ac.in (Mentor ID)</t>
  </si>
  <si>
    <t>9777682852, 9432260001</t>
  </si>
  <si>
    <t>Branding || Market access || Market research || Marketing || Sustainable Operations || Branding || Market access || Market research || Marketing || Sustainable Operations || Branding || Market access || Market research || Marketing || Sustainable Operations || Entrepreneurship Coaching || Marketing &amp; Branding</t>
  </si>
  <si>
    <t>Agriculture &amp; Food Processing || Agriculture &amp; Food Processing || Agriculture &amp; Food Processing || Agriculture &amp; Food Processing || Agriculture &amp; Food Processing || Services || Services || Services || Services || Services || Social &amp; Community Services || Social &amp; Community Services || Social &amp; Community Services || Social &amp; Community Services || Social &amp; Community Services || Education &amp; Training</t>
  </si>
  <si>
    <t>Sonal Somani</t>
  </si>
  <si>
    <t>Happy Curves</t>
  </si>
  <si>
    <t>Summary:&amp;nbsp;&lt;/strong&gt;&lt;/p&gt;&lt;p&gt;Ms. Sonal is a seasoned Personal Branding &amp;amp; Digital Marketing Expert, Speaker, and Mentor with a background in law and finance. She is the Founder of HappieCurves, a brand that promotes self-love through plus-size inner-wear, which recently secured angel funding on the Indian Angels show. With a passion for Digital Marketing, she has collaborated with various brands and startups to build strong online and offline presences. She has also been a Visiting Faculty for Digital Marketing at top institutions and has received awards like the Hastaksharr Rising Entrepreneur Award 2023. She has mentored 100+ entrepreneurs, worked with 50+ Brands &amp;amp; trained 1000+ students in marketing and business building.&amp;nbsp;&lt;/p&gt;&lt;p&gt;&lt;br&gt;&lt;/p&gt;Key Areas of Expertise:&lt;/strong&gt;&lt;/p&gt;&lt;ul&gt;&lt;li&gt;Personal Branding&lt;/li&gt;&lt;li&gt;Digital Marketing&lt;/li&gt;&lt;li&gt;Entrepreneurship&lt;/li&gt;&lt;li&gt;Small Business&lt;/li&gt;&lt;li&gt;Coaching &amp;amp; Mentoring&lt;/li&gt;&lt;/ul&gt;&lt;p&gt;&lt;br&gt;&lt;/p&gt;Strategic Contributions:&lt;/strong&gt;&lt;/p&gt;&lt;ul&gt;&lt;li&gt;Founded HappieCurves, securing angel funding on the Indian Angels show.&lt;/li&gt;&lt;li&gt;Built a strong portfolio of collaborations with diverse brands and startups.&lt;/li&gt;&lt;li&gt;Contributed to the education of digital marketers as a Visiting Faculty.&lt;/li&gt;&lt;/ul&gt;&lt;p&gt;&lt;br&gt;&lt;/p&gt;Success Stories:&lt;/strong&gt;&lt;/p&gt;&lt;ul&gt;&lt;li&gt;Awarded Hastaksharr Rising Entrepreneur Award 2023.&lt;/li&gt;&lt;li&gt;Recognition as a TOP 20 Finalist for Mrs. FEMINA 2021.&lt;/li&gt;&lt;li&gt;Worked with prominent names like Celebrity Fitness Trainer Rakesh Udiyar and Zeba Kohli.&lt;/li&gt;&lt;/ul&gt;</t>
  </si>
  <si>
    <t>https://www.linkedin.com/in/sonal-somani/</t>
  </si>
  <si>
    <t>connect@sonalsomani.com</t>
  </si>
  <si>
    <t>Branding || Digital Marketing || Go to Market Strategy || Public speaking || Social Media Marketing || Branding || Digital Marketing || Go to Market Strategy || Public speaking || Social Media Marketing || Branding || Digital Marketing || Go to Market Strategy || Public speaking || Social Media Marketing || Branding || Digital Marketing || Go to Market Strategy || Public speaking || Social Media Marketing || Branding || Digital Marketing || Go to Market Strategy || Public speaking || Social Media Marketing || Branding || Digital Marketing || Go to Market Strategy || Public speaking || Social Media Marketing || Branding || Digital Marketing || Go to Market Strategy || Public speaking || Social Media Marketing || Branding || Digital Marketing || Go to Market Strategy || Public speaking || Social Media Marketing || Branding || Digital Marketing || Go to Market Strategy || Public speaking || Social Media Marketing || Marketing &amp; Branding || Digital Marketing</t>
  </si>
  <si>
    <t>Consumer Products || Consumer Products || Consumer Products || Consumer Products || Consumer Products || Education &amp; Training || Education &amp; Training || Education &amp; Training || Education &amp; Training || Education &amp; Training || Fashion &amp; Beauty || Fashion &amp; Beauty || Fashion &amp; Beauty || Fashion &amp; Beauty || Fashion &amp; Beauty || FinTech || FinTech || FinTech || FinTech || FinTech || Media, Arts &amp; Entertainment || Media, Arts &amp; Entertainment || Media, Arts &amp; Entertainment || Media, Arts &amp; Entertainment || Media, Arts &amp; Entertainment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Services || Services || Services || Services || Services || Social &amp; Community Services || Social &amp; Community Services || Social &amp; Community Services || Social &amp; Community Services || Social &amp; Community Services || Fashion &amp; Beauty</t>
  </si>
  <si>
    <t>Sourav Karmakar</t>
  </si>
  <si>
    <t>Infinostech Pvt Ltd</t>
  </si>
  <si>
    <t>Summary:&lt;/strong&gt; Sourav Karmakar is an innovative roboticist and research scholar from IIIT Hyderabad, with a deep focus on soft and flexible robotics. As the CEO of Infinos Tech LLP and the driving force behind cutting-edge research in hybrid origami and soft robots, Sourav is dedicated to advancing technology for medical, defence, and aerospace applications. His work extends beyond robotics into sustainable technology, space advocacy, and mentoring startups.&lt;/p&gt;&lt;p&gt;&lt;br&gt;&lt;/p&gt;Core Expertise:&lt;/strong&gt;&lt;/p&gt;&lt;ul&gt;&lt;li&gt;&lt;strong&gt;Soft &amp;amp; Flexible Robotics:&lt;/strong&gt; Specializes in developing hybrid, origami-inspired, and soft robots tailored for med-tech, defence, and aerospace applications.&lt;/li&gt;&lt;li&gt;&lt;strong&gt;Sustainable Technology:&lt;/strong&gt; Leads Infinos Tech LLP, focusing on smart, eco-friendly containers with temperature control for agri-food, bio, and pharma Product Managements.&lt;/li&gt;&lt;li&gt;&lt;strong&gt;Wearable Robotics:&lt;/strong&gt; Develops exoskeleton robots designed for human mobility assistance, targeting the elderly, physically challenged individuals, and military personnel.&lt;/li&gt;&lt;li&gt;&lt;strong&gt;Space &amp;amp; STEM Advocacy:&lt;/strong&gt; Chair of the Indian Chapter of Space Renaissance International, promoting STEM and space exploration.&lt;/li&gt;&lt;/ul&gt;&lt;p&gt;&lt;br&gt;&lt;/p&gt;Problem-Solving Approach:&lt;/strong&gt; Sourav's approach combines advanced research with practical applications. He integrates soft robotics with innovative design principles to create versatile solutions for complex challenges in med-tech and aerospace. His emphasis on sustainability drives the development of eco-friendly technologies that address real-world problems, while his involvement in space advocacy fosters a broader understanding of STEM fields. His methodology includes a mix of rigorous research, hands-on development, and strategic collaboration to achieve impactful results.&lt;/p&gt;&lt;p&gt;&lt;br&gt;&lt;/p&gt;Impactful Projects:&lt;/strong&gt;&lt;/p&gt;&lt;ul&gt;&lt;li&gt;&lt;strong&gt;Infinostech Pvt Ltd:&lt;/strong&gt; Developed a smart, portable container with dual temperature control for safe and sustainable transport of agri-food and bioProduct Managements.&lt;/li&gt;&lt;li&gt;&lt;strong&gt;Exosuit:&lt;/strong&gt; Created a wearable lower-body exoskeleton for enhanced mobility in civilians and military personnel, improving quality of life and operational effectiveness.&lt;/li&gt;&lt;li&gt;&lt;strong&gt;TEDx Talk &amp;amp; International Engagements:&lt;/strong&gt; Delivered influential talks, including a TEDx Talk on "Space For Everyone," and participated in high-profile international forums such as FAiL Talk (MIT) and Space-Talks.&lt;/li&gt;&lt;li&gt;&lt;strong&gt;Megaforte Global, Singapore&lt;/strong&gt; -&lt;/li&gt;&lt;li&gt;&lt;strong&gt;Mentorship &amp;amp; Advisory Roles:&lt;/strong&gt; Actively mentors startups, evaluates innovative projects, and guides a guest faculty, Product Management consultant, and advisor to various organizations and initiatives.&lt;/li&gt;&lt;/ul&gt;&lt;p&gt;&lt;br&gt;&lt;/p&gt;Consultation Style:&lt;/strong&gt; Sourav’s consultation style is collaborative and visionary. He works closely with individuals and startups to turn ideas into viable Product Managements, providing strategic insights and technical expertise. His approach is characterized by a strong focus on innovation, sustainability, and practical application, ensuring that clients receive tailored solutions that align with their goals. Sourav is dedicated to fostering growth and development through mentorship, leveraging his extensive experience and network to support emerging technologies and entrepreneurial ventures.&lt;/p&gt;</t>
  </si>
  <si>
    <t>https://www.linkedin.com/in/sourav-karmakar-378aa188/</t>
  </si>
  <si>
    <t>sourav.infinos@gmail.com</t>
  </si>
  <si>
    <t>ESG Strategy || Tech Strategy &amp; Infrastructure || ESG Strategy || Tech Strategy &amp; Infrastructure || ESG Strategy || Tech Strategy &amp; Infrastructure || ESG Strategy || Tech Strategy &amp; Infrastructure || ESG Strategy || Tech Strategy &amp; Infrastructure || ESG Strategy || Tech Strategy &amp; Infrastructure || ESG Strategy || Tech Strategy &amp; Infrastructure || ESG Strategy || Tech Strategy &amp; Infrastructure || ESG Strategy || Tech Strategy &amp; Infrastructure || ESG Strategy || Tech Strategy &amp; Infrastructure || ESG Strategy || Tech Strategy &amp; Infrastructure || ESG Strategy || Tech Strategy &amp; Infrastructure || Research and Development || Product Management Management</t>
  </si>
  <si>
    <t>Defence &amp; Public Safety || Defence &amp; Public Safety || Education &amp; Training || Education &amp; Training || Energy &amp; Renewable Resources || Energy &amp; Renewable Resources || Environment, Sustainability &amp; Governance (ESG) || Environment, Sustainability &amp; Governance (ESG) || Industrial Automation &amp; Manufacturing || Industrial Automation &amp; Manufacturing || Media, Arts &amp; Entertainment || Media, Arts &amp; Entertainment || Defence &amp; Public Safety || Defence &amp; Public Safety || Education &amp; Training || Education &amp; Training || Energy &amp; Renewable Resources || Energy &amp; Renewable Resources || Environment, Sustainability &amp; Governance (ESG) || Environment, Sustainability &amp; Governance (ESG) || Industrial Automation &amp; Manufacturing || Industrial Automation &amp; Manufacturing || Media, Arts &amp; Entertainment || Media, Arts &amp; Entertainment || Spacetech || CleanTech</t>
  </si>
  <si>
    <t>Sridhar Chakravarthi Mulakaluri</t>
  </si>
  <si>
    <t>Startup Coach</t>
  </si>
  <si>
    <t>Coach for Change</t>
  </si>
  <si>
    <t>Summary:&lt;/strong&gt; Sridhar is a seasoned startup coach and ecosystem builder with 30 years of experience dedicated to empowering entrepreneurs, MSMEs, and startups to achieve remarkable success through exponential growth. His mission is rooted in the belief that entrepreneurship is a key driver for building a Developed India. Sridhar's work extends to college incubators, where he helps establish vibrant ecosystems that nurture innovation and business development.&lt;/p&gt;&lt;p&gt;&lt;br&gt;&lt;/p&gt;Key Areas of Expertise:&lt;/strong&gt; Sridhar specializes in startup coaching, ecosystem building, and business development strategies. He excels in guiding early-stage startups through critical phases like idea validation, business model innovation, and the development of a minimum viable Product Management (MVP). Additionally, he is skilled in crafting go-to-market strategies, developing pitch decks, and formulating comprehensive business plans.&lt;/p&gt;&lt;p&gt;&lt;br&gt;&lt;/p&gt;Strategic Contributions:&lt;/strong&gt; Over the course of his career, Sridhar has successfully launched and run three businesses. He has also built and managed startup ecosystems with over 30,000 active entrepreneurs. His contributions extend to training more than 50,000 students through webinars, and mentoring hundreds of startups across various industries. His approach to ecosystem building addresses 46 distinct aspects crucial for the success of college incubators.&lt;/p&gt;&lt;p&gt;&lt;br&gt;&lt;/p&gt;Mentorship Philosophy:&lt;/strong&gt; Sridhar’s mentoring philosophy is driven by a deep belief in the transformative power of entrepreneurship. He employs a step-by-step, customized process that is flexible and participant-driven, ensuring that each step builds upon the last. This method allows for rapid development and testing of MVPs, with each stage of the process acting as a learning exercise that informs the next.&lt;/p&gt;&lt;p&gt;&lt;br&gt;&lt;/p&gt;Success Stories:&lt;/strong&gt; Throughout his journey, Sridhar has been a visionary leader who has inspired countless entrepreneurs to realize their potential. His clients and colleagues praise his communicative, compassionate, and proactive approach. As one of his mentees, Pravesh Jha, described him: "Sridhar is a visionary leader—communicative, diligent, and passionate, with an unwavering commitment to the success of those he mentors."&lt;/p&gt;</t>
  </si>
  <si>
    <t>https://www.linkedin.com/in/fltltmsridharchakravarthi/</t>
  </si>
  <si>
    <t>sridhar.mulakaluri@gmail.com</t>
  </si>
  <si>
    <t>Business Model Development || Growth Strategy Formulation || Marketing || Business Model Development || Growth Strategy Formulation || Marketing || Business Model Development || Growth Strategy Formulation || Marketing || Business Model Development || Growth Strategy Formulation || Marketing || Entrepreneurship Coaching || Research and Development</t>
  </si>
  <si>
    <t>Education &amp; Training || Education &amp; Training || Education &amp; Training || Social &amp; Community Services || Social &amp; Community Services || Social &amp; Community Services || Education &amp; Training || Education &amp; Training || Education &amp; Training || Social &amp; Community Services || Social &amp; Community Services || Social &amp; Community Services || Education &amp; Training</t>
  </si>
  <si>
    <t>Srinivas Yanamandra</t>
  </si>
  <si>
    <t>DNRS INFRACON</t>
  </si>
  <si>
    <t>Summary: Srinivas is an accomplished financial leader with expertise in guiding companies through complex financial landscapes. As Chief Financial Officer at DNRS INFRACON, he has played a pivotal role in securing substantial funding, driving the company’s transition to a limited liability entity, and managing investor relations. Additionally, as the Founder of SSNS Finvest Services, Srinivas delivers comprehensive virtual CFO services, raising capital, providing strategic advisory, and helping startups scale from idea to market.
Core Expertise: Srinivas specializes in virtual CFO services, debt restructuring, and raising funds for startups and corporates. His expertise spans strategic advisory, credit intermediation, M&amp;A, and IPO preparations, with a focus on providing 360-degree financial solutions.
Problem-Solving Approach: He takes a hands-on, holistic approach to financial management, ensuring companies are well-equipped to navigate funding challenges, secure capital, and optimize their financial structures. Srinivas leverages his deep understanding of banking, taxation, and investment strategies to tailor solutions for his clients, from early-stage startups to established corporates.
Impactful Projects:
Led DNRS INFRACON in transitioning to a limited liability company, securing hybrid financing and significant OD limits for sustained growth.
Raised ₹20 crore through banks, NBFCs, and private lenders.
Closed a ₹500 crore mandate with Alternative Investment Funds in just three months, demonstrating his ability to swiftly secure high-impact financing for his clients.
Consultation Style: Srinivas offers a strategic and results-driven consultation approach, focusing on long-term financial health and growth. He mentors startups from inception to go-to-market (GTM) and advises on funding strategies from early-stage financing to Series A and beyond. His collaborative style ensures alignment with business goals while guiding companies through the full financial cycle.</t>
  </si>
  <si>
    <t>https://www.linkedin.com/in/srinivas-yanamandra/</t>
  </si>
  <si>
    <t>yss_nk@yahoo.com</t>
  </si>
  <si>
    <t>Export || Government Funding || Export || Government Funding || Export || Government Funding || Export || Government Funding || Business Finance || Investing</t>
  </si>
  <si>
    <t>Pharmaceuticals, Healthcare and Wellness || Pharmaceuticals, Healthcare and Wellness || Real Estate &amp; Construction || Real Estate &amp; Construction || Pharmaceuticals, Healthcare and Wellness || Pharmaceuticals, Healthcare and Wellness || Real Estate &amp; Construction || Real Estate &amp; Construction || Healthtech &amp; Wellness || Real Estate &amp; Construction</t>
  </si>
  <si>
    <t>Sriram Chidambaram</t>
  </si>
  <si>
    <t>Spice Route Finance</t>
  </si>
  <si>
    <t>Summary:&lt;/strong&gt; Sriram is a seasoned financial strategist with over 22 years of expertise in strategic and operational finance. He is a Qualified Cost Accountant, Company Secretary, and Chartered &amp;amp; General Management Accountant (CIMA, UK), with advanced certifications from IIM Bangalore, Wharton Business School, and INSEAD. His extensive experience ranges from building multi-million-dollar enterprises to advising startups and growth-stage companies across various industries.&lt;/p&gt;&lt;p&gt;&lt;br&gt;&lt;/p&gt;Core Expertise:&lt;/strong&gt; Sriram specializes in financial advisory, strategic planning, financial modeling, and virtual CFO services. His areas of expertise include cross-border M&amp;amp;A, pricing strategies, sensitivity analysis, and developing robust financial models tailored to each business's vision. Through his boutique firm, Spice Route Finance, he provides comprehensive deal advisory and financial services for startups and established companies alike.&lt;/p&gt;&lt;p&gt;&lt;br&gt;&lt;/p&gt;Problem-Solving Approach:&lt;/strong&gt; Sriram’s methodology revolves around aligning financial models with the unique vision of each entrepreneur. He believes that a strong financial model, combined with strategic advisory, is key to building successful organizations. His approach includes thorough financial analysis, business planning, and risk management, ensuring companies are well-prepared for growth and sustainability.&lt;/p&gt;&lt;p&gt;&lt;br&gt;&lt;/p&gt;Impactful Projects:&lt;/strong&gt;&lt;/p&gt;&lt;ul&gt;&lt;li&gt;During his corporate career, Sriram played a pivotal role in scaling organizations from zero to multimillion-dollar revenue stages.&lt;/li&gt;&lt;li&gt;He has successfully led multiple cross-border M&amp;amp;A transactions in the ITES sector.&lt;/li&gt;&lt;li&gt;Since founding Spice Route Finance, he has advised entrepreneurs in over 50 industries, including Food Tech, FinTech, E-Commerce, AgriTech, EduTech, and Enterprise SaaS.&lt;/li&gt;&lt;/ul&gt;&lt;p&gt;&lt;br&gt;&lt;/p&gt;Consultation Style:&lt;/strong&gt; Sriram provides tailored solutions that combine strategic financial advisory with hands-on support in financial planning, budgeting, and business model development. He emphasizes transparency, precision, and a deep understanding of each industry’s dynamics, ensuring clients receive high-value guidance for sustainable growth.&lt;/p&gt;</t>
  </si>
  <si>
    <t>https://www.linkedin.com/in/sriramchidambaram/</t>
  </si>
  <si>
    <t> sriram@spiceroutefinance.com</t>
  </si>
  <si>
    <t>Budgeting &amp; Financial Modeling || Cost Management || Market research || Budgeting &amp; Financial Modeling || Cost Management || Market research || Budgeting &amp; Financial Modeling || Cost Management || Market research || Budgeting &amp; Financial Modeling || Cost Management || Market research || Budgeting &amp; Financial Modeling || Cost Management || Market research || Budgeting &amp; Financial Modeling || Cost Management || Market research || Budgeting &amp; Financial Modeling || Cost Management || Market research || Budgeting &amp; Financial Modeling || Cost Management || Market research || Budgeting &amp; Financial Modeling || Cost Management || Market research || Budgeting &amp; Financial Modeling || Cost Management || Market research || Budgeting &amp; Financial Modeling || Cost Management || Market research || Budgeting &amp; Financial Modeling || Cost Management || Market research || Budgeting &amp; Financial Modeling || Cost Management || Market research || Budgeting &amp; Financial Modeling || Cost Management || Market research || Business Model Development || Business Finance</t>
  </si>
  <si>
    <t>Banking &amp; Financial Services || Banking &amp; Financial Services || Banking &amp; Financial Services || Consumer Products || Consumer Products || Consumer Products || Education &amp; Training || Education &amp; Training || Education &amp; Training || FinTech || FinTech || FinTech || Industrial Automation &amp; Manufacturing || Industrial Automation &amp; Manufacturing || Industrial Automation &amp; Manufacturing || Pharmaceuticals, Healthcare and Wellness || Pharmaceuticals, Healthcare and Wellness || Pharmaceuticals, Healthcare and Wellness || Retail &amp; e-Commerce || Retail &amp; e-Commerce || Retail &amp; e-Commerce || Banking &amp; Financial Services || Banking &amp; Financial Services || Banking &amp; Financial Services || Consumer Products || Consumer Products || Consumer Products || Education &amp; Training || Education &amp; Training || Education &amp; Training || FinTech || FinTech || FinTech || Industrial Automation &amp; Manufacturing || Industrial Automation &amp; Manufacturing || Industrial Automation &amp; Manufacturing || Pharmaceuticals, Healthcare and Wellness || Pharmaceuticals, Healthcare and Wellness || Pharmaceuticals, Healthcare and Wellness || Retail &amp; e-Commerce || Retail &amp; e-Commerce || Retail &amp; e-Commerce || Fintech, Banking, Financial Services</t>
  </si>
  <si>
    <t>Subho Pati Sanyal</t>
  </si>
  <si>
    <t>The Nistula Group of Companies</t>
  </si>
  <si>
    <t>Summary&lt;/strong&gt;&lt;/p&gt;&lt;p&gt;Mr. Subho is a Quantum Consultant, Start-up Strategist, and Outsourcing Expert known for pioneering his Quantum Consulting Methodology. With global expertise across business strategy, technology, logistics, and sustainability, he helps startups and organizations thrive in diverse markets. Specializing in go-to-market strategies and operational excellence, Mr. Subho has a track record of transforming processes and driving growth. He collaborates with governments, corporates, and end consumers to deliver innovative, sustained success, particularly in India, the Philippines, and beyond.&lt;/p&gt;&lt;p&gt;&lt;br&gt;&lt;/p&gt;Core Expertise&lt;/strong&gt;&lt;/p&gt;&lt;ul&gt;&lt;li&gt;Quantum Consulting Methodology&lt;/li&gt;&lt;li&gt;Outsourcing &amp;amp; Business Process Optimization&lt;/li&gt;&lt;li&gt;Global Expansion &amp;amp; Go-to-Market Strategies&lt;/li&gt;&lt;li&gt;Start-up Consulting &amp;amp; Leadership Development&lt;/li&gt;&lt;li&gt;Sustainability &amp;amp; Emerging Technologies&lt;/li&gt;&lt;/ul&gt;&lt;p&gt;&lt;br&gt;&lt;/p&gt;Problem Solving Approach&lt;/strong&gt;&lt;/p&gt;&lt;ul&gt;&lt;li&gt;Utilizes Quantum Consulting Methodology to blend strategic thinking with quantum principles, guiding businesses through complexity and ensuring sustained success.&lt;/li&gt;&lt;li&gt;Focuses on optimizing operations, improving efficiency, and offering cost-effective solutions.&lt;/li&gt;&lt;/ul&gt;&lt;p&gt;&lt;br&gt;&lt;/p&gt;Impactful Projects&lt;/strong&gt;&lt;/p&gt;&lt;ul&gt;&lt;li&gt;Provided key insights for Philippine-focused players in PEO/EOR and automated microtransit in the U.S.&lt;/li&gt;&lt;li&gt;Led go-to-market strategies for global expansion in markets like India and the Philippines.&lt;/li&gt;&lt;li&gt;Analyzed critical areas such as loyalty marketing, deep-tech collaborations, and monetization of people-flow data.&lt;/li&gt;&lt;/ul&gt;&lt;p&gt;&lt;br&gt;&lt;/p&gt;Consulting Style&lt;/strong&gt;&lt;/p&gt;&lt;ul&gt;&lt;li&gt;Collaborative approach, bridging partnerships between governments, corporates, and consumers.&lt;/li&gt;&lt;li&gt;Hands-on mentor for startups, focusing on unconventional growth strategies that ensure long-term success.&lt;/li&gt;&lt;/ul&gt;</t>
  </si>
  <si>
    <t>https://www.linkedin.com/in/sahajayogi/</t>
  </si>
  <si>
    <t>subhopati@nistulagroup.com</t>
  </si>
  <si>
    <t>Business Model Development || Go to Market Strategy || Growth Strategy Formulation || Market research || Training &amp; Development || Business Model Development || Go to Market Strategy || Growth Strategy Formulation || Market research || Training &amp; Development || Business Model Development || Go to Market Strategy || Growth Strategy Formulation || Market research || Training &amp; Development || Business Model Development || Go to Market Strategy || Growth Strategy Formulation || Market research || Training &amp; Development || Business Model Development || Go to Market Strategy || Growth Strategy Formulation || Market research || Training &amp; Development || Business Model Development || Go to Market Strategy || Growth Strategy Formulation || Market research || Training &amp; Development || Go to Market Strategy</t>
  </si>
  <si>
    <t>Professional &amp; Business Services || Professional &amp; Business Services || Professional &amp; Business Services || Professional &amp; Business Services || Professional &amp; Business Services || Services || Services || Services || Services || Services || Professional &amp; Business Services || Professional &amp; Business Services || Professional &amp; Business Services || Professional &amp; Business Services || Professional &amp; Business Services || Services || Services || Services || Services || Services || Professional &amp; Business Services || Professional &amp; Business Services || Professional &amp; Business Services || Professional &amp; Business Services || Professional &amp; Business Services || Services || Services || Services || Services || Services || Information Technology &amp; Innovation || Fintech, Banking, Financial Services</t>
  </si>
  <si>
    <t>Sudesh Morey</t>
  </si>
  <si>
    <t>Founder &amp; Director</t>
  </si>
  <si>
    <t>Drmz System Innovations</t>
  </si>
  <si>
    <t>Summary:&lt;/strong&gt;&lt;/p&gt;&lt;p&gt;Mr. Sudesh Morey is the Founder and Director of Drmz System Innovations Pvt. Ltd., a leading provider of embedded systems and IoT solutions. With a background in Electronics and Communication Engineering from NIT Bhopal and an MBA from IIM Indore, he has been at the forefront of tech innovation since 2010. His expertise spans IoT, industrial robotics, and automation, and he is dedicated to simplifying complex technologies for diverse audiences. Under his leadership, Drmz has evolved from a skill development institute to a key player in industrial Product Management development.&lt;/p&gt;&lt;p&gt;&lt;br&gt;&lt;/p&gt;Key Areas of Expertise:&lt;/strong&gt;&lt;/p&gt;&lt;ul&gt;&lt;li&gt;Embedded Systems&lt;/li&gt;&lt;li&gt;Internet of Things (IoT)&lt;/li&gt;&lt;li&gt;Industrial Automation&lt;/li&gt;&lt;li&gt;Robotics&lt;/li&gt;&lt;li&gt;Product Management Development&lt;/li&gt;&lt;/ul&gt;&lt;p&gt;&lt;br&gt;&lt;/p&gt;Strategic Contributions:&lt;/strong&gt;&lt;/p&gt;&lt;ul&gt;&lt;li&gt;Founded Drmz System Innovations Pvt. Ltd., delivering IoT and automation solutions.&lt;/li&gt;&lt;li&gt;Pioneered smart technologies like IoT-enabled attendance systems and solar power management.&lt;/li&gt;&lt;/ul&gt;&lt;p&gt;&lt;br&gt;&lt;/p&gt;Mentorship Philosophy:&lt;/strong&gt;&lt;/p&gt;&lt;p&gt;Simplifying complex technical concepts, inspiring innovation, and empowering the next generation of engineers through education.&lt;/p&gt;</t>
  </si>
  <si>
    <t>https://www.linkedin.com/in/sudesh-morey-1007218/</t>
  </si>
  <si>
    <t>sudeshmorey@gmail.com</t>
  </si>
  <si>
    <t>Business Model Development || Product Development || Strategic Planning || Tech Strategy &amp; Infrastructure || Business Model Development || Product Development || Strategic Planning || Tech Strategy &amp; Infrastructure || Business Model Development || Product Development || Strategic Planning || Tech Strategy &amp; Infrastructure || Product Management</t>
  </si>
  <si>
    <t>CleanTech || CleanTech || CleanTech || CleanTech || Energy &amp; Renewable Resources || Energy &amp; Renewable Resources || Energy &amp; Renewable Resources || Energy &amp; Renewable Resources || Industrial Automation &amp; Manufacturing || Industrial Automation &amp; Manufacturing || Industrial Automation &amp; Manufacturing || Industrial Automation &amp; Manufacturing || CleanTech</t>
  </si>
  <si>
    <t>Sudhindra Paraki</t>
  </si>
  <si>
    <t>AGM</t>
  </si>
  <si>
    <t>HCL Tech</t>
  </si>
  <si>
    <t>Summary:&lt;/strong&gt;&lt;/p&gt;&lt;p&gt;Mr. Sudhindra Paraki, known as Sudhi, is an engineering leader, startup mentor, and angel investment advisor with over 25 years of experience. He has led engineering teams in global corporations like HP, Dell-EMC, IBM, and HCL, focusing on Product Management development, technology transformation, cloud migration, and cybersecurity. As an entrepreneur and mentor, Sudhi has guided startups from ideation to go-to-market phases, advising on governance and growth strategy. He also serves as an MCA-certified independent corporate director, offering expertise in ESG consulting, intellectual property management, and boardroom functions.&lt;/p&gt;&lt;p&gt;&lt;br&gt;&lt;/p&gt;Key Areas of Expertise:&lt;/strong&gt;&lt;/p&gt;&lt;ul&gt;&lt;li&gt;Engineering Leadership &amp;amp; Product Management Development&lt;/li&gt;&lt;li&gt;Technology Transformation &amp;amp; Cloud Migration&lt;/li&gt;&lt;li&gt;Cybersecurity &amp;amp; Digital Transformation, GenAI Practice and consulting&lt;/li&gt;&lt;li&gt;Startup Mentorship &amp;amp; Angel Investment&lt;/li&gt;&lt;li&gt;Intellectual Property Management &amp;amp; ESG Consulting&lt;/li&gt;&lt;/ul&gt;&lt;p&gt;&lt;br&gt;&lt;/p&gt;Strategic Contributions:&lt;/strong&gt;&lt;/p&gt;&lt;ul&gt;&lt;li&gt;Led engineering teams at HP, Dell-EMC, IBM, and HCL, focusing on technology transformation and cybersecurity.&lt;/li&gt;&lt;li&gt;Advised early-stage startups and investment firms on governance and growth strategies.&lt;/li&gt;&lt;li&gt;MCA-certified corporate director with expertise in ESG, cybersecurity, and cloud technologies.&lt;/li&gt;&lt;/ul&gt;&lt;p&gt;&lt;br&gt;&lt;/p&gt;Mentorship Philosophy:&lt;/strong&gt;&lt;/p&gt;&lt;p&gt;Mr. Sudhi is committed to helping startups converge on governance and growth strategies, with a focus on emerging technologies and markets. He supports them from ideation to market success.&lt;/p&gt;</t>
  </si>
  <si>
    <t>https://www.linkedin.com/in/sudhindraparaki/</t>
  </si>
  <si>
    <t>sudhindra.paraki@gmail.com</t>
  </si>
  <si>
    <t>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Business Model Development || Data Analytics || ESG Strategy || Exit Strategy Planning || Growth Strategy Formulation || International Market Analysis || IP Management || Product Development || Prototyping &amp; Testing || Research Partnerships || Software Development || Strategic Planning || Sustainable Operations || Tech Strategy &amp; Infrastructure || UI/UX Design || Product Management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</si>
  <si>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CleanTech || CleanTech || CleanTech || CleanTech || CleanTech || CleanTech || CleanTech || CleanTech || CleanTech || CleanTech || CleanTech || CleanTech || CleanTech || CleanTech || CleanTech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FinTech || FinTech || FinTech || FinTech || FinTech || FinTech || FinTech || FinTech || FinTech || FinTech || FinTech || FinTech || FinTech || FinTech || FinTech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CleanTech || CleanTech || CleanTech || CleanTech || CleanTech || CleanTech || CleanTech || CleanTech || CleanTech || CleanTech || CleanTech || CleanTech || CleanTech || CleanTech || CleanTech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FinTech || FinTech || FinTech || FinTech || FinTech || FinTech || FinTech || FinTech || FinTech || FinTech || FinTech || FinTech || FinTech || FinTech || FinTech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Software &amp; IT Services</t>
  </si>
  <si>
    <t>Sudipto Bhattacharya</t>
  </si>
  <si>
    <t>VIT Business School</t>
  </si>
  <si>
    <t>Summary&lt;/strong&gt;:&lt;/p&gt;&lt;p&gt;Sudipto is a multifaceted professional with expertise in management education, startup mentoring, corporate consulting, and leadership coaching. With a background in Textile Technology and an MBA, he ventured into entrepreneurship, founding a fruit processing business. Transitioning to academia, he earned his PhD in management and consulted on organizational problem-solving, branding, and customer engagement. A certified mentor from London Business School and Stanford University, Sudipto has delivered MDPs at prestigious institutions and contributed to books on startups and organizational transformation.&lt;/p&gt;&lt;p&gt;&lt;br&gt;&lt;/p&gt;Key Areas of Expertise:&lt;/strong&gt;&lt;/p&gt;&lt;ul&gt;&lt;li&gt;Management Education&lt;/li&gt;&lt;li&gt;Startup Mentorship&lt;/li&gt;&lt;li&gt;Leadership Coaching&lt;/li&gt;&lt;li&gt;Corporate Consulting&lt;/li&gt;&lt;li&gt;Sales Training&lt;/li&gt;&lt;/ul&gt;&lt;p&gt;&lt;br&gt;&lt;/p&gt;Strategic Contributions:&lt;/strong&gt;&lt;/p&gt;&lt;ul&gt;&lt;li&gt;Designed and delivered MDPs at IIM Calcutta and other institutions.&lt;/li&gt;&lt;li&gt;Consulted for UNIDO to develop the entrepreneurial ecosystem in West Africa.&lt;/li&gt;&lt;/ul&gt;&lt;p&gt;&lt;br&gt;&lt;/p&gt;Mentorship Philosophy:&lt;/strong&gt;&lt;/p&gt;&lt;ul&gt;&lt;li&gt;Focuses on guiding entrepreneurs through practical strategies for growth, community development, and social responsibility.&lt;/li&gt;&lt;/ul&gt;</t>
  </si>
  <si>
    <t>https://www.linkedin.com/in/dr-sudipto-bhattacharya-03323212/</t>
  </si>
  <si>
    <t>Vellore</t>
  </si>
  <si>
    <t>sudiptobhattacharya@yahoo.com</t>
  </si>
  <si>
    <t>Growth Strategy Formulation || International Market Analysis || Sales Strategy || Growth Strategy Formulation || International Market Analysis || Sales Strategy || Growth Strategy Formulation || International Market Analysis || Sales Strategy || Growth Strategy Formulation || International Market Analysis || Sales Strategy || Growth Strategy Formulation || International Market Analysis || Sales Strategy || Growth Strategy Formulation || International Market Analysis || Sales Strategy || Growth Strategy Formulation || International Market Analysis || Sales Strategy || Growth Strategy Formulation || International Market Analysis || Sales Strategy || Growth Strategy Formulation || International Market Analysis || Sales Strategy || Growth Strategy Formulation || International Market Analysis || Sales Strategy || Marketing &amp; Branding || Business Model Development</t>
  </si>
  <si>
    <t>Education &amp; Training || Education &amp; Training || Education &amp; Training || Fashion &amp; Beauty || Fashion &amp; Beauty || Fashion &amp; Beauty || Media, Arts &amp; Entertainment || Media, Arts &amp; Entertainment || Media, Arts &amp; Entertainment || Services || Services || Services || Social &amp; Community Services || Social &amp; Community Services || Social &amp; Community Services || Education &amp; Training || Education &amp; Training || Education &amp; Training || Fashion &amp; Beauty || Fashion &amp; Beauty || Fashion &amp; Beauty || Media, Arts &amp; Entertainment || Media, Arts &amp; Entertainment || Media, Arts &amp; Entertainment || Services || Services || Services || Social &amp; Community Services || Social &amp; Community Services || Social &amp; Community Services || Textiles &amp; Apparel</t>
  </si>
  <si>
    <t>Sumit Goswami</t>
  </si>
  <si>
    <t>CEO &amp; Co-founder</t>
  </si>
  <si>
    <t>ARVO</t>
  </si>
  <si>
    <t>Summary:&lt;/strong&gt;&lt;/p&gt;&lt;p&gt;Sumit is a seasoned business leader with over 23 years of experience, having held key positions such as CEO, Managing Director, and Co-Founder. His expertise spans driving growth, operational efficiency, and innovation in both established companies and startups. Sumit’s career is marked by industry-leading achievements in revenue and profit growth, managing large-scale operations, and overseeing the profit and loss (P&amp;amp;L) of substantial organizations.&lt;/p&gt;&lt;p&gt;&lt;br&gt;&lt;/p&gt;Core Expertise:&lt;/strong&gt;&lt;/p&gt;&lt;p&gt;Sumit specializes in strategic leadership, global sales, operational management, and innovation. He has extensive experience across various industries, including healthcare technology and AI, with a strong focus on scaling businesses, enhancing operational efficiency, and fostering growth.&lt;/p&gt;&lt;p&gt;&lt;br&gt;&lt;/p&gt;Problem-Solving Approach:&lt;/strong&gt;&lt;/p&gt;&lt;p&gt;Sumit adopts a strategic and hands-on approach to problem-solving, leveraging his deep understanding of global markets and operational insights. He is adept at navigating complex business challenges and driving transformative initiatives that lead to sustainable growth and profitability.&lt;/p&gt;&lt;p&gt;&lt;br&gt;&lt;/p&gt;Impactful Projects:&lt;/strong&gt;&lt;/p&gt;&lt;p&gt;Throughout his career, Sumit has spearheaded transformative initiatives that have resulted in significant revenue and profit growth. He has successfully managed operations in key regions such as the US, the UK, and India, while also leading sales efforts across 50+ countries. Sumit’s contributions extend to the startup ecosystem, where he actively invests in healthcare technology and AI startups.&lt;/p&gt;&lt;p&gt;&lt;br&gt;&lt;/p&gt;Consultation Style:&lt;/strong&gt;&lt;/p&gt;&lt;p&gt;Sumit’s consultation style is collaborative and mentorship-driven. He is committed to fostering entrepreneurial growth and innovation, as demonstrated by his involvement as a Coach for the Business Blaster initiative by the Delhi Government. Sumit tailors his guidance to meet the unique needs of each organization, helping them navigate challenges and achieve their strategic objectives.&lt;/p&gt;</t>
  </si>
  <si>
    <t>https://www.linkedin.com/in/sumit20</t>
  </si>
  <si>
    <t>goswami_sum@yahoo.com</t>
  </si>
  <si>
    <t>Business Model Development || Deep Tech (Blockchain, AI, Robotics, AR/VR) || Fundraising || Growth Strategy Formulation || Business Model Development || Deep Tech (Blockchain, AI, Robotics, AR/VR) || Fundraising || Growth Strategy Formulation || Business Model Development || Deep Tech (Blockchain, AI, Robotics, AR/VR) || Fundraising || Growth Strategy Formulation || Business Model Development || Deep Tech (Blockchain, AI, Robotics, AR/VR) || Fundraising || Growth Strategy Formulation || Business Model Development || Deep Tech (Blockchain, AI, Robotics, AR/VR) || Fundraising || Growth Strategy Formulation || Business Model Development || Deep Tech (Blockchain, AI, Robotics, AR/VR) || Fundraising || Growth Strategy Formulation || Product Management</t>
  </si>
  <si>
    <t>AgriTech &amp; New Food || AgriTech &amp; New Food || AgriTech &amp; New Food || AgriTech &amp; New Food || AI, Big Data &amp; Analytics || AI, Big Data &amp; Analytics || AI, Big Data &amp; Analytics || AI, Big Data &amp; Analytics || AgriTech &amp; New Food || AgriTech &amp; New Food || AgriTech &amp; New Food || AgriTech &amp; New Food || AI, Big Data &amp; Analytics || AI, Big Data &amp; Analytics || AI, Big Data &amp; Analytics || AI, Big Data &amp; Analytics || AgriTech &amp; New Food || AgriTech &amp; New Food || AgriTech &amp; New Food || AgriTech &amp; New Food || AI, Big Data &amp; Analytics || AI, Big Data &amp; Analytics || AI, Big Data &amp; Analytics || AI, Big Data &amp; Analytics || Deeptech || Fundraising</t>
  </si>
  <si>
    <t>Sumit Thakur</t>
  </si>
  <si>
    <t>Blackmont Consulting</t>
  </si>
  <si>
    <t>Summary:
Mr. Sumit is an entrepreneur, strategist, and visionary with experience building his startup, Untap'd, and forging strategic partnerships. With four years of entrepreneurial experience across the European, US, and Indian markets, he is passionate about problem-solving, leadership, and effective communication. Currently pursuing an MBA at Strathclyde Business School, Mr. Sumit also serves as a consultant at Strathclyde Inspire, advising early-stage startups.
Key Areas of Expertise:
Business Strategy
Leadership &amp; Team Building
Strategic Partnerships
Problem Solving
Communication &amp; Public Speaking
Strategic Contributions:
Built and led a startup from scratch, assembling a strong team and driving growth.
Developed and executed successful partnerships across multiple markets.
Mentorship Philosophy:
Focus on mindset transformation and fostering growth through well-executed partnerships.</t>
  </si>
  <si>
    <t>https://www.linkedin.com/in/sumitkthakur/</t>
  </si>
  <si>
    <t>United Kingdom</t>
  </si>
  <si>
    <t>Glasgow</t>
  </si>
  <si>
    <t>bksumit.thakur@gmail.com</t>
  </si>
  <si>
    <t>Business Model Development || Market research || Public speaking || Sales Strategy || Strategic Planning || Go to Market Strategy || Business Finance</t>
  </si>
  <si>
    <t>Automobiles &amp; Auto Components || Automobiles &amp; Auto Components || Automobiles &amp; Auto Components || Automobiles &amp; Auto Components || Automobiles &amp; Auto Components || Fintech, Banking, Financial Services || Automotive &amp; Auto Components</t>
  </si>
  <si>
    <t>Sunil Karamchandani</t>
  </si>
  <si>
    <t>Dwarkadas J. Sanghvi College of Engineering</t>
  </si>
  <si>
    <t>Summary:&lt;/strong&gt;&lt;/p&gt;&lt;p&gt;Dr. Sunil Karamchandani is a seasoned academic and researcher with over 25 years of experience in teaching and research, specializing in Wireless Body Area Networks (WBAN). He holds a doctorate from IIT Bombay and has made significant contributions to the field of electronics and telecommunications, recognized by prestigious publications and extensive media coverage.&lt;/p&gt;&lt;p&gt;&lt;br&gt;&lt;/p&gt;Core Expertise:&lt;/strong&gt;&lt;/p&gt;&lt;ul&gt;&lt;li&gt;Wireless Body Area Networks (WBAN),&lt;/li&gt;&lt;li&gt;Neural and Data Mining Algorithms,&lt;/li&gt;&lt;li&gt;Interactive Segmentation,&lt;/li&gt;&lt;li&gt;Applied Mathematics,&lt;/li&gt;&lt;li&gt;Textile-Based Wearable Computing,&lt;/li&gt;&lt;li&gt;Research and Development in Medical Imaging&lt;/li&gt;&lt;/ul&gt;&lt;p&gt;&lt;br&gt;&lt;/p&gt;Problem-Solving Approach:&lt;/strong&gt;&lt;/p&gt;&lt;p&gt;Dr. Sunil approaches challenges with a blend of deep theoretical knowledge and practical industry experience. He has successfully developed innovative solutions, from diagnostic software still in use at Bhabha Atomic Research Center to real-time segmentation of medical images for UK-based organizations. His focus is on low-power, efficient, and cost-effective designs, especially in the field of wearable computing.&lt;/p&gt;&lt;p&gt;&lt;br&gt;&lt;/p&gt;Impactful Projects:&lt;/strong&gt;&lt;/p&gt;&lt;p&gt;At IIT Bombay, Dr. Sunil led the design of a pioneering WBAN architecture, featuring an innovative textile material with sensing, conducting, and radiating properties. This material, integrated into clothing, allows for practical and scalable wearable computing. He has also been a key contributor to research in medical diagnostics, creating neural and data mining algorithms for the diagnosis of arterial diseases, and delivering R&amp;amp;D solutions for advanced medical imaging.&lt;/p&gt;&lt;p&gt;&lt;br&gt;&lt;/p&gt;Consultation Style:&lt;/strong&gt;&lt;/p&gt;&lt;p&gt;"My goal is to bridge the gap between theoretical research and practical applications, particularly in the fields of wireless networks and medical imaging. I am passionate about guiding the next generation of engineers and researchers, bringing out the best in them through hands-on learning and innovative thinking."&lt;/p&gt;</t>
  </si>
  <si>
    <t>https://www.linkedin.com/in/dr-sunil-karamchandani-he-him-5410039/?originalSubdomain=in</t>
  </si>
  <si>
    <t>skaramchandani@rediffmail.com</t>
  </si>
  <si>
    <t>Market research || Research Partnerships || Tech Strategy &amp; Infrastructure || Market research || Research Partnerships || Tech Strategy &amp; Infrastructure || Market research || Research Partnerships || Tech Strategy &amp; Infrastructure || Market research || Research Partnerships || Tech Strategy &amp; Infrastructure || Research and Development || Entrepreneurship Coaching</t>
  </si>
  <si>
    <t>Education &amp; Training || Education &amp; Training || Education &amp; Training || Pharmaceuticals, Healthcare and Wellness || Pharmaceuticals, Healthcare and Wellness || Pharmaceuticals, Healthcare and Wellness || Education &amp; Training || Education &amp; Training || Education &amp; Training || Pharmaceuticals, Healthcare and Wellness || Pharmaceuticals, Healthcare and Wellness || Pharmaceuticals, Healthcare and Wellness || Education &amp; Training || Consumer Products</t>
  </si>
  <si>
    <t>Sunil Khosla</t>
  </si>
  <si>
    <t>Unicorn Next</t>
  </si>
  <si>
    <t>Summary&lt;/strong&gt;&lt;/p&gt;&lt;p&gt;Mr. Sunil is a transformational leader with over 23 years of experience in corporate leadership, marketing, sales, and strategic planning. He has successfully pivoted into the global startup and scale-up ecosystem as a Founder, advisor, and investor, with expertise in industries such as CPG, fintech, payments, and SaaS. He has held key leadership roles at major organizations like AGS, Pidilite, and ITC, where he drove innovations in marketing, channel strategy, and business growth. Mr. Sunil is passionate about accelerating the growth of startups, SMEs, and social impact ventures, with a strong focus on global market expansion.&lt;/p&gt;&lt;p&gt;&lt;br&gt;&lt;/p&gt;Core Expertise&lt;/strong&gt;&lt;/p&gt;&lt;ul&gt;&lt;li&gt;Global Startup &amp;amp; Scale-up Ecosystem&lt;/li&gt;&lt;li&gt;GTM Strategy&lt;/li&gt;&lt;li&gt;Marketing &amp;amp; Sales&lt;/li&gt;&lt;li&gt;Channel Innovation&lt;/li&gt;&lt;li&gt;Retail Transformation&lt;/li&gt;&lt;li&gt;Strategic Partnerships&lt;/li&gt;&lt;li&gt;Web 3.0 &amp;amp; Metaverse&lt;/li&gt;&lt;/ul&gt;&lt;p&gt;&lt;br&gt;&lt;/p&gt;Problem Solving Approach&lt;/strong&gt;&lt;/p&gt;&lt;ul&gt;&lt;li&gt;&lt;strong&gt;Transformational Leadership&lt;/strong&gt;: Focuses on building solid teams and driving business innovation through strategic planning and pragmatic leadership.&lt;/li&gt;&lt;li&gt;&lt;strong&gt;Global Expansion&lt;/strong&gt;: Leverages extensive experience to accelerate the growth of startups and SMEs in emerging and global markets.&lt;/li&gt;&lt;/ul&gt;&lt;p&gt;&lt;br&gt;&lt;/p&gt;Impactful Projects&lt;/strong&gt;&lt;/p&gt;&lt;ul&gt;&lt;li&gt;&lt;strong&gt;Corporate Leadership Roles&lt;/strong&gt;: Held significant positions in major organizations like AGS, Pidilite, and ITC, where he led initiatives in marketing, sales, and digital business.&lt;/li&gt;&lt;li&gt;&lt;strong&gt;GTM &amp;amp; Marketing Innovations&lt;/strong&gt;: Drove transformational projects in GTM strategy, channel innovation, and retail transformation across various industries.&lt;/li&gt;&lt;/ul&gt;&lt;p&gt;&lt;br&gt;&lt;/p&gt;Consulting Style&lt;/strong&gt;&lt;/p&gt;&lt;ul&gt;&lt;li&gt;&lt;strong&gt;Mentorship &amp;amp; Advisory&lt;/strong&gt;: Provides strategic guidance to startups and scale-ups, with a focus on GTM access, resource partnerships, and fundraising.&lt;/li&gt;&lt;li&gt;&lt;strong&gt;Pragmatic &amp;amp; Strategic&lt;/strong&gt;: Combines a hands-on approach with strategic planning to drive business growth and innovation.&lt;/li&gt;&lt;/ul&gt;</t>
  </si>
  <si>
    <t>https://www.linkedin.com/in/sunilkhosla12/</t>
  </si>
  <si>
    <t>sunil.khosla@unicornnext.com</t>
  </si>
  <si>
    <t>Branding || Go to Market Strategy || Market access || Market research || Marketing || Branding || Go to Market Strategy || Market access || Market research || Marketing || Branding || Go to Market Strategy || Market access || Market research || Marketing || Branding || Go to Market Strategy || Market access || Market research || Marketing || Branding || Go to Market Strategy || Market access || Market research || Marketing || Branding || Go to Market Strategy || Market access || Market research || Marketing || Branding || Go to Market Strategy || Market access || Market research || Marketing || Branding || Go to Market Strategy || Market access || Market research || Marketing || Branding || Go to Market Strategy || Market access || Market research || Marketing || Branding || Go to Market Strategy || Market access || Market research || Marketing || Go to Market Strategy || Investing</t>
  </si>
  <si>
    <t>Agriculture &amp; Food Processing || Agriculture &amp; Food Processing || Agriculture &amp; Food Processing || Agriculture &amp; Food Processing || Agriculture &amp; Food Processing || CleanTech || CleanTech || CleanTech || CleanTech || CleanTech || FinTech || FinTech || FinTech || FinTech || FinTech || Pharmaceuticals, Healthcare and Wellness || Pharmaceuticals, Healthcare and Wellness || Pharmaceuticals, Healthcare and Wellness || Pharmaceuticals, Healthcare and Wellness || Pharmaceuticals, Healthcare and Wellness || Social &amp; Community Services || Social &amp; Community Services || Social &amp; Community Services || Social &amp; Community Services || Social &amp; Community Services || Agriculture &amp; Food Processing || Agriculture &amp; Food Processing || Agriculture &amp; Food Processing || Agriculture &amp; Food Processing || Agriculture &amp; Food Processing || CleanTech || CleanTech || CleanTech || CleanTech || CleanTech || FinTech || FinTech || FinTech || FinTech || FinTech || Pharmaceuticals, Healthcare and Wellness || Pharmaceuticals, Healthcare and Wellness || Pharmaceuticals, Healthcare and Wellness || Pharmaceuticals, Healthcare and Wellness || Pharmaceuticals, Healthcare and Wellness || Social &amp; Community Services || Social &amp; Community Services || Social &amp; Community Services || Social &amp; Community Services || Social &amp; Community Services || Social &amp; Community Services || Consumer Products</t>
  </si>
  <si>
    <t>Sunil Mishra</t>
  </si>
  <si>
    <t>Acenet Consulting</t>
  </si>
  <si>
    <t>Summary:&lt;/strong&gt; Sunil is a seasoned consultant, leader, and entrepreneur with over two decades of experience managing and growing strategic multi-million dollar engagements at leading IT services firms. He has extensive experience in servicing global financial services clients across the USA, Europe, APAC, the Middle East, and India.&lt;/p&gt;&lt;p&gt;&lt;br&gt;&lt;/p&gt;Core Expertise:&lt;/strong&gt;&lt;/p&gt;&lt;p&gt;Strategic Planning, Client &amp;amp; Stakeholder Management, P&amp;amp;L Management, Account &amp;amp; Program Management, Business Development, Financial Negotiations, Managed Services, Outsourcing &amp;amp; Offshoring, Global Delivery&lt;/p&gt;&lt;p&gt;&lt;br&gt;&lt;/p&gt;Problem-Solving Approach:&lt;/strong&gt;&lt;/p&gt;&lt;p&gt;Sunil leverages his deep expertise in strategic planning and global delivery to build high-performance teams and drive successful outcomes for complex, multi-million dollar engagements. His approach is focused on aligning business goals with strategic execution, optimizing resources, and delivering measurable results.&lt;/p&gt;&lt;p&gt;&lt;br&gt;&lt;/p&gt;Impactful Projects:&lt;/strong&gt;&lt;/p&gt;&lt;p&gt;Sunil has a proven track record of managing and expanding strategic engagements in the IT services sector, particularly within the financial services industry. He has played a key role in setting up processes, negotiating financial terms, and ensuring the successful delivery of services across multiple regions.&lt;/p&gt;&lt;p&gt;&lt;br&gt;&lt;/p&gt;</t>
  </si>
  <si>
    <t>https://www.linkedin.com/in/sunmish/</t>
  </si>
  <si>
    <t>sunil@acenet.io</t>
  </si>
  <si>
    <t>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Business Model Development || Go to Market Strategy || Pricing Strategy || Strategic Planning || IT Consulting || Go to Market Strategy</t>
  </si>
  <si>
    <t>AI, Big Data &amp; Analytics || AI, Big Data &amp; Analytics || AI, Big Data &amp; Analytics || AI, Big Data &amp; Analytics || Education &amp; Training || Education &amp; Training || Education &amp; Training || Education &amp; Training || Fashion &amp; Beauty || Fashion &amp; Beauty || Fashion &amp; Beauty || Fashion &amp; Beauty || FinTech || FinTech || FinTech || FinTech || Pharmaceuticals, Healthcare and Wellness || Pharmaceuticals, Healthcare and Wellness || Pharmaceuticals, Healthcare and Wellness || Pharmaceuticals, Healthcare and Wellness || Retail &amp; e-Commerce || Retail &amp; e-Commerce || Retail &amp; e-Commerce || Retail &amp; e-Commerce || Services || Services || Services || Services || Tourism &amp; Hospitality || Tourism &amp; Hospitality || Tourism &amp; Hospitality || Tourism &amp; Hospitality || AI, Big Data &amp; Analytics || AI, Big Data &amp; Analytics || AI, Big Data &amp; Analytics || AI, Big Data &amp; Analytics || Education &amp; Training || Education &amp; Training || Education &amp; Training || Education &amp; Training || Fashion &amp; Beauty || Fashion &amp; Beauty || Fashion &amp; Beauty || Fashion &amp; Beauty || FinTech || FinTech || FinTech || FinTech || Pharmaceuticals, Healthcare and Wellness || Pharmaceuticals, Healthcare and Wellness || Pharmaceuticals, Healthcare and Wellness || Pharmaceuticals, Healthcare and Wellness || Retail &amp; e-Commerce || Retail &amp; e-Commerce || Retail &amp; e-Commerce || Retail &amp; e-Commerce || Services || Services || Services || Services || Tourism &amp; Hospitality || Tourism &amp; Hospitality || Tourism &amp; Hospitality || Tourism &amp; Hospitality || Software &amp; IT Services</t>
  </si>
  <si>
    <t>Sunny Agarwal</t>
  </si>
  <si>
    <t>ACIC CBIT Foundation</t>
  </si>
  <si>
    <t>Educator, Innovation Evangelist, and Engineer serving as Chief Executive Officer at Atal Community Innovation Center (ACIC) CBIT Foundation, Hyderabad, supported by Atal Innovation Mission under NITI Aayog. Holds an Integrated M.Tech. in Water Engineering and Management from Central University of Jharkhand and Ph.D. in Civil Engineering from K L Deemed to be University, with GATE 2015 qualification. Brings unique experience in managing early-stage ventures and startups addressing semi-urban and rural India problems. Has published 32 research articles and authored 3 books, with expertise in Design Thinking and Innovation workshops. Currently mentors startups through multiple platforms including Startup India MAARG portal, Wadhwani Foundation, Startupbootcamp, and Atal Incubation Centre GGSIPU.
Skills: Entrepreneurship, Startup Incubation, Business Development, Fundraising, Mentorship &amp; Coaching, Design Thinking, Innovation Management, Civil Engineering, Water Resources, Workshop Facilitation, Ecosystem Development, Strategic Planning, Government Relations, Startup Support Programs</t>
  </si>
  <si>
    <t>https://www.linkedin.com/in/dr-sunny-agarwal-b9052a65/</t>
  </si>
  <si>
    <t>sunnycujiwem@gmail.com</t>
  </si>
  <si>
    <t>Business Model Development || Fundraising || UI/UX Design || Entrepreneurship Coaching</t>
  </si>
  <si>
    <t>Surendra Verma</t>
  </si>
  <si>
    <t>Emgage-HRMS</t>
  </si>
  <si>
    <t>Summary:&lt;/strong&gt; Surendra Varma is an accomplished human resources leader with over 20 years of experience helping organizations, both large and small, build their talent and culture. He spent his first decade managing HR functions for growing corporate companies before founding two successful ventures over the last 10 years, focused on recruitment and HR solutions for startups and SMEs.&lt;/p&gt;&lt;p&gt;&lt;br&gt;&lt;/p&gt;Core Expertise:&lt;/strong&gt;&lt;/p&gt;&lt;ul&gt;&lt;li&gt;HR Tech Platform&lt;/li&gt;&lt;li&gt;Recruitment&lt;/li&gt;&lt;li&gt;HR Process Automation&lt;/li&gt;&lt;li&gt;Organization Development&lt;/li&gt;&lt;li&gt;Employer Branding&lt;/li&gt;&lt;/ul&gt;&lt;p&gt;&lt;br&gt;&lt;/p&gt;Problem-Solving Approach:&lt;/strong&gt;&lt;/p&gt;&lt;p&gt;Surendra combines his extensive experience in HR processes with innovative technology to create tailored solutions for businesses. His approach is centered on simplifying people management practices and driving growth for MSMEs and SMEs.&lt;/p&gt;&lt;p&gt;&lt;br&gt;&lt;/p&gt;Impactful Projects:&lt;/strong&gt;&lt;/p&gt;&lt;p&gt;As the Founder of HiringLink Talent Solutions, Surendra partners with companies to identify and recruit skilled professionals who drive success. His second company, Emgage, is leading an initiative to empower 50,000 MSMEs over the next five years through a virtual HR service delivery platform, setting them up for high growth and contributing to India’s goal of becoming the world's third-largest economy.&lt;/p&gt;&lt;p&gt;&lt;br&gt;&lt;/p&gt;Consultation Style:&lt;/strong&gt;&lt;/p&gt;&lt;p&gt;"I believe in hands-on, practical solutions that align with an organization’s specific needs. I work closely with Founders to overcome HR challenges, focusing on creating a robust HR ecosystem that attracts and retains top talent."&lt;/p&gt;</t>
  </si>
  <si>
    <t>https://www.linkedin.com/in/surendravarma/</t>
  </si>
  <si>
    <t>surendra.varma@emgage.work</t>
  </si>
  <si>
    <t>Performance Management || Talent Acquisition || Performance Management || Talent Acquisition || Performance Management || Talent Acquisition || Performance Management || Talent Acquisition || HR Consulting</t>
  </si>
  <si>
    <t>FinTech || FinTech || Others || Others || FinTech || FinTech || Others || Others || Software &amp; IT Services || Telecommunications</t>
  </si>
  <si>
    <t>Surya M Rajendran</t>
  </si>
  <si>
    <t>Clowak Innovations LLP</t>
  </si>
  <si>
    <t>Social Entrepreneur with 8+ years of experience in manufacturing, design, rapid prototyping, venture creation, and business development. Founder &amp; CEO of Clowak Innovations, a dental engineering company developing portable dentistry equipment and innovative dental alternatives, which has received grants from Tanseed 4.0, NIDHI Prayass, and NIDHI SSS. Also serves as Director of Entreovert, a non-profit entrepreneurs association and incubator that has generated 20+ startups and impacted 7500+ students across Vellore, Ranipet, and Tiruvannamalai. Co-founder of Knackbay, an IT service company. B.Tech in Mechanical Engineering from VIT University with an MBA, and certifications from Stanford Seed, IITM GDC, Wadhwani Foundation, and VITTBI.
Skills: Social Entrepreneurship, Product Development, Business Development, Fundraising, Mentorship, Incubation Management, Dental Engineering, Rapid Prototyping, Startup Scaling, Collaboration, Strategic Partnerships, Innovation, Government Relations, Grant Management</t>
  </si>
  <si>
    <t>https://www.linkedin.com/in/suryamrajendran/</t>
  </si>
  <si>
    <t>suryamrajendran@gmail.com</t>
  </si>
  <si>
    <t>Business Model Development || Product Development || Prototyping &amp; Testing || Strategic Planning || Tech Strategy &amp; Infrastructure || UI/UX Design || Business Model Development || Product Development || Prototyping &amp; Testing || Strategic Planning || Tech Strategy &amp; Infrastructure || UI/UX Design || Business Model Development || Product Development || Prototyping &amp; Testing || Strategic Planning || Tech Strategy &amp; Infrastructure || UI/UX Design || Business Model Development || Investing</t>
  </si>
  <si>
    <t>Industrial Automation &amp; Manufacturing || Industrial Automation &amp; Manufacturing || Industrial Automation &amp; Manufacturing || Industrial Automation &amp; Manufacturing || Industrial Automation &amp; Manufacturing || Industrial Automation &amp; Manufacturing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Pharmaceuticals, Healthcare and Wellness</t>
  </si>
  <si>
    <t>Suryansham Tiwari</t>
  </si>
  <si>
    <t>Entrepreneur and Innovation Mentor based in Palo Alto, California, currently building in stealth and helping insurers increase profitability. Former Category Management professional at PhonePe (January 2023 - February 2024) where he scaled products on a pan-India basis. Co-Founder of BlueVelocity, a patented device company that generates electrical output from vehicle motion, which raised over 1.5M INR backed by Government of India under NIDHI Grants. Founder of GreenbirdInsure Consultants providing freelance consulting to 7+ startups/companies in the insurance vertical. Member of Insurance Institute of India and ranked Top 1% by WTFund (Zerodha Fund). B.Tech Gold Medalist from NIT Agartala and studied at IIT Delhi. Experienced Innovation and Business Mentor at multiple universities including University of Toronto, University of Michigan, McGill University, and University of Waterloo.
Skills: Insurance Consulting, Product Management, Business Strategy, Fundraising, GTM Strategy, Hardware Engineering, Innovation Mentorship, Startup Scaling, Category Management, Insurance API Integration, Compliance Management, Venture Capital, Business Development</t>
  </si>
  <si>
    <t>https://www.linkedin.com/in/suryanshamtiwari</t>
  </si>
  <si>
    <t>suryansham.tiwari.nita@gmail.com</t>
  </si>
  <si>
    <t>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Angel Investing || Branding || Business Model Development || Compliance Assistance || Customer Service &amp; Retention || Data Analytics || Digital Marketing || Fundraising || Go to Market Strategy || Government Funding || Growth Strategy Formulation || Market access || Market research || Marketing || Media and PR || Organizational Development || Performance Management || Pitch coaching || Process Optimization || Product Development || Quality Assurance || Sales Strategy || Software Development || Strategic Planning || Supply Chain Management || Talent Acquisition || Tech Strategy &amp; Infrastructure || Training &amp; Development || Product Management || Go To Market Strategy</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</si>
  <si>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FinTech || FinTech || FinTech || FinTech || FinTech || FinTech || FinTech || FinTech || FinTech || FinTech || FinTech || FinTech || FinTech || FinTech || FinTech || FinTech || FinTech || FinTech || FinTech || FinTech || FinTech || FinTech || FinTech || FinTech || FinTech || FinTech || FinTech || FinTech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FinTech || FinTech || FinTech || FinTech || FinTech || FinTech || FinTech || FinTech || FinTech || FinTech || FinTech || FinTech || FinTech || FinTech || FinTech || FinTech || FinTech || FinTech || FinTech || FinTech || FinTech || FinTech || FinTech || FinTech || FinTech || FinTech || FinTech || FinTech || Fintech, Banking, Financial Services</t>
  </si>
  <si>
    <t>Susila Cherla</t>
  </si>
  <si>
    <t>Ostranenie Product Managements &amp; Management Consulting Services</t>
  </si>
  <si>
    <t>Summary:&lt;/strong&gt;&lt;/p&gt;&lt;p&gt;Susila is the Founder of Ostranenie, a consultancy dedicated to guiding startups and professionals towards growth and success. With over 23 years of international experience in R&amp;amp;D software development, supplier quality management, procurement, and supply chain operations, Susila leverages a deep expertise in automation, digitization, and operational efficiency. Her work is complemented by her roles as an ISB Certified Mentor for Professionals and a mentor at I-Venture@ISB and the Wadhwani Foundation.&lt;/p&gt;&lt;p&gt;&lt;br&gt;&lt;/p&gt;Core Expertise:&lt;/strong&gt;&lt;/p&gt;&lt;ul&gt;&lt;li&gt;&lt;strong&gt;Mentoring &amp;amp; Coaching:&lt;/strong&gt; Expert in guiding students, professionals, and B-School aspirants through mindset shifts, career transitions, and personal growth.&lt;/li&gt;&lt;li&gt;&lt;strong&gt;Startup Advisory:&lt;/strong&gt; Skilled in enhancing operational efficiencies, creating revenue streams, boosting sales and marketing, securing VC funding, and guiding startups from ideation to establishment.&lt;/li&gt;&lt;li&gt;&lt;strong&gt;Freelance Placement:&lt;/strong&gt; Providing experienced tech engineers, Product Management managers, and other professionals as freelancers.&lt;/li&gt;&lt;li&gt;&lt;strong&gt;Automation &amp;amp; Digitization:&lt;/strong&gt; Specializing in implementing automation and digitization strategies to improve operational efficiency.&lt;/li&gt;&lt;/ul&gt;&lt;p&gt;&lt;br&gt;&lt;/p&gt;Problem-Solving Approach:&lt;/strong&gt;&lt;/p&gt;&lt;p&gt;Susila adopts a multifaceted approach, leveraging her extensive cross-functional experience to provide tailored solutions. Her methodology includes presenting facts from alternative viewpoints (Ostranenie), addressing mindset inertia, and applying strategic frameworks to foster growth and innovation.&lt;/p&gt;&lt;p&gt;&lt;br&gt;&lt;/p&gt;Impactful Projects:&lt;/strong&gt;&lt;/p&gt;&lt;ul&gt;&lt;li&gt;&lt;strong&gt;Ostranenie:&lt;/strong&gt; Founded to support startups and professionals by applying diverse perspectives and frameworks to drive growth.&lt;/li&gt;&lt;li&gt;&lt;strong&gt;Mentorship Programs:&lt;/strong&gt; Contributed significantly to the development of students, professionals, and entrepreneurs through various mentorship roles at prestigious institutions and organizations.&lt;/li&gt;&lt;li&gt;&lt;strong&gt;International Experience:&lt;/strong&gt; Applied her expertise in Motorola and Nokia to enhance operational processes, receiving notable recognition for her contributions.&lt;/li&gt;&lt;/ul&gt;&lt;p&gt;&lt;br&gt;&lt;/p&gt;Consultation Style:&lt;/strong&gt;&lt;/p&gt;&lt;p&gt;Susila's consultation style is strategic and transformative. She collaborates closely with clients and mentees to understand their unique challenges and opportunities, providing insights and guidance that foster substantial growth. Her approach is centered around leveraging her extensive experience and innovative frameworks to drive meaningful results.&lt;/p&gt;</t>
  </si>
  <si>
    <t>https://www.linkedin.com/in/susilacherlamanagementconsultant/</t>
  </si>
  <si>
    <t>susilacherla@gmail.com</t>
  </si>
  <si>
    <t>Fundraising || Product Development || Fundraising || Product Development || Fundraising || Product Development || Fundraising || Product Development || Fundraising || Product Development || Fundraising || Product Development || Business Model Development || Go to Market Strategy</t>
  </si>
  <si>
    <t>Education &amp; Training || Education &amp; Training || Services || Services || Technology &amp; Innovation || Technology &amp; Innovation || Education &amp; Training || Education &amp; Training || Services || Services || Technology &amp; Innovation || Technology &amp; Innovation || Telecommunications</t>
  </si>
  <si>
    <t>Talha Sareshwala</t>
  </si>
  <si>
    <t>Ummat Economic Research And Development Association</t>
  </si>
  <si>
    <t>It has been 30 years since I started my career as a humble entrepreneur. This journey, full of excitement, experiences, rewards, and learning’s, is very close to my heart because of one important reason:&amp;nbsp;My unconditional faith in following ethical business practice and following it throughout in its totality. Dedication, work ethics and never-say-die attitude have largely contributed to this&amp;nbsp;success as a businessman and social entrepreneur. That’s the reason, I am inclined of sharing my experience as an entrepreneur through Mentoring sessions. Mentoring can act as a catalyst for young minds, while ensuring them that ethics and principles do pay in business when followed in true spirit and action. The sessions would also throw light on many crucial business aspects, so that it becomes useful in all senses,&lt;/p&gt;</t>
  </si>
  <si>
    <t>https://www.linkedin.com/in/talha-yunus-65129135/</t>
  </si>
  <si>
    <t>tsareshwala@gmail.com</t>
  </si>
  <si>
    <t>Business Model Development || Business Model Development || Business Model Development || Business Model Development || Marketing &amp; Branding</t>
  </si>
  <si>
    <t>FinTech || Others || Services || Automotive &amp; Auto Components || Fintech, Banking, Financial Services</t>
  </si>
  <si>
    <t>Tanmay Mukherji</t>
  </si>
  <si>
    <t>Director - New Solutions</t>
  </si>
  <si>
    <t>Udhayam Learning Foundation</t>
  </si>
  <si>
    <t>Summary&lt;/strong&gt;&lt;/p&gt;&lt;p&gt;Mr. Tanmay, an experienced entrepreneur, exited his INR 1 Billion turnover family business in composites and process automation to focus on building sustainable ecosystems and mentoring social enterprises. He volunteered at HIAL, Ladakh, working alongside Mr. Sonam Wangchuk to convert innovative ideas into businesses. Currently, he mentors startups, nurtures innovations, and helps organizations find sustainable solutions to complex grassroots problems. As part of Udhyam Learning Foundation, he works with nano entrepreneurs, contributing to creating a better world through innovation and sustainability.&lt;/p&gt;&lt;p&gt;&lt;br&gt;&lt;/p&gt;Key Areas of Expertise&lt;/strong&gt;&lt;/p&gt;&lt;ul&gt;&lt;li&gt;Innovation&lt;/li&gt;&lt;li&gt;Social Enterprises&lt;/li&gt;&lt;li&gt;Process Automation&lt;/li&gt;&lt;li&gt;Composites (RTM, DCPD processing)&lt;/li&gt;&lt;li&gt;Sustainable Ecosystems&lt;/li&gt;&lt;li&gt;Mentorship&lt;/li&gt;&lt;li&gt;Grassroots Problem Solving&lt;/li&gt;&lt;/ul&gt;&lt;p&gt;&lt;br&gt;&lt;/p&gt;Strategic Contributions&lt;/strong&gt;&lt;/p&gt;&lt;ul&gt;&lt;li&gt;Led the enterprise arm at HIAL Ladakh, converting innovative ideas into businesses&lt;/li&gt;&lt;li&gt;Helped organizations achieve sustainability with a focus on social enterprises&lt;/li&gt;&lt;/ul&gt;&lt;p&gt;&lt;br&gt;&lt;/p&gt;Mentorship Philosophy&lt;/strong&gt;&lt;/p&gt;&lt;p&gt;Focused on nurturing new ideas, mentoring startups, and finding solutions to improve lives at the grassroots level&lt;/p&gt;</t>
  </si>
  <si>
    <t>https://www.linkedin.com/in/tmukherji/</t>
  </si>
  <si>
    <t>tanmay@zeta.consulting</t>
  </si>
  <si>
    <t>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Branding || Budgeting &amp; Financial Modeling || Business Model Development || Corporate Social Responsibility || Currency and Risk Management || Customer Service &amp; Retention || Data Analytics || Data Reporting || ESG Strategy || Export || Go to Market Strategy || Growth Strategy Formulation || International Market Analysis || KPI Governance || Logistics Management || Market access || Market research || Marketing || Organizational Development || Performance Management || Performance Metrics || Pitch coaching || Pricing Strategy || Process Optimization || Product Development || Prototyping &amp; Testing || Public speaking || Quality Assurance || Sales Strategy || Strategic Planning || Supply Chain Management || Sustainable Operations || Buisness Operations || Software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</si>
  <si>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CleanTech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Transportation &amp; Logistics || Social &amp; Community Services || Manufacturing</t>
  </si>
  <si>
    <t>Tanmay Swarup</t>
  </si>
  <si>
    <t>AVP Marketing</t>
  </si>
  <si>
    <t>Paisabazaar</t>
  </si>
  <si>
    <t>Summary:&lt;/strong&gt; Tanmay is a marketing leader with over 12 years of experience in securing strategic partnerships, optimizing digital marketing investments, and managing cross-functional teams to deliver impactful solutions. His career includes significant roles at Google, where he managed a $100M+ portfolio and achieved remarkable growth, as well as key positions at startups like rechargeitnow.com and wadi.com, where he developed GTM and marketing strategies that fueled business expansion.&lt;/p&gt;&lt;p&gt;&lt;br&gt;&lt;/p&gt;Core Expertise:&lt;/strong&gt; &lt;/p&gt;&lt;ul&gt;&lt;li&gt;Strategic Partnerships&lt;/li&gt;&lt;li&gt;Digital Marketing&lt;/li&gt;&lt;li&gt;GTM Strategy&lt;/li&gt;&lt;li&gt;Media Strategy&lt;/li&gt;&lt;li&gt;Product Management Management&lt;/li&gt;&lt;li&gt;CRM Implementation&lt;/li&gt;&lt;/ul&gt;&lt;p&gt;&lt;br&gt;&lt;/p&gt;Problem-Solving Approach:&lt;/strong&gt; Tanmay leverages strategic thinking and data-driven insights to optimize marketing spend, enhance customer retention, and drive business growth. His ability to navigate complex challenges and lead cross-functional teams ensures that his solutions are both innovative and effective.&lt;/p&gt;&lt;p&gt;&lt;br&gt;&lt;/p&gt;Impactful Projects:&lt;/strong&gt;&lt;/p&gt;&lt;ul&gt;&lt;li&gt;Spearheaded a 31% increase in YouTube branding and a 117% boost in Google performance marketing at Google.&lt;/li&gt;&lt;li&gt;Led market acquisition and GTM planning for top industry players in Online Gambling and E-services, contributing to a 101% Y/Y revenue growth.&lt;/li&gt;&lt;li&gt;Enhanced CRM capabilities at Wadi.com, leading to a 1.8X increase in repeat purchase rates and playing a crucial role in the company’s acquisition by Carrefour.&lt;/li&gt;&lt;/ul&gt;&lt;p&gt;&lt;br&gt;&lt;/p&gt;</t>
  </si>
  <si>
    <t>https://www.linkedin.com/in/connectwithtanmayswarup/</t>
  </si>
  <si>
    <t>swarup.tanmay@gmail.com</t>
  </si>
  <si>
    <t>Digital Marketing || Go to Market Strategy || Marketing || Digital Marketing || Go to Market Strategy || Marketing || Digital Marketing || Go to Market Strategy || Marketing || Digital Marketing || Go to Market Strategy || Marketing || Digital Marketing || Go to Market Strategy || Marketing || Digital Marketing || Go to Market Strategy || Marketing || Marketing &amp; Branding || Go to Market Strategy</t>
  </si>
  <si>
    <t>FinTech || FinTech || FinTech || Pharmaceuticals, Healthcare and Wellness || Pharmaceuticals, Healthcare and Wellness || Pharmaceuticals, Healthcare and Wellness || Retail &amp; e-Commerce || Retail &amp; e-Commerce || Retail &amp; e-Commerce || FinTech || FinTech || FinTech || Pharmaceuticals, Healthcare and Wellness || Pharmaceuticals, Healthcare and Wellness || Pharmaceuticals, Healthcare and Wellness || Retail &amp; e-Commerce || Retail &amp; e-Commerce || Retail &amp; e-Commerce || Fintech, Banking, Financial Services</t>
  </si>
  <si>
    <t>Tarun Goel</t>
  </si>
  <si>
    <t>Scaling Dreams</t>
  </si>
  <si>
    <t xml:space="preserve">Summary:&lt;/strong&gt; Tarun is a seasoned sales and business strategist with over 12 years of experience in e-Commerce, category and brand management, and business growth. He holds a dual degree (BTech + MBA) from IIT Roorkee and has successfully led major projects in B2B, cross-border trade, and e-commerce expansion across global markets.&lt;/p&gt;&lt;p&gt;&lt;br&gt;&lt;/p&gt;Core Expertise:&lt;/strong&gt; Tarun's expertise spans e-Commerce, brand management, procurement, B2B sales, and cross-border trade. He has worked with brands and businesses to establish growth strategies, expand into new markets, and execute successful trade with countries like China, Korea, Japan, and the US. His current venture, Scaling Dreams Pvt Ltd, focuses on helping businesses expand across 250+ online and offline channels for sales, procurement, and operations.&lt;/p&gt;&lt;p&gt;&lt;br&gt;&lt;/p&gt;Problem-Solving Approach:&lt;/strong&gt; Tarun approaches business challenges through structured, innovative solutions, often employing cutting-edge technology such as AI, machine learning, and data-driven insights to optimize operations and drive growth. His methodology includes detailed audits, market research, and strategic planning to create seamless digital solutions for brands.&lt;/p&gt;&lt;p&gt;&lt;br&gt;&lt;/p&gt;Impactful Projects:&lt;/strong&gt;&lt;/p&gt;&lt;ul&gt;&lt;li&gt;At Shopclues, Tarun managed the mobiles category for a ₹1500 Cr portfolio and spearheaded cross-border trade initiatives across multiple countries.&lt;/li&gt;&lt;li&gt;At Upscalio, he led eCommerce growth, brand acquisition strategies, and Product Management development.&lt;/li&gt;&lt;li&gt;Currently, at Scaling Dreams, Tarun is building a "hospital for businesses," offering over 5000 services under one roof for sales, procurement, and operations.&lt;/li&gt;&lt;li&gt;He is also the Executive Director at Rocking Deals Circular Economy Limited, leading the liquidation of excess and certified refurbished stocks for 500+ brands across 45 stores.&lt;/li&gt;&lt;/ul&gt;&lt;p&gt;&lt;br&gt;&lt;/p&gt;Consultation Style:&lt;/strong&gt; Tarun believes in providing comprehensive, data-driven solutions to help businesses achieve sustainable growth. He offers a hands-on approach, integrating experts, cutting-edge technology, and robust support staff to deliver tailored solutions that address business challenges at every stage.&lt;/p&gt; </t>
  </si>
  <si>
    <t>https://www.linkedin.com/in/tarun-goel-9279031a</t>
  </si>
  <si>
    <t>tarun@scalingdreams.in</t>
  </si>
  <si>
    <t>Go to Market Strategy || Go to Market Strategy || Go to Market Strategy || Go to Market Strategy || Go to Market Strategy || Go to Market Strategy || Go to Market Strategy || Go to Market Strategy || Go to Market Strategy || Go to Market Strategy || Go to Market Strategy || Go to Market Strategy || Go to Market Strategy || Go to Market Strategy || Go to Market Strategy || Go to Market Strategy || Entrepreneurship Coaching || Customer Relationship Management</t>
  </si>
  <si>
    <t>AI, Big Data &amp; Analytics || Consumer Products || Fashion &amp; Beauty || Professional &amp; Business Services || Retail &amp; e-Commerce || Services || Technology &amp; Innovation || Transportation &amp; Logistics || AI, Big Data &amp; Analytics || Consumer Products || Fashion &amp; Beauty || Professional &amp; Business Services || Retail &amp; e-Commerce || Services || Technology &amp; Innovation || Transportation &amp; Logistics || Retail &amp; e-Commerce</t>
  </si>
  <si>
    <t>Tarun Kohli</t>
  </si>
  <si>
    <t>TK Advisors</t>
  </si>
  <si>
    <t>Global Business &amp; Leadership Mentor and Management Consultant based in New Delhi, serving as Chief Executive Officer of TK Advisors since April 2013. Fractional CMO, Thought Leader, and Senior Advisor specializing in Marketing and International Business Strategy. Currently serving as AIMA-Wadhwani Foundation SME Mentor/Coach providing mentoring and workshop coaching sessions with SMEs as part of the SME Accelerate Growth Programme. Also serves as Advisor to AsiaTradeHub.com, facilitating international trade and acting as a bridge between Indian and foreign companies. Expertise includes business development, gap assessment, trade analysis, podcasting, and team leadership. Certified in LinkedIn courses including Pitching Yourself, Video Shooting at Home, Starting a Business Online, and Podcasting for Enterprises. Active content creator with presence on Spotify, YouTube, and multiple platforms.
Skills: Business Mentoring, Management Consulting, Marketing Strategy, International Business Development, SME Coaching, Leadership Development, Trade Facilitation, Global Partnerships, Team Management, Business Assessment, Communication, Content Creation, Podcasting, Strategic Planning</t>
  </si>
  <si>
    <t>https://www.linkedin.com/in/tkadvisors/?locale=ja_JP</t>
  </si>
  <si>
    <t>ctckohli@outlook.com</t>
  </si>
  <si>
    <t>Growth Strategy Formulation || Marketing || Strategic Planning || Growth Strategy Formulation || Marketing || Strategic Planning || Growth Strategy Formulation || Marketing || Strategic Planning || Marketing &amp; Branding || Investing</t>
  </si>
  <si>
    <t>Agriculture &amp; Food Processing || Agriculture &amp; Food Processing || Agriculture &amp; Food Processing || Industrial Automation &amp; Manufacturing || Industrial Automation &amp; Manufacturing || Industrial Automation &amp; Manufacturing || Telecommunications || Telecommunications || Telecommunications || Software &amp; IT Services || Manufacturing</t>
  </si>
  <si>
    <t>Tarun Kumar</t>
  </si>
  <si>
    <t>Noastrix</t>
  </si>
  <si>
    <t>A passionate eCommerce growth marketer who is driven by data! Having worked in Apple and Amazon has given me a comprehensive understanding of how offline and online retail ecosystem works. I leverage that experience in helping e-commerce startups and brands to scale horizontally and vertically.A passionate eCommerce growth marketer who is driven by data! Having worked in Apple and Amazon has given me a comprehensive understanding of how offline and online retail ecosystem works. I leverage that experience in helping e-commerce startups and brands to scale horizontally and vertically.
ServicesServices
Digital Marketing • Marketing Strategy • Performance Marketing</t>
  </si>
  <si>
    <t>https://www.linkedin.com/in/tarun-kumar-ecommerce-marketer/</t>
  </si>
  <si>
    <t>kumarcatarun@gmail.com</t>
  </si>
  <si>
    <t>Digital Marketing || Digital Marketing || Digital Marketing || Digital Marketing || Digital Marketing || Digital Marketing || Digital Marketing || Digital Marketing || Digital Marketing || Digital Marketing || Growth Strategy Formulation || Marketing &amp; Branding</t>
  </si>
  <si>
    <t>Consumer Products || Fashion &amp; Beauty || Pharmaceuticals, Healthcare and Wellness || Retail &amp; e-Commerce || Textiles &amp; Apparel || Consumer Products || Fashion &amp; Beauty || Pharmaceuticals, Healthcare and Wellness || Retail &amp; e-Commerce || Textiles &amp; Apparel || Retail &amp; e-Commerce || Software &amp; IT Services</t>
  </si>
  <si>
    <t>Tryambak Chatterjee</t>
  </si>
  <si>
    <t>Clapstick Media</t>
  </si>
  <si>
    <t>Summary:&lt;/strong&gt; Tryambak is a seasoned professional with over 17 years of experience in mainstream media and Ed-Tech, excelling in entrepreneurial and leadership roles. As the Co-Founder of a Government of India-recognized startup, he has successfully built and exit-funded ventures, demonstrating his expertise as a Chief Product Management Officer and Media Strategist. Recognized for his pioneering success across television broadcasting, Ed-Tech scaling, and digital media, Tryambak's visionary approach has positioned him as a leader in strategic leadership, brand development, and digital transformation.&lt;/p&gt;&lt;p&gt;&lt;br&gt;&lt;/p&gt;Core Expertise:&lt;/strong&gt; Tryambak's core expertise spans across strategic leadership, video content Product Managemention, cross-platform media management, and digital transformation. He has deep knowledge in brand development and the setup and execution of video content creation pipelines. His experience in both traditional media and digital ecosystems has enabled him to innovate and lead operations for satellite news channels and digital media platforms with millions of daily active users.&lt;/p&gt;&lt;p&gt;&lt;br&gt;&lt;/p&gt;Problem-Solving Approach:&lt;/strong&gt; Tryambak employs a strategic and visionary approach to problem-solving, focusing on integrating traditional media into digital-first ecosystems. He is skilled in formulating captivating user journeys and leveraging technology to drive digital transformation. His methodology involves strategic planning, creative design, and operational excellence to achieve industry-leading milestones in media and digital innovation.&lt;/p&gt;&lt;p&gt;&lt;br&gt;&lt;/p&gt;Impactful Projects:&lt;/strong&gt; Throughout his career, Tryambak has led various impactful projects, including the establishment of India's most in-depth content marketplace and a Press Release SaaS media tech platform. He has also spearheaded the creation and management of full-fledged satellite news channels, overseeing operations across multiple departments. His leadership in digital media has driven the successful deployment of digital Product Managements from inception to large-scale user adoption.&lt;/p&gt;&lt;p&gt;&lt;br&gt;&lt;/p&gt;Consultation Style:&lt;/strong&gt; Tryambak's consultation style is dynamic and collaborative, combining creativity with operational excellence. He engages closely with clients and teams to understand their unique challenges and tailors his guidance to align with their strategic goals. His profound understanding of technological advancements and media landscapes allows him to provide innovative solutions that drive transformative outcomes.&lt;/p&gt;</t>
  </si>
  <si>
    <t>https://www.linkedin.com/in/tryambakchatterjee/</t>
  </si>
  <si>
    <t>tryambakchatterjee@gmail.com</t>
  </si>
  <si>
    <t>Digital Marketing || Go to Market Strategy || Intellectual Property Advisory || Media and PR || Product Design || Digital Marketing || Go to Market Strategy || Intellectual Property Advisory || Media and PR || Product Design || Digital Marketing || Go to Market Strategy || Intellectual Property Advisory || Media and PR || Product Design || Marketing &amp; Branding || Content Strategy</t>
  </si>
  <si>
    <t>Education &amp; Training || Education &amp; Training || Education &amp; Training || Education &amp; Training || Education &amp; Training || Media, Arts &amp; Entertainment || Media, Arts &amp; Entertainment || Media, Arts &amp; Entertainment || Media, Arts &amp; Entertainment || Media, Arts &amp; Entertainment || Services || Services || Services || Services || Services || Education &amp; Training</t>
  </si>
  <si>
    <t>Shivam Malhotra</t>
  </si>
  <si>
    <t>Counter Culture Foods</t>
  </si>
  <si>
    <t>Summary: Shivam is a serial entrepreneur, independent consultant, and startup mentor. He is the founder of DU Express, one of India’s largest student communities and leading college news platforms, created during his undergrad days at Delhi College of Arts &amp; Commerce. His exceptional work at DU Express earned him the Philip Kotler Award in 2020 for 'Best Youth Media Platform'. Shivam also built Mauka, a LinkedIn-like platform for India's blue and grey-collar workers, backed by 100X.VC.
Core Expertise: Shivam specializes in startup mentoring, entrepreneurship, and consulting for early-stage companies, particularly in Robotics, Blockchain, and Social platforms. He has provided guidance to numerous startups from Seed to Series A stages, supported by leading global investors.
Problem-Solving Approach: Shivam's approach focuses on innovation, early-stage startup challenges, and identifying growth opportunities within emerging industries. He encourages young entrepreneurs to take risks and launch startups early in their careers, akin to the internet boom of the 1990s.
Impactful Projects:
Founded DU Express, a platform that revolutionized student communities in India and received the prestigious Philip Kotler Award for its impact.
Built Mauka, a cutting-edge platform for blue and grey-collar workers, backed by 100X.VC.
Worked as a consultant for startups in the domains of Robotics, Blockchain, and Social initiatives, contributing to their growth from seed to Series A stages.
Consultation Style: Shivam is passionate about mentoring young entrepreneurs, guiding them through the early stages of their business journey. He has been a mentor at prominent events such as Techstars Startup Weekend (Google for Startups), Delhi Government's Business Blasters, and more. He actively promotes entrepreneurship, sharing his journey and experiences through various speaking engagements.</t>
  </si>
  <si>
    <t>https://www.linkedin.com/in/shivammalhotra95/</t>
  </si>
  <si>
    <t>shivammalhotra1995@gmail.com</t>
  </si>
  <si>
    <t>Go to Market Strategy || Go to Market Strategy || Go to Market Strategy || Go to Market Strategy || Go to Market Strategy || Investing</t>
  </si>
  <si>
    <t>Agriculture &amp; Food Processing || Education &amp; Training || Agriculture &amp; Food Processing || Education &amp; Training || Agritech &amp; Food Processing</t>
  </si>
  <si>
    <t>Tushar Vadera</t>
  </si>
  <si>
    <t>Set My Cart</t>
  </si>
  <si>
    <t>Summary: &lt;/strong&gt;&lt;/p&gt;&lt;p&gt;Mr. Tushar is a startup community enabler and serial entrepreneur with over 18 years of experience across SaaS, eCommerce, D2C, EdTech, strategic partnerships, and growth marketing. He specializes in helping brands and startups leverage technology for expansion, managing investor relations at Headstart, and has personally mentored over 100 startups for fundraising and GTM.&lt;/p&gt;&lt;p&gt;&lt;br&gt;&lt;/p&gt;Key Areas of Expertise&lt;/strong&gt;:&lt;/p&gt;&lt;ul&gt;&lt;li&gt;Early Stage Investment&lt;/li&gt;&lt;li&gt;Strategic Partnerships&lt;/li&gt;&lt;li&gt;Go-to-Market (GTM) Strategy&lt;/li&gt;&lt;li&gt;Growth Marketing&lt;/li&gt;&lt;/ul&gt;&lt;p&gt;&lt;br&gt;&lt;/p&gt;Strategic Contributions:&lt;/strong&gt; Empowered brands and startups to expand and streamline processes. Involved in building India’s largest startup community at Headstart and organizing pan-India pitch event series Bharat Pitchathon with 30+ investment partners. Supported numerous startups in navigating challenges and securing funding.&lt;/p&gt;&lt;p&gt;&lt;br&gt;&lt;/p&gt;Mentorship Philosophy: &lt;/strong&gt;Support early-stage startups through mentorship, helping them navigate the fundraising process, and empowering the next generation with essential skills and industry readiness.&lt;/p&gt;&lt;p&gt;&lt;br&gt;&lt;/p&gt;Success Stories:&lt;/strong&gt; Mentored over 20,000 students, preparing them for industry readiness and entrepreneurial success. Fostered the growth and fundraising success of numerous incubated startups.&lt;/p&gt;</t>
  </si>
  <si>
    <t>https://www.linkedin.com/in/tusharvadera/</t>
  </si>
  <si>
    <t>tushar.vadera@gmail.com</t>
  </si>
  <si>
    <t>Angel Investing || Branding || Customer Experience Optimization || Digital Marketing || E-commerce Management || Fundraising || Go to Market Strategy || Growth Strategy Formulation || Marketing || Pitch coaching || Product Development || Prototyping &amp; Testing || Sales Strategy || Social Media Marketing || Software Development || Angel Investing || Branding || Customer Experience Optimization || Digital Marketing || E-commerce Management || Fundraising || Go to Market Strategy || Growth Strategy Formulation || Marketing || Pitch coaching || Product Development || Prototyping &amp; Testing || Sales Strategy || Social Media Marketing || Software Development || Angel Investing || Branding || Customer Experience Optimization || Digital Marketing || E-commerce Management || Fundraising || Go to Market Strategy || Growth Strategy Formulation || Marketing || Pitch coaching || Product Development || Prototyping &amp; Testing || Sales Strategy || Social Media Marketing || Software Development || Angel Investing || Branding || Customer Experience Optimization || Digital Marketing || E-commerce Management || Fundraising || Go to Market Strategy || Growth Strategy Formulation || Marketing || Pitch coaching || Product Development || Prototyping &amp; Testing || Sales Strategy || Social Media Marketing || Software Development || Angel Investing || Branding || Customer Experience Optimization || Digital Marketing || E-commerce Management || Fundraising || Go to Market Strategy || Growth Strategy Formulation || Marketing || Pitch coaching || Product Development || Prototyping &amp; Testing || Sales Strategy || Social Media Marketing || Software Development || Angel Investing || Branding || Customer Experience Optimization || Digital Marketing || E-commerce Management || Fundraising || Go to Market Strategy || Growth Strategy Formulation || Marketing || Pitch coaching || Product Development || Prototyping &amp; Testing || Sales Strategy || Social Media Marketing || Software Development || Angel Investing || Branding || Customer Experience Optimization || Digital Marketing || E-commerce Management || Fundraising || Go to Market Strategy || Growth Strategy Formulation || Marketing || Pitch coaching || Product Development || Prototyping &amp; Testing || Sales Strategy || Social Media Marketing || Software Development || Marketing &amp; Branding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</si>
  <si>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Textiles &amp; Apparel || Retail &amp; e-Commerce || Education &amp; Training</t>
  </si>
  <si>
    <t>Uday Krishna</t>
  </si>
  <si>
    <t>Venture Partner</t>
  </si>
  <si>
    <t>100Unicorns</t>
  </si>
  <si>
    <t>Venture Capital professional with 15+ years of experience in early-stage and growth investing, venture consulting, fund management, and startup operations. Currently serving as Venture Partner at Venture Catalysts++ (India's leading multi-stage VC), Business Advisor at EBRD, Mentor at San Francisco State University, Startup Mentor at Wadhwani Foundation, and Mentor/Advisor at UCLA Anderson Venture Accelerator. Previously held roles as Managing Partner at VC_HEATROOM and Venture Capital Principal-Partner at Amicus (Hong Kong-based growth stage venture fund). Entrepreneur in Residence and Head of Incubation at accelerators (2015-2019). Expertise spans fintech, ed-tech, health-tech, SaaS, and AI sectors. Specializes in helping startups validate business models, achieve product-market fit, raise capital, and expand into new markets, plus mentoring on leadership development and career progression in venture capital.
Skills: Venture Capital, Early-Stage Investing, Growth Investing, Startup Mentorship, Business Strategy, Fundraising, Product Development, Market Entry, Fintech, EdTech, HealthTech, SaaS, AI, Leadership Development, Team Culture, Ecosystem Building, Fund Management, Due Diligence</t>
  </si>
  <si>
    <t>https://www.linkedin.com/in/uday-krishna-4aa633248/</t>
  </si>
  <si>
    <t>ud.03@protonmail.com</t>
  </si>
  <si>
    <t>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Angel Investing || Business Model Development || Contracts &amp; Agreements || Customer Experience Optimization || E-commerce Management || Entity Formation || Exit Strategy Planning || Fundraising || Go to Market Strategy || Growth Strategy Formulation || International Market Analysis || Investment Banking || Market access || Market research || Marketing || Media and PR || Pitch coaching || Research Partnerships || Sales Strategy || Social Media Marketing || Strategic Planning || Talent Acquisition || Training &amp; Development || Investing || Growth Strategy Formulation</t>
  </si>
  <si>
    <t>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CleanTech || CleanTech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FinTech || FinTech || FinTech || FinTech || FinTech || FinTech || FinTech || FinTech || FinTech || FinTech || FinTech || FinTech || FinTech || FinTech || FinTech || FinTech || FinTech || FinTech || FinTech || FinTech || FinTech || FinTech || FinTech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CleanTech || CleanTech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FinTech || FinTech || FinTech || FinTech || FinTech || FinTech || FinTech || FinTech || FinTech || FinTech || FinTech || FinTech || FinTech || FinTech || FinTech || FinTech || FinTech || FinTech || FinTech || FinTech || FinTech || FinTech || FinTech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CleanTech || CleanTech || CleanTech || CleanTech || CleanTech || CleanTech || CleanTech || CleanTech || CleanTech || CleanTech || CleanTech || CleanTech || CleanTech || CleanTech || CleanTech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FinTech || FinTech || FinTech || FinTech || FinTech || FinTech || FinTech || FinTech || FinTech || FinTech || FinTech || FinTech || FinTech || FinTech || FinTech || FinTech || FinTech || FinTech || FinTech || FinTech || FinTech || FinTech || FinTech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Venture Funding</t>
  </si>
  <si>
    <t>Ulhas Vairagkar</t>
  </si>
  <si>
    <t>Volunteer- Mentor</t>
  </si>
  <si>
    <t>Mentor Together</t>
  </si>
  <si>
    <t>Summary:&lt;/strong&gt;&lt;/p&gt;&lt;p&gt;Mr. Ulhas Vairagkar is a dedicated volunteer and mentor with a passion for education, employability, and youth development in the not-for-profit sector. With extensive experience in teaching and advising NGOs, he contributes to building processes, quality systems, and scaling initiatives. Mr. Ulhas actively mentors young entrepreneurs, mid-career professionals, and students, providing career guidance and support. He serves on the advisory boards of multiple organizations and is involved in various educational initiatives, making a significant impact on the lives of children and youth across India.&lt;/p&gt;&lt;p&gt;&lt;br&gt;&lt;/p&gt;Key Areas of Expertise:&lt;/strong&gt;&lt;/p&gt;&lt;ul&gt;&lt;li&gt;&lt;strong&gt;Education &amp;amp; Teaching&lt;/strong&gt;: Volunteer-teacher for Maths, Science, and Economics for school students.&lt;/li&gt;&lt;li&gt;&lt;strong&gt;Mentorship &amp;amp; Career Guidance&lt;/strong&gt;: Mentoring young entrepreneurs, mid-career professionals, and students.&lt;/li&gt;&lt;li&gt;&lt;strong&gt;Non-Profit Advisory&lt;/strong&gt;: Advisory board member for several NGOs, offering strategic guidance.&lt;/li&gt;&lt;li&gt;&lt;strong&gt;Process Development &amp;amp; Scaling&lt;/strong&gt;: Expertise in developing and scaling processes and quality systems.&lt;/li&gt;&lt;/ul&gt;&lt;p&gt;&lt;br&gt;&lt;/p&gt;Strategic Contributions:&lt;/strong&gt;&lt;/p&gt;&lt;ul&gt;&lt;li&gt;&lt;strong&gt;Advisory Roles&lt;/strong&gt;: Active member of the advisory boards for organizations like E&amp;amp;H Foundation, QUEST, and others.&lt;/li&gt;&lt;li&gt;&lt;strong&gt;Mentorship Programs&lt;/strong&gt;: Involved in mentoring initiatives such as Udayan Care, Katalyst, and the Delhi government's Business Blasters program.&lt;/li&gt;&lt;/ul&gt;&lt;p&gt;&lt;br&gt;&lt;/p&gt;Mentorship Philosophy:&lt;/strong&gt;&lt;/p&gt;&lt;p&gt;Mr. Ulhas believes in empowering youth and professionals through practical guidance, education, and the development of critical thinking. His approach includes acting as a devil's advocate to challenge ideas and promote growth.&lt;/p&gt;</t>
  </si>
  <si>
    <t>https://www.linkedin.com/in/ulhas-vairagkar-56697ba/</t>
  </si>
  <si>
    <t>Ulhasv@gmail.com</t>
  </si>
  <si>
    <t>Business Model Development || Go to Market Strategy || Growth Strategy Formulation || Organizational Development || Pricing Strategy || Business Model Development || Go to Market Strategy || Growth Strategy Formulation || Organizational Development || Pricing Strategy || Business Model Development || Go to Market Strategy || Growth Strategy Formulation || Organizational Development || Pricing Strategy || Business Model Development || Go to Market Strategy || Growth Strategy Formulation || Organizational Development || Pricing Strategy || Business Model Development || Go to Market Strategy || Growth Strategy Formulation || Organizational Development || Pricing Strategy || Business Model Development || Go to Market Strategy || Growth Strategy Formulation || Organizational Development || Pricing Strategy || Business Model Development || Training &amp; Development</t>
  </si>
  <si>
    <t>Education &amp; Training || Education &amp; Training || Education &amp; Training || Education &amp; Training || Education &amp; Training || Social &amp; Community Services || Social &amp; Community Services || Social &amp; Community Services || Social &amp; Community Services || Social &amp; Community Services || Education &amp; Training || Education &amp; Training || Education &amp; Training || Education &amp; Training || Education &amp; Training || Social &amp; Community Services || Social &amp; Community Services || Social &amp; Community Services || Social &amp; Community Services || Social &amp; Community Services || Education &amp; Training || Education &amp; Training || Education &amp; Training || Education &amp; Training || Education &amp; Training || Social &amp; Community Services || Social &amp; Community Services || Social &amp; Community Services || Social &amp; Community Services || Social &amp; Community Services || Consumer Products​ || Education &amp; Training</t>
  </si>
  <si>
    <t>Tukaram Sonawane</t>
  </si>
  <si>
    <t>Founder &amp; MD</t>
  </si>
  <si>
    <t>Krishigati</t>
  </si>
  <si>
    <t>Enthusiastic enabler for sustainable youth entrepreneurship and business development, serving as Founder &amp; MD of Krishigati™ (an agritech startup developing the "electric bull" - an axle-less battery-powered vehicle for farming operations) since December 2020. CEO of MITAOE Entrepreneurial Development Foundation and Strategic Advisor at MITAOE EDF. Certified Entrepreneurship Educator by Wadhwani Foundation and National Entrepreneurship Network, with 5+ years of experience in product design, deployment, business analytics, and startup execution. Has mentored 2,000+ startups as a startup coach and mentoring coach, with 6 startups crossing ₹50 lakh turnover under his guidance. Master's in Mechanical Engineering (Design) from Savitribai Phule Pune University; pursuing PhD in Sustainable Development. Recognized with awards including Best Teacher of The Year (2019) and Startup Club Award from Wadhwani Foundation. Founding Member of India Coaching Federation.
Skills: Startup Coaching, Entrepreneurship Development, Agritech, Product Design, Business Analytics, Market Analysis, MVP Development, Agricultural Innovation, Business Mentorship, Sustainable Development, Team Building, Financial Planning, Customer Development, Growth Strategies, Certification as Mentor (Citi &amp; Guild, London)</t>
  </si>
  <si>
    <t>https://www.linkedin.com/in/sonawane-tukaram-66b73a85/</t>
  </si>
  <si>
    <t>sonawane.yuram@gmail.com</t>
  </si>
  <si>
    <t>Business Model Development || Market research || Strategic Planning || Training &amp; Development || Business Model Development || Market research || Strategic Planning || Training &amp; Development || Business Model Development</t>
  </si>
  <si>
    <t>Services || Services || Services || Services || Services || Services || Services || Services || Agritech &amp; Food Processing</t>
  </si>
  <si>
    <t>Uma Shankar Paruchuri</t>
  </si>
  <si>
    <t>Kallikrates Consulting Services</t>
  </si>
  <si>
    <t>Seasoned Senior HR Business Transformation Leader with over 16 years of cross-industry experience driving organizational design, workforce optimization, and business transformation initiatives. Serves as Chief HR Officer (CHRO) and Startup Mentor with expertise in Organizational Design, Performance Management, and Digital HR. Currently based in Hyderabad, India, with experience in Head of Human Resources roles at organizations like Vint Foods and Beverages. Specializes in designing HR systems and processes for startups and scale-ups, talent management, strategic HR transformation, employee relations, and organizational capability building. Known for mentoring startups in HR aspects and helping young organizations establish robust people systems. Brings deep knowledge of Indian labor laws and employment practices, with focus on making informal HR systems more professional and compliant.
Skills: HR Business Transformation, Organizational Design, CHRO Leadership, Performance Management, Digital HR, Talent Management, Employee Relations, Startup HR Mentorship, Workforce Optimization, HR Systems &amp; Processes, Labor Relations, Change Management, Recruitment, Organizational Development</t>
  </si>
  <si>
    <t>https://www.linkedin.com/in/paruchuri-umashankar/</t>
  </si>
  <si>
    <t>umashankar.paruchuri@gmail.com</t>
  </si>
  <si>
    <t>Entity Formation || Growth Strategy Formulation || Logistics Management || Organizational Development || Sustainable Operations || Entity Formation || Growth Strategy Formulation || Logistics Management || Organizational Development || Sustainable Operations || Entity Formation || Growth Strategy Formulation || Logistics Management || Organizational Development || Sustainable Operations || Entity Formation || Growth Strategy Formulation || Logistics Management || Organizational Development || Sustainable Operations || Entity Formation || Growth Strategy Formulation || Logistics Management || Organizational Development || Sustainable Operations || Entity Formation || Growth Strategy Formulation || Logistics Management || Organizational Development || Sustainable Operations || Entity Formation || Growth Strategy Formulation || Logistics Management || Organizational Development || Sustainable Operations || Entity Formation || Growth Strategy Formulation || Logistics Management || Organizational Development || Sustainable Operations || Entity Formation || Growth Strategy Formulation || Logistics Management || Organizational Development || Sustainable Operations || HR Consulting || Business Model Development</t>
  </si>
  <si>
    <t>Agriculture &amp; Food Processing || Agriculture &amp; Food Processing || Agriculture &amp; Food Processing || Agriculture &amp; Food Processing || Agriculture &amp; Food Processing || Industrial Automation &amp; Manufacturing || Industrial Automation &amp; Manufacturing || Industrial Automation &amp; Manufacturing || Industrial Automation &amp; Manufacturing || Industrial Automation &amp; Manufacturing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Retail &amp; e-Commerce || Retail &amp; e-Commerce || Retail &amp; e-Commerce || Retail &amp; e-Commerce || Retail &amp; e-Commerce || Services || Services || Services || Services || Services || Textiles &amp; Apparel || Textiles &amp; Apparel || Textiles &amp; Apparel || Textiles &amp; Apparel || Textiles &amp; Apparel || Tourism &amp; Hospitality || Tourism &amp; Hospitality || Tourism &amp; Hospitality || Tourism &amp; Hospitality || Tourism &amp; Hospitality || Transportation &amp; Logistics || Transportation &amp; Logistics || Transportation &amp; Logistics || Transportation &amp; Logistics || Transportation &amp; Logistics || HR Services</t>
  </si>
  <si>
    <t>Umesh Rathod</t>
  </si>
  <si>
    <t>Innovation Manager-AICTE-MoE's Innovation Cell</t>
  </si>
  <si>
    <t>Ministry of Education, Government of India</t>
  </si>
  <si>
    <t>Summary:&lt;/strong&gt;&lt;/p&gt;&lt;p&gt;Mr. Umesh is a dedicated mentor, educator, researcher, and author with a passion for fostering innovation and entrepreneurship. He has mentored over 4.5 lakh students and collaborated with prestigious institutions like ISB, IIM-C, and G20. As an award-winning mentor, TEDx speaker, and advocate for inclusive education, he focuses on building a robust startup ecosystem and promoting STEM education. His books on entrepreneurship inspire others to embrace startup culture, and his practical teaching philosophy emphasizes applying knowledge to real-world challenges.&lt;/p&gt;&lt;p&gt;&lt;br&gt;&lt;/p&gt;Key Areas of Expertise:&lt;/strong&gt;&lt;/p&gt;&lt;ul&gt;&lt;li&gt;Entrepreneurship Management&lt;/li&gt;&lt;li&gt;Innovation &amp;amp; Creativity&lt;/li&gt;&lt;li&gt;Strategic Management&lt;/li&gt;&lt;li&gt;International Business&lt;/li&gt;&lt;li&gt;Mentorship &amp;amp; Leadership&lt;/li&gt;&lt;/ul&gt;&lt;p&gt;&lt;br&gt;&lt;/p&gt;Strategic Contributions:&lt;/strong&gt;&lt;/p&gt;&lt;ul&gt;&lt;li&gt;Mentored over 4.5 lakh students and collaborated with 250+ institutions.&lt;/li&gt;&lt;li&gt;Authored bestsellers like &lt;em&gt;Startup Theories, Examples &amp;amp; Activities&lt;/em&gt; and &lt;em&gt;Startup Chanakya&lt;/em&gt;.&lt;/li&gt;&lt;/ul&gt;&lt;p&gt;&lt;br&gt;&lt;/p&gt;Mentorship Philosophy:&lt;/strong&gt;&lt;/p&gt;&lt;p&gt;Empowering aspiring entrepreneurs with empathy, resilience, and practical knowledge to overcome challenges and drive change.&lt;/p&gt;</t>
  </si>
  <si>
    <t>https://www.linkedin.com/in/umeshrathore</t>
  </si>
  <si>
    <t>umeshr1206@gmail.com</t>
  </si>
  <si>
    <t>Shushanshu</t>
  </si>
  <si>
    <t>Branding || Business Model Development || Data Analytics || Digital Marketing || Go to Market Strategy || Growth Strategy Formulation || Intellectual Property Rights || IP Management || Market research || Marketing || Media and PR || Pitch coaching || Pricing Strategy || Product Development || Prototyping &amp; Testing || Public speaking || Research Partnerships || Strategic Planning || Sustainable Operations || Tech Strategy &amp; Infrastructure || UI/UX Design || Branding || Business Model Development || Data Analytics || Digital Marketing || Go to Market Strategy || Growth Strategy Formulation || Intellectual Property Rights || IP Management || Market research || Marketing || Media and PR || Pitch coaching || Pricing Strategy || Product Development || Prototyping &amp; Testing || Public speaking || Research Partnerships || Strategic Planning || Sustainable Operations || Tech Strategy &amp; Infrastructure || UI/UX Design || Branding || Business Model Development || Data Analytics || Digital Marketing || Go to Market Strategy || Growth Strategy Formulation || Intellectual Property Rights || IP Management || Market research || Marketing || Media and PR || Pitch coaching || Pricing Strategy || Product Development || Prototyping &amp; Testing || Public speaking || Research Partnerships || Strategic Planning || Sustainable Operations || Tech Strategy &amp; Infrastructure || UI/UX Design || Branding || Business Model Development || Data Analytics || Digital Marketing || Go to Market Strategy || Growth Strategy Formulation || Intellectual Property Rights || IP Management || Market research || Marketing || Media and PR || Pitch coaching || Pricing Strategy || Product Development || Prototyping &amp; Testing || Public speaking || Research Partnerships || Strategic Planning || Sustainable Operations || Tech Strategy &amp; Infrastructure || UI/UX Design || Branding || Business Model Development || Data Analytics || Digital Marketing || Go to Market Strategy || Growth Strategy Formulation || Intellectual Property Rights || IP Management || Market research || Marketing || Media and PR || Pitch coaching || Pricing Strategy || Product Development || Prototyping &amp; Testing || Public speaking || Research Partnerships || Strategic Planning || Sustainable Operations || Tech Strategy &amp; Infrastructure || UI/UX Design || Branding || Business Model Development || Data Analytics || Digital Marketing || Go to Market Strategy || Growth Strategy Formulation || Intellectual Property Rights || IP Management || Market research || Marketing || Media and PR || Pitch coaching || Pricing Strategy || Product Development || Prototyping &amp; Testing || Public speaking || Research Partnerships || Strategic Planning || Sustainable Operations || Tech Strategy &amp; Infrastructure || UI/UX Design || Branding || Business Model Development || Data Analytics || Digital Marketing || Go to Market Strategy || Growth Strategy Formulation || Intellectual Property Rights || IP Management || Market research || Marketing || Media and PR || Pitch coaching || Pricing Strategy || Product Development || Prototyping &amp; Testing || Public speaking || Research Partnerships || Strategic Planning || Sustainable Operations || Tech Strategy &amp; Infrastructure || UI/UX Design || Branding || Business Model Development || Data Analytics || Digital Marketing || Go to Market Strategy || Growth Strategy Formulation || Intellectual Property Rights || IP Management || Market research || Marketing || Media and PR || Pitch coaching || Pricing Strategy || Product Development || Prototyping &amp; Testing || Public speaking || Research Partnerships || Strategic Planning || Sustainable Operations || Tech Strategy &amp; Infrastructure || UI/UX Design || Branding || Business Model Development || Data Analytics || Digital Marketing || Go to Market Strategy || Growth Strategy Formulation || Intellectual Property Rights || IP Management || Market research || Marketing || Media and PR || Pitch coaching || Pricing Strategy || Product Development || Prototyping &amp; Testing || Public speaking || Research Partnerships || Strategic Planning || Sustainable Operations || Tech Strategy &amp; Infrastructure || UI/UX Design || Branding || Business Model Development || Data Analytics || Digital Marketing || Go to Market Strategy || Growth Strategy Formulation || Intellectual Property Rights || IP Management || Market research || Marketing || Media and PR || Pitch coaching || Pricing Strategy || Product Development || Prototyping &amp; Testing || Public speaking || Research Partnerships || Strategic Planning || Sustainable Operations || Tech Strategy &amp; Infrastructure || UI/UX Design || Branding || Business Model Development || Data Analytics || Digital Marketing || Go to Market Strategy || Growth Strategy Formulation || Intellectual Property Rights || IP Management || Market research || Marketing || Media and PR || Pitch coaching || Pricing Strategy || Product Development || Prototyping &amp; Testing || Public speaking || Research Partnerships || Strategic Planning || Sustainable Operations || Tech Strategy &amp; Infrastructure || UI/UX Design || Research and Development || Research and Development</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</si>
  <si>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FinTech || FinTech || FinTech || FinTech || FinTech || FinTech || FinTech || FinTech || FinTech || FinTech || FinTech || FinTech || FinTech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Education &amp; Training</t>
  </si>
  <si>
    <t>Umesh Uttamchandani</t>
  </si>
  <si>
    <t>Co-Founder, Chief Growth Officer</t>
  </si>
  <si>
    <t>Dev Accelerator</t>
  </si>
  <si>
    <t>Summary: &lt;/strong&gt;&lt;/p&gt;&lt;p&gt;Umesh has nearly 10 years of experience in the IT &amp;amp; Real Estate industries. He describes himself as a Strategic Thinker with a focus on Marketing and Sales, a Startup Enthusiast, and an Entrepreneur. He is currently the Co-Founder and Chief Growth Officer of Dev Accelerator (DevX), where he is involved in strategic partnerships, growth strategies, and mentoring startups.&lt;/p&gt;&lt;p&gt;&lt;br&gt;&lt;/p&gt;Key Areas of Expertise: &lt;/strong&gt;&lt;/p&gt;&lt;p&gt;Strategic Partnerships Growth Strategies Technology Startups/SMEs acceleration SaaS, Mobility, Cloud Kitchen, Media Tech, and Lending sectors Co-working space management&lt;/p&gt;&lt;p&gt;&lt;br&gt;&lt;/p&gt;Strategic Contributions: &lt;/strong&gt;&lt;/p&gt;&lt;p&gt;Designing long-term Growth Strategies Curating Technology Startups/SMEs for the Accelerator program Board Member and Investor in multiple portfolio ventures Commercialization of Product Managements/Services for high-value offerings&lt;/p&gt;&lt;p&gt;&lt;br&gt;&lt;/p&gt;Mentorship Philosophy: &lt;/strong&gt;&lt;/p&gt;&lt;p&gt;Active role as a Mentor for startups, guiding them from ideation to growth stages Focus on boosting startups through strategic support and mentoring Success Stories Mention: To be added&lt;/p&gt;</t>
  </si>
  <si>
    <t>https://www.linkedin.com/in/umeshuttamchandani1/</t>
  </si>
  <si>
    <t>umesh.u@devx.work</t>
  </si>
  <si>
    <t>Billing and revenue collection || Budgeting &amp; Financial Modeling || Business Model Development || Currency and Risk Management || Customer Service &amp; Retention || Data Reporting || Fundraising || Go to Market Strategy || Growth Strategy Formulation || Market research || Pricing Strategy || Sales Strategy || Billing and revenue collection || Budgeting &amp; Financial Modeling || Business Model Development || Currency and Risk Management || Customer Service &amp; Retention || Data Reporting || Fundraising || Go to Market Strategy || Growth Strategy Formulation || Market research || Pricing Strategy || Sales Strategy || Billing and revenue collection || Budgeting &amp; Financial Modeling || Business Model Development || Currency and Risk Management || Customer Service &amp; Retention || Data Reporting || Fundraising || Go to Market Strategy || Growth Strategy Formulation || Market research || Pricing Strategy || Sales Strategy || Billing and revenue collection || Budgeting &amp; Financial Modeling || Business Model Development || Currency and Risk Management || Customer Service &amp; Retention || Data Reporting || Fundraising || Go to Market Strategy || Growth Strategy Formulation || Market research || Pricing Strategy || Sales Strategy || Billing and revenue collection || Budgeting &amp; Financial Modeling || Business Model Development || Currency and Risk Management || Customer Service &amp; Retention || Data Reporting || Fundraising || Go to Market Strategy || Growth Strategy Formulation || Market research || Pricing Strategy || Sales Strategy || Billing and revenue collection || Budgeting &amp; Financial Modeling || Business Model Development || Currency and Risk Management || Customer Service &amp; Retention || Data Reporting || Fundraising || Go to Market Strategy || Growth Strategy Formulation || Market research || Pricing Strategy || Sales Strategy || Marketing &amp; Branding || Business Model Development</t>
  </si>
  <si>
    <t>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Automobiles &amp; Auto Components || FinTech || FinTech || FinTech || FinTech || FinTech || FinTech || FinTech || FinTech || FinTech || FinTech || FinTech || FinTech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Real Estate &amp; Construction || Services || Services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Software &amp; IT Services || Real Estate &amp; Construction</t>
  </si>
  <si>
    <t>Usha Paliath</t>
  </si>
  <si>
    <t>COWE-Confederation of Women Entrepreneurs of India</t>
  </si>
  <si>
    <t>Summary&lt;/strong&gt;: Ms. Usha has over 20 years of experience in Corporate Finance and Strategy, having worked with companies like Rumi Education, Airtel, Viacom 18, Larsen &amp;amp; Toubro, and Reckitt Benckiser. For the past 7 years, she has been involved in Social Entrepreneurship and Start-ups. She serves on the National Committee of the Confederation of Women Entrepreneurs of India and collaborates with various incubators, focusing on finance, funding, and strategy. An angel investor, Ms. Usha holds a B.Tech from IIT Madras and an MBA from XLRI Jamshedpur. She has been the Director of Incubation at WeHub for the last 1.5 years and played a key role in setting up incubation at TNRISE.&lt;/p&gt;&lt;p&gt;&lt;br&gt;&lt;/p&gt;Key Areas of Expertise: &lt;/strong&gt;&lt;/p&gt;&lt;ul&gt;&lt;li&gt;Corporate Finance Strategy&lt;/li&gt;&lt;li&gt;Social Entrepreneurship Finance,&lt;/li&gt;&lt;li&gt;Funding, and&lt;/li&gt;&lt;li&gt;Strategy for Start-ups&lt;/li&gt;&lt;/ul&gt;&lt;p&gt;&lt;br&gt;&lt;/p&gt;Strategic Contributions&lt;/strong&gt;:&lt;/p&gt;&lt;ul&gt;&lt;li&gt;Member of the National Committee of Confederation of Women Entrepreneurs of India&lt;/li&gt;&lt;li&gt;Director of Incubation at WeHub for 1.5 years&lt;/li&gt;&lt;li&gt;Acted as the SPOC for setting up incubation at TNRISE&lt;/li&gt;&lt;li&gt;Collaborated with incubators like Nutrihub (IIMR), CCMB, WeHub, IIT Bombay, IIT Kanpur, and TEZ&lt;/li&gt;&lt;/ul&gt;&lt;p&gt;&lt;br&gt;&lt;/p&gt;Mentorship Philosophy: &lt;/strong&gt;&lt;/p&gt;&lt;p&gt;Focuses on aiding startups in the social sector and promoting women entrepreneurship Committed to helping startups grow profitably through strategic guidance&lt;/p&gt;</t>
  </si>
  <si>
    <t>https://www.linkedin.com/in/usha-paliath-0530b31/</t>
  </si>
  <si>
    <t>usha.paliath@gmail.com</t>
  </si>
  <si>
    <t>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Billing and revenue collection || Budgeting &amp; Financial Modeling || Business Model Development || Cost Management || Currency and Risk Management || Market research || Pricing Strategy || Prototyping &amp; Testing || Entrepreneurship Coaching || Business Finance</t>
  </si>
  <si>
    <t>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Automobiles &amp; Auto Components || Automobiles &amp; Auto Components || Automobiles &amp; Auto Components || Automobiles &amp; Auto Components || Automobiles &amp; Auto Components || Automobiles &amp; Auto Components || Automobiles &amp; Auto Components || Automobiles &amp; Auto Components || Banking &amp; Financial Services || Banking &amp; Financial Services || Banking &amp; Financial Services || Banking &amp; Financial Services || Banking &amp; Financial Services || Banking &amp; Financial Services || Banking &amp; Financial Services || Banking &amp; Financial Services || CleanTech || CleanTech || CleanTech || CleanTech || CleanTech || CleanTech || CleanTech || CleanTech || Consumer Products || Consumer Products || Consumer Products || Consumer Products || Consumer Products || Consumer Products || Consumer Products || Consumer Products || Defence &amp; Public Safety || Defence &amp; Public Safety || Defence &amp; Public Safety || Defence &amp; Public Safety || Defence &amp; Public Safety || Defence &amp; Public Safety || Defence &amp; Public Safety || Defence &amp; Public Safety || Education &amp; Training || Education &amp; Training || Education &amp; Training || Education &amp; Training || Education &amp; Training || Education &amp; Training || Education &amp; Training || Education &amp; Training || Energy &amp; Renewable Resources || Energy &amp; Renewable Resources || Energy &amp; Renewable Resources || Energy &amp; Renewable Resources || Energy &amp; Renewable Resources || Energy &amp; Renewable Resources || Energy &amp; Renewable Resources || Energy &amp; Renewable Resources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Environment, Sustainability &amp; Governance (ESG) || Fashion &amp; Beauty || Fashion &amp; Beauty || Fashion &amp; Beauty || Fashion &amp; Beauty || Fashion &amp; Beauty || Fashion &amp; Beauty || Fashion &amp; Beauty || Fashion &amp; Beauty || FinTech || FinTech || FinTech || FinTech || FinTech || FinTech || FinTech || FinTech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Media, Arts &amp; Entertainment || Media, Arts &amp; Entertainment || Media, Arts &amp; Entertainment || Media, Arts &amp; Entertainment || Media, Arts &amp; Entertainment || Media, Arts &amp; Entertainment || Media, Arts &amp; Entertainment || Media, Arts &amp; Entertainment || Others || Others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Real Estate &amp; Construction || Real Estate &amp; Construction || Real Estate &amp; Construction || Real Estate &amp; Construction || Real Estate &amp; Construction || Real Estate &amp; Construction || Real Estate &amp; Construction || Real Estate &amp; Construction || Retail &amp; e-Commerce || Retail &amp; e-Commerce || Retail &amp; e-Commerce || Retail &amp; e-Commerce || Retail &amp; e-Commerce || Retail &amp; e-Commerce || Retail &amp; e-Commerce || Retail &amp; e-Commerce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Sports || Sports || Sports || Sports || Sports || Sports || Sports || Sports || Telecommunications || Telecommunications || Telecommunications || Telecommunications || Telecommunications || Telecommunications || Telecommunications || Telecommunications || Textiles &amp; Apparel || Textiles &amp; Apparel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Transportation &amp; Logistics || Transportation &amp; Logistics || Fintech, Banking, Financial Services</t>
  </si>
  <si>
    <t>Utkarsh Verma</t>
  </si>
  <si>
    <t>Startup Mentor &amp; Speaker</t>
  </si>
  <si>
    <t>LaunchX Entrepreneurship Program</t>
  </si>
  <si>
    <t>Co-founder &amp; CEO of UPRIDE, a SaaS company revolutionizing driving education by creating innovative and impactful solutions for driving schools. Startup Mentor and Speaker at LaunchX Entrepreneurship Program (MIT campus-based), where he guides and mentors high school entrepreneurs from across the US and beyond in branding, storytelling, and entrepreneurship. Also served as Startup Mentor at SheDisrupts, empowering women entrepreneurs in Malaysia. Former CEO of Enema Socio Educational Network. B.E. in Computer Science from RV College of Engineering (2015-2019). Passionate about empowering and enabling people to achieve their goals, bringing diverse perspectives and experiences. Experienced in branding, marketing, product development, user-friendly app development, and strategic vision. Has earned certifications in Micro Video Mastery from The Internet Moguls Clarity platform.
Skills: Startup Mentorship, Entrepreneurship, Branding Strategy, SaaS Platform Development, Product Development, App Development, Storytelling, Typography &amp; Design, Video Content Creation, Startup Strategy, Women Entrepreneurship Mentoring, Driving Education Innovation, Marketing, User Experience Design, Team Leadership</t>
  </si>
  <si>
    <t>https://www.linkedin.com/in/utkarshv3rma/</t>
  </si>
  <si>
    <t>utkarsh@upride.co.in</t>
  </si>
  <si>
    <t>Branding || Go to Market Strategy || Product Development || Research Partnerships || Branding || Go to Market Strategy || Product Development || Research Partnerships || Marketing &amp; Branding || Research and Development</t>
  </si>
  <si>
    <t>Education &amp; Training || Education &amp; Training || Education &amp; Training || Education &amp; Training || Services || Services || Services || Services || Education &amp; Training || Software &amp; IT Services</t>
  </si>
  <si>
    <t>Utsav Bhattacharjee</t>
  </si>
  <si>
    <t>Independent Consultant</t>
  </si>
  <si>
    <t>Summary: Dr. Utsav Bhattacharjee is a seasoned leader with extensive experience in strategic partnerships, product development, sales, marketing, and operations across various industries, including healthcare, remittances, education, and SaaS. Currently heading the NEET PG vertical at Gooded Technologies, he has a proven track record of scaling businesses and driving innovation.
Core Expertise: Dr. Utsav specializes in leading high-growth initiatives, business development, strategic partnerships, and product innovation. His hands-on approach has led to significant revenue growth and market expansion across B2B and B2C verticals.
Problem-Solving Approach: Utsav approaches challenges with a strategic mindset, integrating cross-functional teams and innovative solutions to drive growth and operational efficiency. His expertise in building teams, streamlining operations, and securing partnerships allows him to navigate complex business landscapes.
Impactful Projects:
Gooded Technologies: Leading the NEET PG vertical, focusing on product, sales, marketing, and partnerships.
Zolve: Directed the go-to-market strategy and partnerships for Zolve's US-focused remittance and NR banking business.
PICKMYWORK: Co-founded and grew the company to $500k ARR, managing legal, hiring, and securing key partnerships with government and NGOs.
B2B and B2C Growth: Hired senior leaders, developed internal managers, and achieved 5x B2C growth, with clients like Kotak and Paytm. Launched a data vertical contributing 25% to revenue within a year.
Operational Expansion: Led field sales structure implementation across 15+ cities, achieving operational breakeven with clients like Amazon Pay and Flipkart, serving 10,000+ merchants monthly.
Mobile App Development: Contributed to app development and merchant acquisition, helping achieve 7,000+ merchant sign-ups prior to the launch of OkCredit's app.
Consultation Style: Utsav is highly collaborative and results-driven. He tailors his guidance to align with the specific needs of startups and teams, focusing on growth, scaling, and market penetration. His experience across industries makes him a valuable mentor for startups seeking strategic and operational leadership.</t>
  </si>
  <si>
    <t>https://www.linkedin.com/in/bhattacharjeeutsav/</t>
  </si>
  <si>
    <t>p15utsavb@iima.ac.in</t>
  </si>
  <si>
    <t>Fundraising || Go to Market Strategy || Product Development || Sales Strategy || Team building || Fundraising || Go to Market Strategy || Product Development || Sales Strategy || Team building || Fundraising || Go to Market Strategy || Product Development || Sales Strategy || Team building || Fundraising || Go to Market Strategy || Product Development || Sales Strategy || Team building || Fundraising || Go to Market Strategy || Product Development || Sales Strategy || Team building || Fundraising || Go to Market Strategy || Product Development || Sales Strategy || Team building || Marketing &amp; Branding || Product Management Management</t>
  </si>
  <si>
    <t>Banking &amp; Financial Services || Banking &amp; Financial Services || Banking &amp; Financial Services || Banking &amp; Financial Services || Banking &amp; Financial Services || FinTech || FinTech || FinTech || FinTech || FinTech || Pharmaceuticals, Healthcare and Wellness || Pharmaceuticals, Healthcare and Wellness || Pharmaceuticals, Healthcare and Wellness || Pharmaceuticals, Healthcare and Wellness || Pharmaceuticals, Healthcare and Wellness || Banking &amp; Financial Services || Banking &amp; Financial Services || Banking &amp; Financial Services || Banking &amp; Financial Services || Banking &amp; Financial Services || FinTech || FinTech || FinTech || FinTech || FinTech || Pharmaceuticals, Healthcare and Wellness || Pharmaceuticals, Healthcare and Wellness || Pharmaceuticals, Healthcare and Wellness || Pharmaceuticals, Healthcare and Wellness || Pharmaceuticals, Healthcare and Wellness || Software &amp; IT Services || HR Services</t>
  </si>
  <si>
    <t>Uttam Tiwari</t>
  </si>
  <si>
    <t>Vice President of Technology</t>
  </si>
  <si>
    <t>CARS24</t>
  </si>
  <si>
    <t>Summary:&lt;/strong&gt;&lt;/p&gt;&lt;p&gt;Uttam is a seasoned entrepreneur and industry expert with over a decade of experience spanning startups, established organizations, and his own ventures. His career is marked by a strong focus on delivering large-scale distributed systems, building high-performing engineering teams, and achieving multimillion-dollar growth. Known for his ability to tackle complex challenges and scale businesses, Uttam combines technical prowess with strategic business acumen to drive innovation and success across various domains, including fantasy gaming, fintech, consumer internet, and e-commerce.&lt;/p&gt;&lt;p&gt;&lt;br&gt;&lt;/p&gt;Core Expertise:&lt;/strong&gt;&lt;/p&gt;&lt;ul&gt;&lt;li&gt;&lt;strong&gt;Large-Scale Distributed Systems:&lt;/strong&gt; Expertise in designing and delivering platforms that handle millions of users, ensuring scalability and performance.&lt;/li&gt;&lt;li&gt;&lt;strong&gt;Engineering Leadership:&lt;/strong&gt; Proven track record in hiring, mentoring, and building rock-star engineering teams with a focus on excellence and culture.&lt;/li&gt;&lt;li&gt;&lt;strong&gt;Business Growth:&lt;/strong&gt; Demonstrated ability to drive multimillion-dollar bottom-line growth through strategic business development and restructuring.&lt;/li&gt;&lt;li&gt;&lt;strong&gt;Product Management Development:&lt;/strong&gt; Skilled in creating Product Managements that resonate with customers, leveraging deep consumer insights and market understanding.&lt;/li&gt;&lt;/ul&gt;&lt;p&gt;&lt;br&gt;&lt;/p&gt;Problem-Solving Approach:&lt;/strong&gt;&lt;/p&gt;&lt;p&gt;Uttam’s problem-solving approach combines a deep understanding of technology and business to address complex challenges. He excels at scaling operations, restructuring businesses, and creating high-impact solutions that drive growth. His methodology involves building strong teams, focusing on customer needs, and implementing scalable systems to achieve long-term success.&lt;/p&gt;&lt;p&gt;&lt;br&gt;&lt;/p&gt;Impactful Projects:&lt;/strong&gt;&lt;/p&gt;&lt;ul&gt;&lt;li&gt;&lt;strong&gt;Large-Scale Platforms:&lt;/strong&gt; Delivered distributed systems and internet-scale platforms that significantly impacted user experiences and business operations.&lt;/li&gt;&lt;li&gt;&lt;strong&gt;Engineering Teams:&lt;/strong&gt; Built and led engineering teams that set new standards for excellence and innovation.&lt;/li&gt;&lt;li&gt;&lt;strong&gt;Business Growth:&lt;/strong&gt; Successfully scaled businesses from scratch and restructured existing operations to achieve substantial financial growth.&lt;/li&gt;&lt;/ul&gt;&lt;p&gt;&lt;br&gt;&lt;/p&gt;Consultation Style:&lt;/strong&gt;&lt;/p&gt;&lt;p&gt;Uttam’s consultation style is characterized by his hands-on, strategic approach. He engages closely with clients to understand their unique challenges and opportunities, providing tailored solutions that align with their goals. His focus on building strong teams and scalable systems, combined with his expertise in technology and business, ensures effective and impactful outcomes.&lt;/p&gt;</t>
  </si>
  <si>
    <t>https://www.linkedin.com/in/uttam-tiwari</t>
  </si>
  <si>
    <t>uttam.tiwary@gmail.com</t>
  </si>
  <si>
    <t>Data Analytics || Tech Strategy &amp; Infrastructure || Data Analytics || Tech Strategy &amp; Infrastructure || Data Analytics || Tech Strategy &amp; Infrastructure || Data Analytics || Tech Strategy &amp; Infrastructure || Software Development || IT Consulting</t>
  </si>
  <si>
    <t>FinTech || FinTech || Retail &amp; e-Commerce || Retail &amp; e-Commerce || FinTech || FinTech || Retail &amp; e-Commerce || Retail &amp; e-Commerce || Software &amp; IT Services || Retail &amp; e-Commerce</t>
  </si>
  <si>
    <t>Vandit Malik</t>
  </si>
  <si>
    <t>The Garlic Bread</t>
  </si>
  <si>
    <t>Founder and Entrepreneur, currently leading The Garlic Bread, India's first QSR (Quick Service Restaurant) brand focused entirely on garlic bread, which launched in 2020 when he was 21 years old and now operates 8+ outlets across cities like NCR, Indore, and Bhopal. Also founder of Vellar FoodTech and Innovations, which develops AI-driven technology for restaurant automation and backend optimization. Mentor and Tech Strategy Leader with expertise in restaurant automation, FoodTech innovation, and startup growth. Has built strong unit economics and scalable business models with loyal customer bases. Passionate about mentoring and has shared his entrepreneurial journey publicly. Ex-Honda and Ex-Denso3w professional background. Known for strategic innovation in the food and QSR industry, and actively empowering other startups through mentorship and practical knowledge about scaling food brands.
Skills: FoodTech Innovation, QSR (Quick Service Restaurant) Business, Restaurant Automation, AI-Driven Technology, Startup Scaling, Business Strategy, Mentorship, Tech Strategy Leadership, Unit Economics, Brand Building, Food Industry Operations, Customer Acquisition, Fundraising, Category Creation, Market Strategy</t>
  </si>
  <si>
    <t>https://www.linkedin.com/in/vanditmalik/</t>
  </si>
  <si>
    <t>vanditent@gmail.com</t>
  </si>
  <si>
    <t>9111943356 (for Call)
+1 (415) 341-6650 (Whatsapp)</t>
  </si>
  <si>
    <t>Business Model Development || Customer Relationship Management || Deep Tech (Blockchain, AI, Robotics, AR/VR) || Go to Market Strategy || Growth Strategy Formulation || Market research || Pricing Strategy || Product Development || Public speaking || Sales Strategy || Talent Acquisition || Team building || Tech Strategy &amp; Infrastructure || UI/UX Design || Business Model Development || Customer Relationship Management || Deep Tech (Blockchain, AI, Robotics, AR/VR) || Go to Market Strategy || Growth Strategy Formulation || Market research || Pricing Strategy || Product Development || Public speaking || Sales Strategy || Talent Acquisition || Team building || Tech Strategy &amp; Infrastructure || UI/UX Design || Business Model Development || Customer Relationship Management || Deep Tech (Blockchain, AI, Robotics, AR/VR) || Go to Market Strategy || Growth Strategy Formulation || Market research || Pricing Strategy || Product Development || Public speaking || Sales Strategy || Talent Acquisition || Team building || Tech Strategy &amp; Infrastructure || UI/UX Design || Business Model Development || Customer Relationship Management || Deep Tech (Blockchain, AI, Robotics, AR/VR) || Go to Market Strategy || Growth Strategy Formulation || Market research || Pricing Strategy || Product Development || Public speaking || Sales Strategy || Talent Acquisition || Team building || Tech Strategy &amp; Infrastructure || UI/UX Design || Business Model Development || Customer Relationship Management || Deep Tech (Blockchain, AI, Robotics, AR/VR) || Go to Market Strategy || Growth Strategy Formulation || Market research || Pricing Strategy || Product Development || Public speaking || Sales Strategy || Talent Acquisition || Team building || Tech Strategy &amp; Infrastructure || UI/UX Design || Business Model Development || Customer Relationship Management || Deep Tech (Blockchain, AI, Robotics, AR/VR) || Go to Market Strategy || Growth Strategy Formulation || Market research || Pricing Strategy || Product Development || Public speaking || Sales Strategy || Talent Acquisition || Team building || Tech Strategy &amp; Infrastructure || UI/UX Design || Business Model Development || Customer Relationship Management || Deep Tech (Blockchain, AI, Robotics, AR/VR) || Go to Market Strategy || Growth Strategy Formulation || Market research || Pricing Strategy || Product Development || Public speaking || Sales Strategy || Talent Acquisition || Team building || Tech Strategy &amp; Infrastructure || UI/UX Design || Marketing &amp; Branding</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</si>
  <si>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Industrial Automation &amp; Manufacturing || Others || Others || Others || Others || Others || Others || Others || Others || Others || Others || Others || Others || Others || Others || Services || Services || Services || Services || Services || Services || Services || Services || Services || Services || Services || Services || Services ||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Agritech &amp; Food Processing</t>
  </si>
  <si>
    <t>Vaibhav Sambre</t>
  </si>
  <si>
    <t>Vice President of Product Management Management</t>
  </si>
  <si>
    <t>Battery Smart</t>
  </si>
  <si>
    <t>Summary:&lt;/strong&gt; Vaibhav is a seasoned Product Management leader with over 10 years of experience spanning both start-ups and multinational corporations. Passionate about building scalable platforms, payments, and data Product Managements, Vaibhav has created seamless customer experiences across 10+ countries for over 100 million users. His expertise lies in fintech, Product Management management, strategy, and leadership, with a proven track record in driving Product Management transformations, re-architecting platforms, and scaling high-growth initiatives.&lt;/p&gt;&lt;p&gt;&lt;br&gt;&lt;/p&gt;Core Expertise:&lt;/strong&gt;&lt;/p&gt;&lt;ul&gt;&lt;li&gt;&lt;strong&gt;Fintech:&lt;/strong&gt; Specializes in payments, financial services, and remittances, with deep knowledge of building secure and scalable financial Product Managements.&lt;/li&gt;&lt;li&gt;&lt;strong&gt;Product Management Management:&lt;/strong&gt; Expertise in leading cross-functional teams, managing Product Management lifecycle, and creating data-driven strategies that optimize growth and user experience.&lt;/li&gt;&lt;li&gt;&lt;strong&gt;Data Product Managements:&lt;/strong&gt; Skilled in building data pipelines and scalable analytics platforms, enabling faster reporting, growth marketing, and business intelligence.&lt;/li&gt;&lt;li&gt;&lt;strong&gt;Leadership:&lt;/strong&gt; Experienced in managing high-performing teams, fostering a high-trust, results-driven culture, and influencing large engineering teams to deliver impactful results.&lt;/li&gt;&lt;/ul&gt;&lt;p&gt;&lt;br&gt;&lt;/p&gt;Professional History:&lt;/strong&gt;&lt;/p&gt;&lt;ul&gt;&lt;li&gt;&lt;strong&gt;VP Product Management, Battery Smart:&lt;/strong&gt; Leading Product Management initiatives, focused on scaling battery swapping solutions for EVs.&lt;/li&gt;&lt;li&gt;&lt;strong&gt;AVP Product Management, Airtel:&lt;/strong&gt; Spearheaded growth in payments, financial services, and data Product Managements, significantly increasing key metrics such as UPI conversions and MTUs. Re-architected the payments platform and launched new business lines in insurance and loans.&lt;/li&gt;&lt;li&gt;&lt;strong&gt;Product Management Lead, Instarem:&lt;/strong&gt; Led consumer Product Management development in remittances, expanding the Product Management's reach and improving customer experience across multiple geographies.&lt;/li&gt;&lt;li&gt;&lt;strong&gt;Other Roles:&lt;/strong&gt; Product Management Manager at Nazara, Business Intelligence Expert at Housing.com, and Management Trainee at Olacabs.&lt;/li&gt;&lt;/ul&gt;&lt;p&gt;&lt;br&gt;&lt;/p&gt;Notable Achievements:&lt;/strong&gt;&lt;/p&gt;&lt;ul&gt;&lt;li&gt;Increased payment conversions by 30% and doubled BBPS MTUs at Airtel.&lt;/li&gt;&lt;li&gt;Successfully transitioned from monolithic platforms to microservices architecture.&lt;/li&gt;&lt;li&gt;Built scalable data platforms, enabling advanced analytics and improving business decision-making.&lt;/li&gt;&lt;/ul&gt;&lt;p&gt;&lt;br&gt;&lt;/p&gt;Consultation Style:&lt;/strong&gt; Vaibhav thrives in high-trust, high-growth environments, leading by example and diving deep into the details to achieve transformative results.&lt;/p&gt;</t>
  </si>
  <si>
    <t>https://www.linkedin.com/in/vaibhav-sambre/</t>
  </si>
  <si>
    <t>vaibhav.sambre@gmail.com</t>
  </si>
  <si>
    <t>Data Analytics || Growth Strategy Formulation || Data Analytics || Growth Strategy Formulation || Data Analytics || Growth Strategy Formulation || Data Analytics || Growth Strategy Formulation || Data Analytics || Growth Strategy Formulation || Data Analytics || Growth Strategy Formulation || Data Analytics || Growth Strategy Formulation || Data Analytics || Growth Strategy Formulation || Data Analytics || Growth Strategy Formulation || Data Analytics || Growth Strategy Formulation || Product Management || Market Research</t>
  </si>
  <si>
    <t>Banking &amp; Financial Services || Banking &amp; Financial Services || Consumer Products || Consumer Products || Energy &amp; Renewable Resources || Energy &amp; Renewable Resources || FinTech || FinTech || Technology &amp; Innovation || Technology &amp; Innovation || Banking &amp; Financial Services || Banking &amp; Financial Services || Consumer Products || Consumer Products || Energy &amp; Renewable Resources || Energy &amp; Renewable Resources || FinTech || FinTech || Technology &amp; Innovation || Technology &amp; Innovation || Fintech, Banking, Financial Services || Automotive &amp; Auto Components</t>
  </si>
  <si>
    <t>Vanshikaa Oberoi</t>
  </si>
  <si>
    <t>The Fingerprint Labs</t>
  </si>
  <si>
    <t xml:space="preserve">Award-winning Brand Strategist and Founder of The Fingerprint Labs (TFL), recognized as LinkedIn's Top Voice 2021. Marketing and Management graduate from Northeastern University, Boston, with expertise in brand strategy, consumer psychology, and business strategy. 4x mentor at reputed institutions in India and active public speaker who has delivered 50+ podcasts/webinars/sessions to entrepreneurs across India. Brand Consultant and strategist who helps businesses transform offerings from wants to needs through customer-centric approach and compelling storytelling. Fractional Brand Consultant through VanshiChats with experience working on 150+ industry-leading brands including Bajaj INDEF, PayU, Swiggy, Heads up for Tails, and The Pant Project. Known for creating memorable brand experiences and building lasting customer relationships through strategic brand positioning and marketing excellence.
Skills: Brand Strategy, Consumer Psychology, E-Commerce &amp; DTC Strategy, Brand Storytelling, Brand Marketing, Customer-Centric Design, Marketing Communications, Digital Marketing, Content Strategy, Public Speaking, Corporate Training, Mentorship, LinkedIn Strategy, Brand Positioning, Market Research
</t>
  </si>
  <si>
    <t>https://www.linkedin.com/in/vanshikaaoberoi/?utm_source=share&amp;utm_campaign=share_via&amp;utm_content=profile&amp;utm_medium=android_app</t>
  </si>
  <si>
    <t>twothousandonewords@gmail.com</t>
  </si>
  <si>
    <t>Marketing &amp; Branding || Content Strategy</t>
  </si>
  <si>
    <t>Varadarajan Sridharan</t>
  </si>
  <si>
    <t>Product Management Consultant</t>
  </si>
  <si>
    <t>Summary&lt;/strong&gt;&lt;/p&gt;&lt;p&gt;Mr. Sridharan is a visionary leader in EdTech, with over 22 years of experience in education and technology. He focuses on transforming employability and career success for learners aged 16-24. His work involves building EdTech frameworks to address the skills gap and improve graduate employability. Having held leadership roles in various organizations, he specializes in digital learning transformation and personalized education to drive large-scale change. Mr. Sridharan's commitment to education is reflected in his efforts to advocate for global educational improvements, and his contributions to emerging trends in educational technology.&lt;/p&gt;&lt;p&gt;&lt;br&gt;&lt;/p&gt;Key Areas of Expertise&lt;/strong&gt;&lt;/p&gt;&lt;ul&gt;&lt;li&gt;Educational Technology&lt;/li&gt;&lt;li&gt;Employability&lt;/li&gt;&lt;li&gt;Digital Learning Transformation&lt;/li&gt;&lt;li&gt;Blended Learning&lt;/li&gt;&lt;li&gt;EdTech Frameworks&lt;/li&gt;&lt;li&gt;Graduate Skills Development&lt;/li&gt;&lt;li&gt;Instructional Design&lt;/li&gt;&lt;li&gt;ICT in Education&lt;/li&gt;&lt;/ul&gt;&lt;p&gt;&lt;br&gt;&lt;/p&gt;Strategic Contributions&lt;/strong&gt;&lt;/p&gt;&lt;ul&gt;&lt;li&gt;Developed EdTech frameworks and policy recommendations for graduate employability&lt;/li&gt;&lt;li&gt;Led EdTech transformation at NTTF and Cognizant&lt;/li&gt;&lt;li&gt;Drove advocacy for Microsoft Edge in the education sector&lt;/li&gt;&lt;li&gt;Piloted early-career readiness bootcamps for over 4000 learners&lt;/li&gt;&lt;li&gt;Created Orbit Shifters, a high-potential talent ecosystem for graduate hires at Cognizant&lt;/li&gt;&lt;li&gt;Mentored EdTech startups in Product Management validation and emerging technologies&lt;/li&gt;&lt;/ul&gt;&lt;p&gt;&lt;br&gt;&lt;/p&gt;Mentorship Philosophy&lt;/strong&gt;&lt;/p&gt;&lt;ul&gt;&lt;li&gt;Believes education is the remedy for societal issues, with technology as the vehicle for delivery&lt;/li&gt;&lt;li&gt;Focuses on personalized learning to empower each individual learner while aiming for large-scale impact&lt;/li&gt;&lt;/ul&gt;</t>
  </si>
  <si>
    <t>https://www.linkedin.com/in/varadarajans</t>
  </si>
  <si>
    <t>varadarajan.s@gmail.com</t>
  </si>
  <si>
    <t>Corporate Social Responsibility || Customer Relationship Management || Customer Service &amp; Retention || Data Reporting || Go to Market Strategy || Growth Strategy Formulation || KPI Governance || Market research || Organizational Development || Pitch coaching || Process Optimization || Product Development || Prototyping &amp; Testing || Tech Strategy &amp; Infrastructure || Training &amp; Development || UI/UX Design || Corporate Social Responsibility || Customer Relationship Management || Customer Service &amp; Retention || Data Reporting || Go to Market Strategy || Growth Strategy Formulation || KPI Governance || Market research || Organizational Development || Pitch coaching || Process Optimization || Product Development || Prototyping &amp; Testing || Tech Strategy &amp; Infrastructure || Training &amp; Development || UI/UX Design || Business Model Development || Buisness Operations</t>
  </si>
  <si>
    <t>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Education &amp; Training || Software &amp; IT Services</t>
  </si>
  <si>
    <t>Varchas Ramila Subrahmanya</t>
  </si>
  <si>
    <t>Director of Product Managements</t>
  </si>
  <si>
    <t>ADP</t>
  </si>
  <si>
    <t>&lt;h3&gt;&lt;strong&gt;Summary:&lt;/strong&gt;&lt;/h3&gt;&lt;p&gt;Varchas is a seasoned Product Management management leader with over 15 years of experience in developing and delivering customer-centric solutions across various domains, including hyper-personalization, process &amp;amp; task mining, marketing automation, and mobile communication technologies. Currently serving as the Director of Product Managements at ADP, he leads a 20+ member Product Management management team in India for Workforce Now, a prominent HCM solution for mid-size organizations in North America.&lt;/p&gt;&lt;p&gt;&lt;br&gt;&lt;/p&gt;&lt;h3&gt;&lt;strong&gt;Core Expertise:&lt;/strong&gt;&lt;/h3&gt;&lt;ul&gt;&lt;li&gt;&lt;strong&gt;Product Management Management&lt;/strong&gt;&lt;/li&gt;&lt;li&gt;&lt;strong&gt;Process &amp;amp; Task Mining&lt;/strong&gt;&lt;/li&gt;&lt;li&gt;&lt;strong&gt;Marketing Automation&lt;/strong&gt;&lt;/li&gt;&lt;li&gt;&lt;strong&gt;Mobile Communication Technologies&lt;/strong&gt;&lt;/li&gt;&lt;/ul&gt;&lt;h3&gt;&lt;br&gt;&lt;/h3&gt;&lt;h3&gt;&lt;strong&gt;Problem-Solving Approach:&lt;/strong&gt;&lt;/h3&gt;&lt;p&gt;Varchas emphasizes a customer-first approach, focusing on deeply understanding customer journeys and experiences. He prioritizes empathy and respect in leadership, fostering a culture that values collaboration and open communication. He encourages his team to think differently and innovate, striving for better and faster Product Management development. Varchas believes in the power of teamwork and applies concepts like "Ubuntu" and "Tribal Leadership" to create a cohesive and motivated team environment. He is committed to getting things done efficiently, leveraging tools that enhance Product Managementivity and execution.&lt;/p&gt;&lt;h3&gt;&lt;br&gt;&lt;/h3&gt;&lt;h3&gt;&lt;strong&gt;Impactful Projects:&lt;/strong&gt;&lt;/h3&gt;&lt;p&gt;At ADP, Varchas has been instrumental in advancing the Workforce Now Product Management, a market-leading HCM solution. He has driven significant enhancements and innovations that have elevated the Product Management's market position. His previous experiences span various industries, where he has consistently delivered innovative solutions that meet customers' evolving needs. He holds several certifications in Product Management management, design, strategy, and leadership and has multiple publications and patents to his name.&lt;/p&gt;&lt;h3&gt;&lt;br&gt;&lt;/h3&gt;&lt;h3&gt;&lt;strong&gt;Consultation Style:&lt;/strong&gt;&lt;/h3&gt;&lt;p&gt;Varchas is an active member of the startup and Product Management management community, offering mentorship to aspiring entrepreneurs and Product Management managers through platforms like Nasscom DeepTech Club, iAngels Network, Conquest, and IPL. He is a proponent of open dialogue and values listening to diverse perspectives. His consultation style is characterized by a hands-on, empathetic approach, focusing on empowering individuals and teams to achieve their goals. Varchas's leadership philosophy is rooted in respect, appreciation, and a commitment to continuous improvement, making him a valuable mentor and advisor in the Product Management management space.&lt;/p&gt;</t>
  </si>
  <si>
    <t>https://www.linkedin.com/in/varchasrs/</t>
  </si>
  <si>
    <t>pantuvarali@gmail.com</t>
  </si>
  <si>
    <t>Business Model Development || Go to Market Strategy || Market access || Market research || Marketing || Process Optimization || Product Development || Business Model Development || Go to Market Strategy || Market access || Market research || Marketing || Process Optimization || Product Development || Business Model Development || Go to Market Strategy || Market access || Market research || Marketing || Process Optimization || Product Development || Product Management || Go to Market Strategy</t>
  </si>
  <si>
    <t>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AI, Big Data &amp; Analytics || Software &amp; IT Services || HR Services</t>
  </si>
  <si>
    <t>Venkatesh Ramamurthy</t>
  </si>
  <si>
    <t>Liaison Manager, Technology Enabling Centre</t>
  </si>
  <si>
    <t>Amrita Vishwa Vidyapeetham</t>
  </si>
  <si>
    <t>Summary:&lt;/strong&gt;&lt;/p&gt;&lt;p&gt;Venkatesh is a seasoned professional with over two decades of experience in project management, administration, and liaison roles across various sectors including academia, technology, and business development. His diverse expertise spans managing ERP systems, coordinating accreditation activities, handling admissions processes, and fostering industry-academia collaborations.&lt;/p&gt;&lt;p&gt;&lt;br&gt;&lt;/p&gt;Core Expertise:&lt;/strong&gt;&lt;/p&gt;&lt;ul&gt;&lt;li&gt;&lt;strong&gt;Project Management:&lt;/strong&gt; Skilled in overseeing projects from inception to completion, ensuring alignment with organizational goals.&lt;/li&gt;&lt;li&gt;&lt;strong&gt;Liaison and Collaboration:&lt;/strong&gt; Experienced in building and maintaining relationships between academia, industry, and government bodies to facilitate technology transfer and commercialization.&lt;/li&gt;&lt;li&gt;&lt;strong&gt;Admissions and Administration:&lt;/strong&gt; Expertise in managing end-to-end admissions processes, from campaign creation to student orientation and CRM implementation.&lt;/li&gt;&lt;li&gt;&lt;strong&gt;ERP Implementation:&lt;/strong&gt; Strong ability to lead ERP system integration, coordinating across departments for comprehensive requirement gathering and software enhancement.&lt;/li&gt;&lt;li&gt;&lt;strong&gt;Content Creation and Communication:&lt;/strong&gt; Proficient in content generation for newsletters, advertisements, and reports, as well as editing and design coordination.&lt;/li&gt;&lt;/ul&gt;&lt;p&gt;&lt;br&gt;&lt;/p&gt;Problem-Solving Approach:&lt;/strong&gt;&lt;/p&gt;&lt;p&gt;Venkatesh employs a structured and collaborative approach to problem-solving. He begins by thoroughly understanding the requirements and challenges of the project or task at hand. He then leverages his extensive experience in project management, liaison, and administration to develop practical solutions that align with organizational objectives. Venkatesh places a strong emphasis on stakeholder engagement and communication, ensuring that all parties are informed and involved throughout the process.&lt;/p&gt;&lt;p&gt;&lt;br&gt;&lt;/p&gt;Impactful Projects:&lt;/strong&gt;&lt;/p&gt;&lt;ul&gt;&lt;li&gt;&lt;strong&gt;Technology Enabling Centre:&lt;/strong&gt; Successfully facilitated the commercialization and transfer of in-house developed technologies and organized impactful workshops for MSMEs and other stakeholders.&lt;/li&gt;&lt;li&gt;&lt;strong&gt;ERP Implementation at REVA University:&lt;/strong&gt; Led the university-wide implementation of an ERP system, enhancing operational efficiency and integrating departmental requirements.&lt;/li&gt;&lt;li&gt;&lt;strong&gt;Admissions Management at Amrita School of Business:&lt;/strong&gt; Streamlined the admissions process through the development of a new online application portal and CRM system, significantly improving applicant experience and process efficiency.&lt;/li&gt;&lt;/ul&gt;&lt;p&gt;&lt;br&gt;&lt;/p&gt;Consultation Style:&lt;/strong&gt;&lt;/p&gt;&lt;p&gt;Venkatesh adopts a hands-on and collaborative consultation style, focusing on understanding the unique needs and goals of his clients or stakeholders. He emphasizes transparent communication, practical solutions, and continuous feedback to ensure successful project execution and client satisfaction. His approach is deeply rooted in fostering strong relationships and building consensus among diverse groups.&lt;/p&gt;</t>
  </si>
  <si>
    <t>https://www.linkedin.com/in/venkateshramamurthy</t>
  </si>
  <si>
    <t>venkiasb@gmail.com</t>
  </si>
  <si>
    <t>Business Model Development || Customer Experience Optimization || Go to Market Strategy || Organizational Development || Prototyping &amp; Testing || Public speaking || Business Model Development || Customer Experience Optimization || Go to Market Strategy || Organizational Development || Prototyping &amp; Testing || Public speaking || Business Model Development || Customer Experience Optimization || Go to Market Strategy || Organizational Development || Prototyping &amp; Testing || Public speaking || HR Consulting</t>
  </si>
  <si>
    <t>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t>
  </si>
  <si>
    <t>Venu GR</t>
  </si>
  <si>
    <t>President &amp; CEO | Chief Strategy Officer | Chief Digital Officer</t>
  </si>
  <si>
    <t>Smart City Business Solutions - IT &amp; Digital | Business Leadership (Private sector)</t>
  </si>
  <si>
    <t>Summary: &lt;/strong&gt;&lt;/p&gt;&lt;p&gt;Venu is a distinguished leader with over 25 years of experience in the international market and the Indian scenario. He has held pivotal roles in various esteemed organizations, including Country Head, Delivery Head, Business Head, and Asia Pacific Head. His career has been marked by significant achievements, including being honored with the "Environmental Enterprise of the Year, 2022" by the Leaders Awards and the "Indian Achievers’ Award for CEO of the Year, 2020."&lt;/p&gt;&lt;p&gt;&lt;br&gt;&lt;/p&gt;Core Expertise:&lt;/strong&gt;&lt;/p&gt;&lt;ul&gt;&lt;li&gt;Business Leadership&lt;/li&gt;&lt;li&gt;Strategic Consulting&lt;/li&gt;&lt;li&gt;Digital Transformation&lt;/li&gt;&lt;li&gt;Start-up and Brand Development&lt;/li&gt;&lt;li&gt;International Business Management&lt;/li&gt;&lt;/ul&gt;&lt;p&gt;&lt;br&gt;&lt;/p&gt;Problem-Solving Approach: &lt;/strong&gt;&lt;/p&gt;&lt;p&gt;Mr. Venu adopts a comprehensive approach to consulting strategy, focusing on strategic planning, building strong networks, and forming dependable teams. He emphasizes understanding the global market dynamics and aligning business strategies to achieve optimal results. His experience spans various industries, allowing him to navigate complex business environments and provide actionable insights.&lt;/p&gt;&lt;p&gt;&lt;br&gt;&lt;/p&gt;Impactful Projects:&lt;/strong&gt;&lt;/p&gt;&lt;p&gt;Mr. Venu played a crucial role in the consulting strategy for HCL Consulting &amp;amp; HCL Tech, overseeing the setup of their ODC in the US and India. He has worked with numerous international organizations, such as InfiniumSoftware2000, BCS Inc, RoccadaCivility, excel Soft, RLIinc, and INFOR, significantly contributing to their growth and success. His leadership has been instrumental in successfully running businesses, building startups, and developing brands, even in challenging environments.&lt;/p&gt;&lt;p&gt;&lt;br&gt;&lt;/p&gt;Consultation Style: &lt;/strong&gt;&lt;/p&gt;&lt;p&gt;As an independent Business Strategic Advisory Services consultant, Mr. Venu provides comprehensive guidance on organizational leadership, policy formulation, financial management, and program planning. He is adept at working with advisory committees and boards, ensuring effective oversight and solicitation. His consultation style is characterized by a hands-on approach, fostering innovation and encouraging strategic thinking. He focuses on providing clear recognition and impetus to strategic planning, helping organizations navigate complex challenges and achieve sustainable growth.&lt;/p&gt;</t>
  </si>
  <si>
    <t>https://www.linkedin.com/in/ibusinex</t>
  </si>
  <si>
    <t>Wales</t>
  </si>
  <si>
    <t>starnelceo@gmail.com</t>
  </si>
  <si>
    <t>Business Model Development || Fundraising || Product Development || Software Development || Team building || Tech Strategy &amp; Infrastructure || Business Model Development || Fundraising || Product Development || Software Development || Team building || Tech Strategy &amp; Infrastructure || Business Model Development || Fundraising || Product Development || Software Development || Team building || Tech Strategy &amp; Infrastructure || Business Model Development || Fundraising || Product Development || Software Development || Team building || Tech Strategy &amp; Infrastructure || Business Model Development || Fundraising || Product Development || Software Development || Team building || Tech Strategy &amp; Infrastructure || Business Model Development || Fundraising || Product Development || Software Development || Team building || Tech Strategy &amp; Infrastructure || Business Model Development || Fundraising || Product Development || Software Development || Team building || Tech Strategy &amp; Infrastructure || Business Model Development || Fundraising || Product Development || Software Development || Team building || Tech Strategy &amp; Infrastructure || Business Model Development || Fundraising || Product Development || Software Development || Team building || Tech Strategy &amp; Infrastructure || E-commerce Management || HR Consulting</t>
  </si>
  <si>
    <t>FinTech || FinTech || FinTech || FinTech || FinTech || FinTech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FinTech || FinTech || FinTech || FinTech || FinTech || FinTech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FinTech || FinTech || FinTech || FinTech || FinTech || FinTech || Retail &amp; e-Commerce || Retail &amp; e-Commerce || Retail &amp; e-Commerce || Retail &amp; e-Commerce || Retail &amp; e-Commerce || Retail &amp; e-Commerce || Technology &amp; Innovation || Technology &amp; Innovation || Technology &amp; Innovation || Technology &amp; Innovation || Technology &amp; Innovation || Technology &amp; Innovation || Software &amp; IT Services</t>
  </si>
  <si>
    <t>Raju Prajapati</t>
  </si>
  <si>
    <t xml:space="preserve">CEO &amp; Founder of Enest SkillTech (formerly AgriVision4U), on a mission to transform agriculture and food technology into thriving gardens of opportunity. Holds Post Graduate degree from joint international program between IIT Guwahati and Gifu University, Japan, specializing in Food Science &amp; Technology, with BTech from Kerala Agricultural University. Achieved exceptional academic results including GATE All India Rank 66 and CMAT score of 96.69%. Served as Teaching Assistant at IIT Guwahati and Food Technologist at Amul (GCMMF). Passionate about cultivating curiosity and inspiring youth in agriculture and food technology sectors. Mentoring budding entrepreneurs at Enactus IIT Delhi, supporting them in transforming innovative ideas into sustainable business models. AgriVision4U operates as education, media, consulting, training &amp; coaching, and skill-building platform bringing agriculture under a single roof.
Skills: Agricultural Technology, Food Technology, Entrepreneurship, Mentorship, Education Technology, Innovation, Business Development, Food Science, Training &amp; Coaching, Startup Leadership, Skill Building, Agriculture Industry Expertise, Team Building, Strategic Planning
</t>
  </si>
  <si>
    <t>https://www.linkedin.com/in/prajapatiraju/</t>
  </si>
  <si>
    <t>r.prajapati@agrivision4u.com</t>
  </si>
  <si>
    <t>Branding || Business Model Development || Customer Experience Optimization || Customer Relationship Management || Customer Service &amp; Retention || Digital Marketing || E-commerce Management || Entity Formation || Fundraising || Go to Market Strategy || Growth Strategy Formulation || Market access || Market research || Marketing || Organizational Development || Performance Management || Performance Metrics || Pitch coaching || Pricing Strategy || Product Development || Public speaking || Sales Strategy || Social Media Marketing || Software Development || Strategic Planning || Talent Acquisition || Tech Strategy &amp; Infrastructure || Technical Support || Training &amp; Development || UI/UX Design || Branding || Business Model Development || Customer Experience Optimization || Customer Relationship Management || Customer Service &amp; Retention || Digital Marketing || E-commerce Management || Entity Formation || Fundraising || Go to Market Strategy || Growth Strategy Formulation || Market access || Market research || Marketing || Organizational Development || Performance Management || Performance Metrics || Pitch coaching || Pricing Strategy || Product Development || Public speaking || Sales Strategy || Social Media Marketing || Software Development || Strategic Planning || Talent Acquisition || Tech Strategy &amp; Infrastructure || Technical Support || Training &amp; Development || UI/UX Design || Branding || Business Model Development || Customer Experience Optimization || Customer Relationship Management || Customer Service &amp; Retention || Digital Marketing || E-commerce Management || Entity Formation || Fundraising || Go to Market Strategy || Growth Strategy Formulation || Market access || Market research || Marketing || Organizational Development || Performance Management || Performance Metrics || Pitch coaching || Pricing Strategy || Product Development || Public speaking || Sales Strategy || Social Media Marketing || Software Development || Strategic Planning || Talent Acquisition || Tech Strategy &amp; Infrastructure || Technical Support || Training &amp; Development || UI/UX Design || Branding || Business Model Development || Customer Experience Optimization || Customer Relationship Management || Customer Service &amp; Retention || Digital Marketing || E-commerce Management || Entity Formation || Fundraising || Go to Market Strategy || Growth Strategy Formulation || Market access || Market research || Marketing || Organizational Development || Performance Management || Performance Metrics || Pitch coaching || Pricing Strategy || Product Development || Public speaking || Sales Strategy || Social Media Marketing || Software Development || Strategic Planning || Talent Acquisition || Tech Strategy &amp; Infrastructure || Technical Support || Training &amp; Development || UI/UX Design || Branding || Business Model Development || Customer Experience Optimization || Customer Relationship Management || Customer Service &amp; Retention || Digital Marketing || E-commerce Management || Entity Formation || Fundraising || Go to Market Strategy || Growth Strategy Formulation || Market access || Market research || Marketing || Organizational Development || Performance Management || Performance Metrics || Pitch coaching || Pricing Strategy || Product Development || Public speaking || Sales Strategy || Social Media Marketing || Software Development || Strategic Planning || Talent Acquisition || Tech Strategy &amp; Infrastructure || Technical Support || Training &amp; Development || UI/UX Design || Branding || Business Model Development || Customer Experience Optimization || Customer Relationship Management || Customer Service &amp; Retention || Digital Marketing || E-commerce Management || Entity Formation || Fundraising || Go to Market Strategy || Growth Strategy Formulation || Market access || Market research || Marketing || Organizational Development || Performance Management || Performance Metrics || Pitch coaching || Pricing Strategy || Product Development || Public speaking || Sales Strategy || Social Media Marketing || Software Development || Strategic Planning || Talent Acquisition || Tech Strategy &amp; Infrastructure || Technical Support || Training &amp; Development || UI/UX Design || Branding || Business Model Development || Customer Experience Optimization || Customer Relationship Management || Customer Service &amp; Retention || Digital Marketing || E-commerce Management || Entity Formation || Fundraising || Go to Market Strategy || Growth Strategy Formulation || Market access || Market research || Marketing || Organizational Development || Performance Management || Performance Metrics || Pitch coaching || Pricing Strategy || Product Development || Public speaking || Sales Strategy || Social Media Marketing || Software Development || Strategic Planning || Talent Acquisition || Tech Strategy &amp; Infrastructure || Technical Support || Training &amp; Development || UI/UX Design || Branding || Business Model Development || Customer Experience Optimization || Customer Relationship Management || Customer Service &amp; Retention || Digital Marketing || E-commerce Management || Entity Formation || Fundraising || Go to Market Strategy || Growth Strategy Formulation || Market access || Market research || Marketing || Organizational Development || Performance Management || Performance Metrics || Pitch coaching || Pricing Strategy || Product Development || Public speaking || Sales Strategy || Social Media Marketing || Software Development || Strategic Planning || Talent Acquisition || Tech Strategy &amp; Infrastructure || Technical Support || Training &amp; Development || UI/UX Design || Entrepreneurship Coaching || Research and Development</t>
  </si>
  <si>
    <t>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Agriculture &amp; Food Processing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Technology &amp; Innovation || Agritech &amp; Food Processing</t>
  </si>
  <si>
    <t>Sameer Venneti</t>
  </si>
  <si>
    <t>Team Lead</t>
  </si>
  <si>
    <t>Founders Lab</t>
  </si>
  <si>
    <t>Entrepreneurship Educator and Certified Innovation Ambassador dedicated to guiding founders in building sustainable and high-impact ventures. Trained Entrepreneurship Coach from Northeastern University, Boston, USA. Executive Officer at CII CIES (Confederation of Indian Industry - Centre for Industrial Excellence &amp; Sustainability). Startup Mentor @ MAARG (Startup India's mentorship platform). Specializes in startup mentorship, innovation, design thinking, and entrepreneurship coaching. Passionate about helping entrepreneurs navigate the complexities of business creation and growth. Conducts engaging sessions on design thinking, entrepreneurship, and innovation at various institutions and corporate programs. Known for insightful presentations connecting practical business wisdom with the spirit of entrepreneurship and leadership development.
Skills: Entrepreneurship Education, Startup Mentorship, Design Thinking, Innovation Coaching, Business Strategy, Founder Guidance, Leadership Development, Entrepreneurship Training, Business Consulting, MSME Development, Youth Entrepreneurship, Mentorship Program Development, Public Speaking, Entrepreneurial Ecosystem Building</t>
  </si>
  <si>
    <t>https://www.linkedin.com/in/saisameer-venneti/</t>
  </si>
  <si>
    <t>bharadwajavenneti@gmail.com</t>
  </si>
  <si>
    <t>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Business Model Development || Customer Service &amp; Retention || Go to Market Strategy || Market research || Pitch coaching || Public speaking || Entrepreneurship Coaching || Media &amp; PR</t>
  </si>
  <si>
    <t>Agriculture &amp; Food Processing || Agriculture &amp; Food Processing || Agriculture &amp; Food Processing || Agriculture &amp; Food Processing || Agriculture &amp; Food Processing || Agriculture &amp; Food Processing || Banking &amp; Financial Services || Banking &amp; Financial Services || Banking &amp; Financial Services || Banking &amp; Financial Services || Banking &amp; Financial Services || Banking &amp; Financial Services || Consumer Products || Consumer Products || Consumer Products || Consumer Products || Consumer Products || Consumer Products || Education &amp; Training || Education &amp; Training || Education &amp; Training || Education &amp; Training || Education &amp; Training || Education &amp; Training || Fashion &amp; Beauty || Fashion &amp; Beauty || Fashion &amp; Beauty || Fashion &amp; Beauty || Fashion &amp; Beauty || Fashion &amp; Beauty || Media, Arts &amp; Entertainment || Media, Arts &amp; Entertainment || Media, Arts &amp; Entertainment || Media, Arts &amp; Entertainment || Media, Arts &amp; Entertainment || Media, Arts &amp; Entertainment || Others || Others || Others || Others || Others || Others || Pharmaceuticals, Healthcare and Wellness || Pharmaceuticals, Healthcare and Wellness || Pharmaceuticals, Healthcare and Wellness || Pharmaceuticals, Healthcare and Wellness || Pharmaceuticals, Healthcare and Wellness || Pharmaceuticals, Healthcare and Wellness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Services || Services || Services || Services || Services || Services || Social &amp; Community Services || Social &amp; Community Services || Social &amp; Community Services || Social &amp; Community Services || Social &amp; Community Services || Social &amp; Community Services || Sports || Sports || Sports || Sports || Sports || Sports || Textiles &amp; Apparel || Textiles &amp; Apparel || Textiles &amp; Apparel || Textiles &amp; Apparel || Textiles &amp; Apparel || Textiles &amp; Apparel || Tourism &amp; Hospitality || Tourism &amp; Hospitality || Tourism &amp; Hospitality || Tourism &amp; Hospitality || Tourism &amp; Hospitality || Tourism &amp; Hospitality || Transportation &amp; Logistics || Transportation &amp; Logistics || Transportation &amp; Logistics || Transportation &amp; Logistics || Transportation &amp; Logistics || Transportation &amp; Logistics || Media, Arts &amp; Entertainment || Fintech, Banking, Financial Services</t>
  </si>
  <si>
    <t>Vijay Ladha</t>
  </si>
  <si>
    <t>Founder and Promoter Director</t>
  </si>
  <si>
    <t>Fourell Appliances Private Limited</t>
  </si>
  <si>
    <t>Summary:&lt;/strong&gt;&lt;/p&gt;&lt;p&gt;Vijay Ladha is a dedicated business mentor and seasoned entrepreneur with a remarkable career spanning over 39 years. As a first-generation entrepreneur and qualified Chartered Accountant, Vijay combines his extensive financial expertise with a deep commitment to mentoring and supporting startups and business leaders. He is involved with several prominent organizations, including the Stanford University Seed Program, Wadhwani Foundation, and the Cherie Blair Foundation, and has played a significant role in various entrepreneurial initiatives.&lt;/p&gt;&lt;p&gt;&lt;br&gt;&lt;/p&gt;Problem-Solving Approach:&lt;/strong&gt;&lt;/p&gt;&lt;p&gt;Vijay’s problem-solving approach is grounded in his extensive experience and financial acumen. He uses detailed financial analysis and strategic planning tools to guide businesses through complex challenges. His commitment to mentoring is driven by a belief in using practical business tools and strategies to foster growth and success.&lt;/p&gt;&lt;p&gt;&lt;br&gt;&lt;/p&gt;Impactful Projects:&lt;/strong&gt;&lt;/p&gt;&lt;ul&gt;&lt;li&gt;&lt;strong&gt;Fourell Appliances Private Limited:&lt;/strong&gt; Successfully established and grew a unique entrepreneurial venture, introducing innovative Product Managements like gas candles and handheld flame torches.&lt;/li&gt;&lt;li&gt;&lt;strong&gt;Mentorship Programs:&lt;/strong&gt; Provided pro bono mentorship through renowned programs and organizations, significantly impacting numerous startups and entrepreneurs.&lt;/li&gt;&lt;li&gt;&lt;strong&gt;Educational Contributions:&lt;/strong&gt; Enhanced business education and entrepreneurship at leading institutions, helping students and professionals prepare for successful careers.&lt;/li&gt;&lt;/ul&gt;&lt;p&gt;&lt;br&gt;&lt;/p&gt;Consultation Style:&lt;/strong&gt;&lt;/p&gt;&lt;p&gt;Vijay's consultation style is deeply collaborative and committed. He focuses on understanding the specific needs of each mentee and provides tailored advice based on his extensive experience. His approach is characterized by a genuine dedication to sharing knowledge and fostering business growth through practical, data-driven insights.&lt;/p&gt;</t>
  </si>
  <si>
    <t>https://www.linkedin.com/in/vijayladha/</t>
  </si>
  <si>
    <t>Business Model Development || Business Model Development || Business Model Development</t>
  </si>
  <si>
    <t>Advanced Manufacturing &amp; Robotics || Manufacturing</t>
  </si>
  <si>
    <t>Vikas Gupta</t>
  </si>
  <si>
    <t xml:space="preserve">Panacea Consultancy Private Limited </t>
  </si>
  <si>
    <t>Summary:&lt;/strong&gt;&lt;/p&gt;&lt;p&gt;Vikas is a seasoned banking professional with over two decades of experience with leading foreign and Indian private sector banks, specializing in institutional banking and trade finance. In recent years, he has transitioned to growth and management consulting, advising startups and mid-sized enterprises on go-to-market (GTM) strategies, partnerships, and expansion. Vikas also plays a pivotal role in debt and equity fundraising for corporates and mid-stage startups across diverse sectors such as D2C, cloud-based SaaS, and fintech.&lt;/p&gt;&lt;p&gt;&lt;br&gt;&lt;/p&gt;Core Expertise:&lt;/strong&gt;&lt;/p&gt;&lt;ul&gt;&lt;li&gt;&lt;strong&gt;Institutional Banking &amp;amp; Trade Finance:&lt;/strong&gt; Extensive experience in managing large teams and verticals in corporate and consumer banking, with specialties in P&amp;amp;L management, commercial loans, and trade finance.&lt;/li&gt;&lt;li&gt;&lt;strong&gt;Growth Consulting:&lt;/strong&gt; Expertise in guiding startups and mid-sized enterprises on GTM strategies, strategic partnerships, and expansion plans.&lt;/li&gt;&lt;li&gt;&lt;strong&gt;Fundraising:&lt;/strong&gt; Skilled in securing various types of funding, including pre-IPO, private equity, venture capital, debt (NCD), venture debt, and structured and stressed funding.&lt;/li&gt;&lt;li&gt;&lt;strong&gt;Financial Strategy:&lt;/strong&gt; Proficient in devising macro and micro-level business strategies, board advisory, and strategic initiatives.&lt;/li&gt;&lt;/ul&gt;&lt;p&gt;&lt;br&gt;&lt;/p&gt;Problem-Solving Approach:&lt;/strong&gt;&lt;/p&gt;&lt;p&gt;Vikas adopts a comprehensive approach to solving industry-specific challenges, leveraging his extensive banking background and consulting experience. He focuses on understanding the unique needs of each client to develop tailored strategies that address their growth and funding requirements. His methodology includes detailed market analysis, strategic planning, and effective relationship management to drive successful outcomes.&lt;/p&gt;&lt;p&gt;&lt;br&gt;&lt;/p&gt;Impactful Projects:&lt;/strong&gt;&lt;/p&gt;&lt;ul&gt;&lt;li&gt;&lt;strong&gt;Business Launches:&lt;/strong&gt; Successfully launched and set up new businesses in various geographies for emerging brands, demonstrating his capability in establishing operations from scratch.&lt;/li&gt;&lt;li&gt;&lt;strong&gt;Strategic Advisory:&lt;/strong&gt; Provided board-level advisory on expansion strategies, GTM plans, and strategic initiatives, leading to significant business growth and operational improvements.&lt;/li&gt;&lt;li&gt;&lt;strong&gt;Fundraising Success:&lt;/strong&gt; Assisted numerous clients in securing essential funding, including pre-IPO, PE/VC, and debt financing, contributing to their financial stability and growth.&lt;/li&gt;&lt;/ul&gt;&lt;p&gt;&lt;br&gt;&lt;/p&gt;Consultation Style:&lt;/strong&gt;&lt;/p&gt;&lt;p&gt;Vikas’s consultation style is strategic and collaborative. He engages closely with clients to understand their specific challenges and goals, offering customized solutions that align with their business objectives. His focus on clear communication and actionable insights ensures that clients receive practical guidance and support tailored to their unique needs.&lt;/p&gt;</t>
  </si>
  <si>
    <t>https://www.linkedin.com/in/vikas-gupta-724b353/</t>
  </si>
  <si>
    <t>vikas@panaceafinserve.in</t>
  </si>
  <si>
    <t>Angel Investing || Fundraising || Go to Market Strategy || Angel Investing || Fundraising || Go to Market Strategy || Angel Investing || Fundraising || Go to Market Strategy || Angel Investing || Fundraising || Go to Market Strategy || Angel Investing || Fundraising || Go to Market Strategy || Angel Investing || Fundraising || Go to Market Strategy || Entrepreneurship Coaching || Marketing &amp; Branding</t>
  </si>
  <si>
    <t>Banking &amp; Financial Services || Banking &amp; Financial Services || Banking &amp; Financial Services || FinTech || FinTech || FinTech || Technology &amp; Innovation || Technology &amp; Innovation || Technology &amp; Innovation || Banking &amp; Financial Services || Banking &amp; Financial Services || Banking &amp; Financial Services || FinTech || FinTech || FinTech || Technology &amp; Innovation || Technology &amp; Innovation || Technology &amp; Innovation || Fintech, Banking, Financial Services</t>
  </si>
  <si>
    <t>Vikas Hajare</t>
  </si>
  <si>
    <t>Cummins college of Engineering for women</t>
  </si>
  <si>
    <t>Summary:&lt;/strong&gt;&lt;/p&gt;&lt;p&gt;Mr. Vikas is an Associate Professor at MKSSS Cummins College of Engineering for Women, with a strong background in higher education. He specializes in Entrepreneurship, Curriculum Development, Teacher Training, E-Learning, and Control Engineering. With a Ph.D. in Instrumentation and Control, he brings a wealth of expertise in shaping academic programs and mentoring students. His passion for education and innovation drives his work in empowering future leaders in the engineering field.&lt;/p&gt;&lt;p&gt;&lt;br&gt;&lt;/p&gt;Key Areas of Expertise:&lt;/strong&gt;&lt;/p&gt;&lt;ul&gt;&lt;li&gt;Entrepreneurship&lt;/li&gt;&lt;li&gt;Curriculum Development&lt;/li&gt;&lt;li&gt;Teacher Training&lt;/li&gt;&lt;li&gt;E-Learning&lt;/li&gt;&lt;li&gt;Control Engineering&lt;/li&gt;&lt;/ul&gt;&lt;p&gt;&lt;br&gt;&lt;/p&gt;Strategic Contributions:&lt;/strong&gt;&lt;/p&gt;&lt;ul&gt;&lt;li&gt;Developed and implemented innovative curriculum designs for engineering education.&lt;/li&gt;&lt;li&gt;Led teacher training programs to enhance teaching quality and student engagement.&lt;/li&gt;&lt;/ul&gt;&lt;p&gt;&lt;br&gt;&lt;/p&gt;Mentorship Philosophy:&lt;/strong&gt;&lt;/p&gt;&lt;p&gt;Believes in fostering innovation and entrepreneurship among students, focusing on practical learning and skill development.&lt;/p&gt;</t>
  </si>
  <si>
    <t>https://www.linkedin.com/in/dr-vikas-hajare-aa12ba14</t>
  </si>
  <si>
    <t>vikas.hajare@cumminscollege.in</t>
  </si>
  <si>
    <t>Business Model Development || Product Development || Strategic Planning || Business Model Development || Product Development || Strategic Planning || Entrepreneurship Coaching</t>
  </si>
  <si>
    <t>Others || Others || Others || Others || Others || Others || Education &amp; Training</t>
  </si>
  <si>
    <t>Vikas Kumar Srivastav</t>
  </si>
  <si>
    <t>Head - Venture Development Centre, Visakhapatnam Campus</t>
  </si>
  <si>
    <t>Summary
Vikas is recognized for his strategic leadership at GITAM University, driving significant advancements in entrepreneurship and innovation. His knack for orchestrating impactful initiatives and securing strategic partnerships has played a pivotal role in elevating GITAM's entrepreneurial ecosystem.
Key Areas of Expertise
Strategic Partnerships
Entrepreneurship
Community Empowerment
Project Management
Product Management
Strategic Contributions
Orchestrated SmartIDEAthon 2023 with a ₹45 lakh budget, showcasing exceptional project management skills.
Secured a key partnership with iTIC's BUILD initiative, aiding 75 Indian innovators and facilitating notable successes for GITAM innovators.
Successfully acquired a ₹5 crore grant from DST for GITAM, demonstrating expertise in grant writing.
Elevated GITAM's IIC ranking from 2 to 4 stars, significantly enhancing the institution's innovation culture.
Contributed to GITAM's audit and accreditation efforts, impacting rankings in NISP, IIC, ARIIA, and other areas.
Authored incubator grant proposals totaling 25 crores, showcasing strategic planning and proposal writing skills.
Mentorship Philosophy
Coached the Hydrogravitricity venture to national and international acclaim, highlighting mentorship capabilities.
Established a Student-Run Entrepreneurs Club and taught a Venture Discovery course, significantly impacting entrepreneurship education.
Success Stories
Coached the Hydrogravitricity venture to national and international acclaim.
Led a 146% increase in innovation and entrepreneurship events, reflecting strong organizational skills.</t>
  </si>
  <si>
    <t>https://www.linkedin.com/in/theideaenabler/</t>
  </si>
  <si>
    <t xml:space="preserve">vikas.startupcoach@gmail.com </t>
  </si>
  <si>
    <t>Market research || Research Partnerships || Team building || Market research || Research Partnerships || Team building || Market research || Research Partnerships || Team building || Market research || Research Partnerships || Team building || Go to Market Strategy || Business Model Development</t>
  </si>
  <si>
    <t>CleanTech || CleanTech || CleanTech || Education &amp; Training || Education &amp; Training || Education &amp; Training || Services || Services || Services || Tourism &amp; Hospitality || Tourism &amp; Hospitality || Tourism &amp; Hospitality || Education &amp; Training</t>
  </si>
  <si>
    <t>Vikas Rajput</t>
  </si>
  <si>
    <t>Summary:&lt;/strong&gt;&lt;/p&gt;&lt;p&gt;Dr. Vikas is a practicing entrepreneur and digital marketer with extensive experience as an advisor for small businesses. He is also a visiting faculty member for Entrepreneurship Development and Digital Marketing at various educational institutes. His areas of interest include education and training, small business reengineering, business automation, sales force automation, and strategic advisory for business growth.&lt;/p&gt;&lt;p&gt;&lt;br&gt;&lt;/p&gt;Key Areas of Expertise:&lt;/strong&gt;&lt;/p&gt;&lt;ul&gt;&lt;li&gt;Education &amp;amp; Training&lt;/li&gt;&lt;li&gt;Small Business Reengineering&lt;/li&gt;&lt;li&gt;Business Automation&lt;/li&gt;&lt;li&gt;Sales Force Automation &amp;amp; CRM&lt;/li&gt;&lt;li&gt;Strategic Advisory for Business Growth&lt;/li&gt;&lt;li&gt;Lead Generation&lt;/li&gt;&lt;li&gt;Digital Marketing&lt;/li&gt;&lt;li&gt;Marketing Consulting&lt;/li&gt;&lt;/ul&gt;&lt;p&gt;&lt;br&gt;&lt;/p&gt;Strategic Contributions:&lt;/strong&gt;&lt;/p&gt;&lt;ul&gt;&lt;li&gt;Providing strategic advisory for business growth.&lt;/li&gt;&lt;li&gt;Specializing in small business best practices and strategy.&lt;/li&gt;&lt;/ul&gt;</t>
  </si>
  <si>
    <t>https://www.linkedin.com/in/vikasrajput76/</t>
  </si>
  <si>
    <t>vikas.rajput@hotmail.com</t>
  </si>
  <si>
    <t>Branding || Business Model Development || Customer Service &amp; Retention || Digital Marketing || Fundraising || Go to Market Strategy || Growth Strategy Formulation || Market research || Media and PR || Organizational Development || Prototyping &amp; Testing || Public speaking || Sales Strategy || Social Media Marketing || Training &amp; Development || UI/UX Design || Branding || Business Model Development || Customer Service &amp; Retention || Digital Marketing || Fundraising || Go to Market Strategy || Growth Strategy Formulation || Market research || Media and PR || Organizational Development || Prototyping &amp; Testing || Public speaking || Sales Strategy || Social Media Marketing || Training &amp; Development || UI/UX Design || Branding || Business Model Development || Customer Service &amp; Retention || Digital Marketing || Fundraising || Go to Market Strategy || Growth Strategy Formulation || Market research || Media and PR || Organizational Development || Prototyping &amp; Testing || Public speaking || Sales Strategy || Social Media Marketing || Training &amp; Development || UI/UX Design || Branding || Business Model Development || Customer Service &amp; Retention || Digital Marketing || Fundraising || Go to Market Strategy || Growth Strategy Formulation || Market research || Media and PR || Organizational Development || Prototyping &amp; Testing || Public speaking || Sales Strategy || Social Media Marketing || Training &amp; Development || UI/UX Design || Branding || Business Model Development || Customer Service &amp; Retention || Digital Marketing || Fundraising || Go to Market Strategy || Growth Strategy Formulation || Market research || Media and PR || Organizational Development || Prototyping &amp; Testing || Public speaking || Sales Strategy || Social Media Marketing || Training &amp; Development || UI/UX Design || Branding || Business Model Development || Customer Service &amp; Retention || Digital Marketing || Fundraising || Go to Market Strategy || Growth Strategy Formulation || Market research || Media and PR || Organizational Development || Prototyping &amp; Testing || Public speaking || Sales Strategy || Social Media Marketing || Training &amp; Development || UI/UX Design || Entrepreneurship Coaching || Strategic Planning</t>
  </si>
  <si>
    <t>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Education &amp; Training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Fashion &amp; Beauty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Media, Arts &amp; Entertainment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Retail &amp; e-Commerce || Services || Services || Services || Services || Services || Services || Services || Services || Services || Services || Services || Services || Services || Services || Services || Services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Tourism &amp; Hospitality || Education &amp; Training</t>
  </si>
  <si>
    <t>Vikram Bansal</t>
  </si>
  <si>
    <t>Head Enterprise Architecture</t>
  </si>
  <si>
    <t>TATA Power</t>
  </si>
  <si>
    <t>&lt;p&gt;NIT Rourkela Alumni &amp;amp; experienced Innovation Manager with a proven track record of driving growth, increasing revenue and optimizing cost. Skilled in managing NPD teams taking Product Management from TRL 1 to successful Commercial launch. Strong communicator &amp;amp; Team player with extensive exposure in Presales, developing Business Strategy &amp;amp; driving Tech Solution for Domestic &amp;amp; Global customers in B2C &amp;amp; B2B market incubated 12 Ideas. Well versed working in large scale global organizations and Product Management based Agile environment, Experienced Leader in guiding development using Open Source Tech Stack in AWS/GCP using DevOpsSec, Vikram is also an active Angel Investor and Mentors to startup&lt;/p&gt;</t>
  </si>
  <si>
    <t>https://www.linkedin.com/in/vikram-bansal-ab24847/</t>
  </si>
  <si>
    <t>vkbans@gmail.com</t>
  </si>
  <si>
    <t>Angel Investing || Fundraising || Product Development || Tech Strategy &amp; Infrastructure || Angel Investing || Fundraising || Product Development || Tech Strategy &amp; Infrastructure || Angel Investing || Fundraising || Product Development || Tech Strategy &amp; Infrastructure || Angel Investing || Fundraising || Product Development || Tech Strategy &amp; Infrastructure || Angel Investing || Fundraising || Product Development || Tech Strategy &amp; Infrastructure || Product Management || Data Analytics</t>
  </si>
  <si>
    <t>AI, Big Data &amp; Analytics || AI, Big Data &amp; Analytics || AI, Big Data &amp; Analytics || AI, Big Data &amp; Analytics || CleanTech || CleanTech || CleanTech || CleanTech || E-Commerce || E-Commerce || E-Commerce || E-Commerce || FinTech || FinTech || FinTech || FinTech || Media &amp; Entertainment || Media &amp; Entertainment || Media &amp; Entertainment || Media &amp; Entertainment || Software &amp; IT Services</t>
  </si>
  <si>
    <t>Suhasini Barman</t>
  </si>
  <si>
    <t>Founding Director</t>
  </si>
  <si>
    <t>SBCO Digital</t>
  </si>
  <si>
    <t>Summary: Suhasini is a seasoned marketer and storyteller with a passion for making brands more human. With experience across corporate giants, startups, and independent ventures, she has helped over 100 brands define their voice, design impactful campaigns, and build meaningful audience relationships. Her approach goes beyond traditional marketing—rooted in authentic storytelling, strategic thinking, and emotional connection. Core Expertise: Brand Strategy &amp; Positioning Content Strategy &amp; Development Integrated Marketing Communications Digital Campaigns &amp; Social Media Consumer Engagement &amp; Experience Design Storytelling for Brands Problem-Solving Approach: Suhasini blends business acumen with creative insight to craft campaigns that not only drive visibility but build long-term resonance. She believes in understanding the brand’s essence and audience psyche before offering tailored, high-impact solutions. Her work focuses on creating communication that sparks conversations and forges authentic connections. Impactful Projects: Worked with over 100 brands across industries, helping reposition and rebrand ventures at different stages of growth. Co-authored a global happiness handbook and published a poetry collection, integrating narrative artistry into brand thinking. Led integrated campaigns that boosted brand recall and drove measurable business growth for both emerging startups and established enterprises. ﻿Consultation Style: Suhasini partners deeply with founders, marketers, and teams—offering hands-on strategic guidance, creative inputs, and mentorship. Her sessions are collaborative, insight-driven, and tailored to the unique context of each brand, ensuring clarity, authenticity, and long-term value.</t>
  </si>
  <si>
    <t>https://www.linkedin.com/in/suhasinibarman/</t>
  </si>
  <si>
    <t>director@sbarman.co.in</t>
  </si>
  <si>
    <t>Marketing and Branding || Social Media Marketing || Marketing and Branding || Social Media Marketing || Marketing and Branding || Social Media Marketing || Marketing and Branding || Social Media Marketing || Marketing &amp; Branding || Social Media Marketing</t>
  </si>
  <si>
    <t>Media Arts and Entertainment || Media Arts and Entertainment || Retail and e-Commerce || Retail and e-Commerce || Media Arts and Entertainment || Media Arts and Entertainment || Retail and e-Commerce || Retail and e-Commerce || Media, Arts &amp; Entertainment</t>
  </si>
  <si>
    <t>Vineesh Chadha</t>
  </si>
  <si>
    <t>Founder &amp; Managing Partner</t>
  </si>
  <si>
    <t>Brand Footprint</t>
  </si>
  <si>
    <t>Summary:&lt;/strong&gt; Vineesh is a seasoned business builder and leader with a diverse background spanning corporate roles, consulting, investment advisory, and startups within the Indian lifestyle and retail industry. He has a proven track record of driving growth and innovation across various sectors, leveraging his extensive experience in building and scaling successful ventures.&lt;/p&gt;&lt;p&gt;&lt;br&gt;&lt;/p&gt;Key Areas of Expertise:&lt;/strong&gt;&lt;/p&gt;&lt;ul&gt;&lt;li&gt;Consumer Lifestyle Brands&lt;/li&gt;&lt;li&gt;Retail Strategy&lt;/li&gt;&lt;li&gt;Investment Advisory&lt;/li&gt;&lt;li&gt;Business Development&lt;/li&gt;&lt;li&gt;Brand Management&lt;/li&gt;&lt;/ul&gt;&lt;p&gt;&lt;br&gt;&lt;/p&gt;Strategic Contributions:&lt;/strong&gt; Vineesh has successfully built and led multiple consulting and investment advisory practices, including Brand Footprint and Vivrddhi Consulting, where he serves as Founder &amp;amp; Managing Partner. As Co-Founder &amp;amp; President of Turms, India’s first intelligent apparel e-commerce brand, he played a pivotal role in raising seed capital, developing the supply chain, and spearheading the brand's journey. His corporate experience includes leadership roles such as Managing Director at Global Investment Ltd., Director at MXV Consulting, and Chief Operating Officer at ColorPlus. Additionally, Vineesh has held significant positions in Aditya Birla Fashion and Retail Ltd. as Brand Director for Louis Philippe.&lt;/p&gt;&lt;p&gt;&lt;br&gt;&lt;/p&gt;Mentorship Philosophy:&lt;/strong&gt; Vineesh is a keen listener and a strategic thinker, dedicated to identifying levers for differentiation and sustainable growth. He places a strong emphasis on execution, believing that successful strategies stem from building outstanding and aligned teams, ensuring that ideas translate into impactful results.&lt;/p&gt;&lt;p&gt;&lt;br&gt;&lt;/p&gt;Success Stories:&lt;/strong&gt; Throughout his career, Vineesh has guided numerous consumer lifestyle and retail brands toward significant growth and market leadership. His strategic insights and hands-on approach have consistently led to successful brand positioning and expansion, making him a trusted advisor in the industry.&lt;/p&gt;</t>
  </si>
  <si>
    <t>https://linkedin.com/in/vineeshchadha</t>
  </si>
  <si>
    <t>vineesh@brandfootprint.in</t>
  </si>
  <si>
    <t>Marketing || Sales Strategy || Supply Chain Management || Marketing || Sales Strategy || Supply Chain Management || Marketing || Sales Strategy || Supply Chain Management || Marketing || Sales Strategy || Supply Chain Management || Business Model Development || Marketing &amp; Branding</t>
  </si>
  <si>
    <t>Fashion &amp; Beauty || Fashion &amp; Beauty || Fashion &amp; Beauty || Retail &amp; e-Commerce || Retail &amp; e-Commerce || Retail &amp; e-Commerce || Fashion &amp; Beauty || Fashion &amp; Beauty || Fashion &amp; Beauty || Retail &amp; e-Commerce || Retail &amp; e-Commerce || Retail &amp; e-Commerce || Retail &amp; e-Commerce</t>
  </si>
  <si>
    <t>Vinod Chacko</t>
  </si>
  <si>
    <t>Founder and Managing Director</t>
  </si>
  <si>
    <t>FlexiCloud Hosting</t>
  </si>
  <si>
    <t>Summary:&lt;/strong&gt; Vinod is a versatile professional with extensive experience across various roles including employee, freelancer, contractor, Founder, and senior executive. As the Founder of FlexiCloud, he successfully scaled the managed cloud hosting company from zero to $100K ARR. He is also a co-Founder, advisor, and investor at OureanSoul Private Limited, a web development and marketing agency. Vinod’s background includes providing global technical assistance for cloud onboarding and server management, alongside his active involvement in tech forums and the open-source community.&lt;/p&gt;&lt;p&gt;&lt;br&gt;&lt;/p&gt;Core Expertise:&lt;/strong&gt;&lt;/p&gt;&lt;ul&gt;&lt;li&gt;Management Consulting&lt;/li&gt;&lt;li&gt;Pricing Strategy&lt;/li&gt;&lt;li&gt;Project Management&lt;/li&gt;&lt;li&gt;Backup &amp;amp; Recovery Systems&lt;/li&gt;&lt;li&gt;Cybersecurity&lt;/li&gt;&lt;li&gt;IT Consulting&lt;/li&gt;&lt;li&gt;Cloud Management&lt;/li&gt;&lt;li&gt;SaaS Development&lt;/li&gt;&lt;li&gt;Demand Generation&lt;/li&gt;&lt;li&gt;Email Marketing&lt;/li&gt;&lt;/ul&gt;&lt;p&gt;&lt;br&gt;&lt;/p&gt;Problem-Solving Approach:&lt;/strong&gt; Vinod employs a holistic approach to problem-solving, drawing from his diverse experience to develop practical and innovative solutions tailored to each client's needs. His strategy includes leveraging his technical knowledge and industry insights to address challenges effectively and drive growth.&lt;/p&gt;&lt;p&gt;&lt;br&gt;&lt;/p&gt;&lt;p&gt;&lt;br&gt;&lt;/p&gt;Impactful Projects:&lt;/strong&gt;&lt;/p&gt;&lt;ul&gt;&lt;li&gt;Grew FlexiCloud from inception to $100K ARR, establishing it as a key player in managed cloud hosting.&lt;/li&gt;&lt;li&gt;Co-founded and contributed to the success of OureanSoul Private Limited, enhancing web development and marketing capabilities.&lt;/li&gt;&lt;li&gt;Provided global technical assistance for cloud onboarding and server management, impacting numerous clients across the world.&lt;/li&gt;&lt;/ul&gt;&lt;p&gt;&lt;br&gt;&lt;/p&gt;Consultation Style:&lt;/strong&gt; Vinod is known for his interactive and personalized engagement style. He works closely with clients to understand their unique challenges and provides tailored solutions. His active participation in tech communities and forums highlights his commitment to collaboration and innovation.&lt;/p&gt;</t>
  </si>
  <si>
    <t>https://www.linkedin.com/in/vinodchacko/</t>
  </si>
  <si>
    <t>vchacko@vultr.com</t>
  </si>
  <si>
    <t>Deep Tech (Blockchain, AI, Robotics, AR/VR) || Go to Market Strategy || Deep Tech (Blockchain, AI, Robotics, AR/VR) || Go to Market Strategy || Deep Tech (Blockchain, AI, Robotics, AR/VR) || Go to Market Strategy || Deep Tech (Blockchain, AI, Robotics, AR/VR) || Go to Market Strategy || Business Model Development</t>
  </si>
  <si>
    <t>AI, Big Data &amp; Analytics || AI, Big Data &amp; Analytics || Retail &amp; e-Commerce || Retail &amp; e-Commerce || AI, Big Data &amp; Analytics || AI, Big Data &amp; Analytics || Retail &amp; e-Commerce || Retail &amp; e-Commerce || Software &amp; IT Services</t>
  </si>
  <si>
    <t>Vinod Narayanan</t>
  </si>
  <si>
    <t>VP GTM</t>
  </si>
  <si>
    <t>Crayon Data</t>
  </si>
  <si>
    <t>Summary:&lt;/strong&gt; Vinod brings over 15 years of experience in Analytics and IT, serving clients across Banking, Pharma, and E-commerce sectors. His diverse background includes working with services companies, Product Management companies, GCCs, and startups, showcasing his adaptability and expertise in various environments.&lt;/p&gt;&lt;p&gt;&lt;br&gt;&lt;/p&gt;Core Expertise:&lt;/strong&gt; Vinod specializes in GTM (Go-to-Market) strategies, presales, and marketing for B2B AI startups. He is currently leading the GTM function at Crayon Data, where he drives growth through innovative data management and customer engagement solutions.&lt;/p&gt;&lt;p&gt;&lt;br&gt;&lt;/p&gt;Problem-Solving Approach:&lt;/strong&gt; Vinod focuses on leveraging AI and analytics to address complex business challenges, particularly in data management and customer engagement. His approach involves understanding market dynamics and aligning solutions to meet the specific needs of large enterprises.&lt;/p&gt;&lt;p&gt;&lt;br&gt;&lt;/p&gt;Impactful Projects:&lt;/strong&gt; At Crayon Data, Vinod plays a key role in advancing the maya.ai platform, which empowers enterprises to achieve significant growth. His previous roles at Cognizant, IBM, Citi, and Matrimony.com involved delivering impactful solutions in Banking, E-commerce, and Pharma sectors across APAC, the Middle East, and North America.&lt;/p&gt;</t>
  </si>
  <si>
    <t>https://www.linkedin.com/in/vinodn1/</t>
  </si>
  <si>
    <t>nvinod13@gmail.com</t>
  </si>
  <si>
    <t>Data Analytics || Go to Market Strategy || Marketing || Sales Strategy || Data Analytics || Go to Market Strategy || Marketing || Sales Strategy || Data Analytics || Go to Market Strategy || Marketing || Sales Strategy || Data Analytics || Go to Market Strategy || Marketing || Sales Strategy || Data Analytics || Go to Market Strategy || Marketing || Sales Strategy || Data Analytics || Go to Market Strategy || Marketing || Sales Strategy || Go to Market Strategy || Customer Relationship Management</t>
  </si>
  <si>
    <t>Banking &amp; Financial Services || Banking &amp; Financial Services || Banking &amp; Financial Services || Banking &amp; Financial Services || Pharmaceuticals, Healthcare and Wellness || Pharmaceuticals, Healthcare and Wellness || Pharmaceuticals, Healthcare and Wellness || Pharmaceuticals, Healthcare and Wellness || Retail &amp; e-Commerce || Retail &amp; e-Commerce || Retail &amp; e-Commerce || Retail &amp; e-Commerce || Banking &amp; Financial Services || Banking &amp; Financial Services || Banking &amp; Financial Services || Banking &amp; Financial Services || Pharmaceuticals, Healthcare and Wellness || Pharmaceuticals, Healthcare and Wellness || Pharmaceuticals, Healthcare and Wellness || Pharmaceuticals, Healthcare and Wellness || Retail &amp; e-Commerce || Retail &amp; e-Commerce || Retail &amp; e-Commerce || Retail &amp; e-Commerce || Software &amp; IT Services</t>
  </si>
  <si>
    <t>Vishram Bapat</t>
  </si>
  <si>
    <t xml:space="preserve">Databyte Services &amp; Systems </t>
  </si>
  <si>
    <t>Summary:&lt;/strong&gt;&lt;/p&gt;&lt;p&gt;Mr. Vishram, with over 30 years of experience in IT hardware manufacturing and application software, has transitioned into giving back by mentoring students and bridging the gap between academia and industry. He ran a company with 100+ employees and trained fresh graduates on vital industry skills, noticing a disconnect between what colleges teach and what the industry demands. Now, as a mentor and industry representative, he helps students become industry-ready, especially focusing on empowering women through education.&lt;/p&gt;&lt;p&gt;&lt;br&gt;&lt;/p&gt;Key Areas of Expertise:&lt;/strong&gt;&lt;/p&gt;&lt;ul&gt;&lt;li&gt;IT Hardware Manufacturing&lt;/li&gt;&lt;li&gt;Application Software&lt;/li&gt;&lt;li&gt;Industry-Academia Gap&lt;/li&gt;&lt;li&gt;Mentorship &amp;amp; Education&lt;/li&gt;&lt;li&gt;Aerospace Instruments&lt;/li&gt;&lt;/ul&gt;&lt;p&gt;&lt;br&gt;&lt;/p&gt;Strategic Contributions:&lt;/strong&gt;&lt;/p&gt;&lt;ul&gt;&lt;li&gt;Mentored students in engineering colleges to bridge industry-academia gaps.&lt;/li&gt;&lt;li&gt;Established initiatives for empowering women through education.&lt;/li&gt;&lt;/ul&gt;&lt;p&gt;&lt;br&gt;&lt;/p&gt;Mentorship Philosophy:&lt;/strong&gt;&lt;/p&gt;&lt;ul&gt;&lt;li&gt;Focuses on preparing students for real-world industry challenges and supporting women’s education.&lt;/li&gt;&lt;/ul&gt;&lt;p&gt;&lt;br&gt;&lt;/p&gt;</t>
  </si>
  <si>
    <t>https://linkedin.com/in/vishram</t>
  </si>
  <si>
    <t>bapat.vishram@gmail.com</t>
  </si>
  <si>
    <t>Business Model Development || Market research || Pitch coaching || Business Model Development || Market research || Pitch coaching || Business Model Development || Market research || Pitch coaching || Business Model Development || Market research || Pitch coaching || Business Model Development || Market research || Pitch coaching || Business Model Development || Market research || Pitch coaching || Business Model Development || Market research || Pitch coaching || Business Model Development || Market research || Pitch coaching || Business Model Development || Market research || Pitch coaching || Business Model Development || Market research || Pitch coaching || Business Model Development || Market research || Pitch coaching || Business Model Development || Market research || Pitch coaching || Business Model Development || Market research || Pitch coaching || Business Model Development || Market research || Pitch coaching || Entrepreneurship Coaching || IT Consulting</t>
  </si>
  <si>
    <t>Defence &amp; Public Safety || Defence &amp; Public Safety || Defence &amp; Public Safety || Education &amp; Training || Education &amp; Training || Education &amp; Training || Fashion &amp; Beauty || Fashion &amp; Beauty || Fashion &amp; Beauty || Industrial Automation &amp; Manufacturing || Industrial Automation &amp; Manufacturing || Industrial Automation &amp; Manufacturing || Retail &amp; e-Commerce || Retail &amp; e-Commerce || Retail &amp; e-Commerce || Social &amp; Community Services || Social &amp; Community Services || Social &amp; Community Services || Technology &amp; Innovation || Technology &amp; Innovation || Technology &amp; Innovation || Defence &amp; Public Safety || Defence &amp; Public Safety || Defence &amp; Public Safety || Education &amp; Training || Education &amp; Training || Education &amp; Training || Fashion &amp; Beauty || Fashion &amp; Beauty || Fashion &amp; Beauty || Industrial Automation &amp; Manufacturing || Industrial Automation &amp; Manufacturing || Industrial Automation &amp; Manufacturing || Retail &amp; e-Commerce || Retail &amp; e-Commerce || Retail &amp; e-Commerce || Social &amp; Community Services || Social &amp; Community Services || Social &amp; Community Services || Technology &amp; Innovation || Technology &amp; Innovation || Technology &amp; Innovation || Software &amp; IT Services</t>
  </si>
  <si>
    <t>Vivek Shah</t>
  </si>
  <si>
    <t>Founder &amp; Managing Director</t>
  </si>
  <si>
    <t>Capermint Technologies Private Limited</t>
  </si>
  <si>
    <t>&lt;p&gt;&lt;strong style="color: rgb(0, 0, 0);"&gt;Summary: &lt;/strong&gt;&lt;/p&gt;&lt;p&gt;&lt;span style="color: rgb(0, 0, 0);"&gt;Vivek is the Founder and Managing Director of Capermint Technologies Pvt Ltd, a distinguished indie gaming studio with operations across the USA, Australia, and India. With a career extending over 14 years, Vivek has built a reputation for his expertise in mobile app and game development. As an entrepreneur and mentor, he plays a pivotal role in guiding startups towards operational and financial success. His leadership and innovative approach have made significant contributions to the gaming industry and beyond.&lt;/span&gt;&lt;/p&gt;&lt;p&gt;&lt;br&gt;&lt;/p&gt;&lt;p&gt;&lt;strong style="color: rgb(0, 0, 0);"&gt;Core Expertise:&lt;/strong&gt;&lt;/p&gt;&lt;ul&gt;&lt;li&gt;&lt;strong style="color: rgb(0, 0, 0);"&gt;Mobile App and Game Development:&lt;/strong&gt;&lt;span style="color: rgb(0, 0, 0);"&gt;&amp;nbsp;Vivek is a seasoned expert in developing mobile apps and games. His experience spans across designing, developing, and scaling gaming Product Managements that capture market interest and drive user engagement.&lt;/span&gt;&lt;/li&gt;&lt;li&gt;&lt;strong style="color: rgb(0, 0, 0);"&gt;Entrepreneurship:&lt;/strong&gt;&lt;span style="color: rgb(0, 0, 0);"&gt;&amp;nbsp;As the Founder of Capermint Technologies, Vivek demonstrates exceptional entrepreneurial skills, successfully establishing and scaling a gaming studio. His ability to lead and grow a business is a testament to his strategic vision and operational expertise.&lt;/span&gt;&lt;/li&gt;&lt;li&gt;&lt;strong style="color: rgb(0, 0, 0);"&gt;Mentorship:&lt;/strong&gt;&lt;span style="color: rgb(0, 0, 0);"&gt;&amp;nbsp;Vivek actively mentors startups, providing them with valuable guidance to achieve operational excellence and financial stability. His mentoring extends to various incubation centers, where he helps emerging companies navigate the complexities of the gaming and tech sectors.&lt;/span&gt;&lt;/li&gt;&lt;li&gt;&lt;strong style="color: rgb(0, 0, 0);"&gt;Strategic Business Development:&lt;/strong&gt;&lt;span style="color: rgb(0, 0, 0);"&gt;&amp;nbsp;Vivek excels in crafting and executing business strategies that enhance organizational growth and market presence. His work includes optimizing business models, enhancing market positioning, and driving revenue growth.&lt;/span&gt;&lt;/li&gt;&lt;/ul&gt;&lt;p&gt;&lt;br&gt;&lt;/p&gt;&lt;p&gt;&lt;strong style="color: rgb(0, 0, 0);"&gt;Problem-Solving Approach: &lt;/strong&gt;&lt;span style="color: rgb(0, 0, 0);"&gt;Vivek employs a comprehensive problem-solving approach that integrates technical expertise with strategic business insights. His methodology includes:&lt;/span&gt;&lt;/p&gt;&lt;ul&gt;&lt;li&gt;&lt;strong style="color: rgb(0, 0, 0);"&gt;Innovative Solutions:&lt;/strong&gt;&lt;span style="color: rgb(0, 0, 0);"&gt;&amp;nbsp;Leveraging cutting-edge technologies and creative approaches to address complex challenges in game development and business operations. Vivek’s focus on innovation ensures that his solutions are both effective and forward-thinking.&lt;/span&gt;&lt;/li&gt;&lt;li&gt;&lt;strong style="color: rgb(0, 0, 0);"&gt;Data-Driven Decisions:&lt;/strong&gt;&lt;span style="color: rgb(0, 0, 0);"&gt;&amp;nbsp;Utilizing data analytics to guide decision-making processes, from Product Management development to market strategies. This approach helps in aligning business objectives with market needs and performance metrics.&lt;/span&gt;&lt;/li&gt;&lt;li&gt;&lt;strong style="color: rgb(0, 0, 0);"&gt;Scalable Strategies:&lt;/strong&gt;&lt;span style="color: rgb(0, 0, 0);"&gt;&amp;nbsp;Developing scalable strategies that facilitate growth and expansion. Vivek’s experience in the gaming industry enables him to create solutions that support both immediate goals and long-term success.&lt;/span&gt;&lt;/li&gt;&lt;/ul&gt;&lt;p&gt;&lt;br&gt;&lt;/p&gt;&lt;p&gt;&lt;strong style="color: rgb(0, 0, 0);"&gt;Impactful Projects: &lt;/strong&gt;&lt;span style="color: rgb(0, 0, 0);"&gt;Throughout his career, Vivek has led several high-impact projects that highlight his expertise and leadership:&lt;/span&gt;&lt;/p&gt;&lt;ul&gt;&lt;li&gt;&lt;strong style="color: rgb(0, 0, 0);"&gt;Capermint Technologies:&lt;/strong&gt;&lt;span style="color: rgb(0, 0, 0);"&gt;&amp;nbsp;Under Vivek’s leadership, Capermint Technologies has become a prominent indie gaming studio, delivering innovative and successful gaming Product Managements. The company’s international operations reflect Vivek’s ability to scale business across diverse markets.&lt;/span&gt;&lt;/li&gt;&lt;li&gt;&lt;strong style="color: rgb(0, 0, 0);"&gt;Revenue Growth:&lt;/strong&gt;&lt;span style="color: rgb(0, 0, 0);"&gt;&amp;nbsp;Vivek’s strategic marketing and sales initiatives have significantly increased revenue, with notable achievements including a fivefold revenue increase through innovative approaches.&lt;/span&gt;&lt;/li&gt;&lt;li&gt;&lt;strong style="color: rgb(0, 0, 0);"&gt;Technological Advancements:&lt;/strong&gt;&lt;span style="color: rgb(0, 0, 0);"&gt;&amp;nbsp;His pioneering work in AR/VR/XR technologies has advanced the studio’s Product Management offerings, positioning Capermint Technologies at the forefront of gaming technology.&lt;/span&gt;&lt;/li&gt;&lt;/ul&gt;&lt;p&gt;&lt;br&gt;&lt;/p&gt;&lt;p&gt;&lt;strong style="color: rgb(0, 0, 0);"&gt;Consultation Style: &lt;/strong&gt;&lt;span style="color: rgb(0, 0, 0);"&gt;Vivek’s consultation style is collaborative and insightful. He values building strong professional relationships and shares his knowledge through:&lt;/span&gt;&lt;/p&gt;&lt;ul&gt;&lt;li&gt;&lt;strong style="color: rgb(0, 0, 0);"&gt;Mentorship:&lt;/strong&gt;&lt;span style="color: rgb(0, 0, 0);"&gt;&amp;nbsp;Providing hands-on guidance to startups and entrepreneurs, helping them achieve operational and financial success.&lt;/span&gt;&lt;/li&gt;&lt;li&gt;&lt;strong style="color: rgb(0, 0, 0);"&gt;Strategic Advising:&lt;/strong&gt;&lt;span style="color: rgb(0, 0, 0);"&gt;&amp;nbsp;Offering expert advice on business strategy, market expansion, and technology integration.&lt;/span&gt;&lt;/li&gt;&lt;li&gt;&lt;strong style="color: rgb(0, 0, 0);"&gt;Networking:&lt;/strong&gt;&lt;span style="color: rgb(0, 0, 0);"&gt;&amp;nbsp;Actively connecting with industry professionals and sharing insights over coffee, fostering a collaborative environment for growth and learning.&lt;/span&gt;&lt;/li&gt;&lt;/ul&gt;</t>
  </si>
  <si>
    <t>https://www.linkedin.com/in/imvivekshah/</t>
  </si>
  <si>
    <t>vivek@capermint.com</t>
  </si>
  <si>
    <t>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Business Model Development || Market research || Product Development || Tech Strategy &amp; Infrastructure || Entrepreneurship Coaching || Product Management</t>
  </si>
  <si>
    <t>Automobiles &amp; Auto Components || Automobiles &amp; Auto Components || Automobiles &amp; Auto Components || Automobiles &amp; Auto Components || Education &amp; Training || Education &amp; Training || Education &amp; Training || Education &amp; Training || FinTech || FinTech || FinTech || FinTech || Pharmaceuticals, Healthcare and Wellness || Pharmaceuticals, Healthcare and Wellness || Pharmaceuticals, Healthcare and Wellness || Pharmaceuticals, Healthcare and Wellness || Services || Services || Services || Services || Technology &amp; Innovation || Technology &amp; Innovation || Technology &amp; Innovation || Technology &amp; Innovation || Automobiles &amp; Auto Components || Automobiles &amp; Auto Components || Automobiles &amp; Auto Components || Automobiles &amp; Auto Components || Education &amp; Training || Education &amp; Training || Education &amp; Training || Education &amp; Training || FinTech || FinTech || FinTech || FinTech || Pharmaceuticals, Healthcare and Wellness || Pharmaceuticals, Healthcare and Wellness || Pharmaceuticals, Healthcare and Wellness || Pharmaceuticals, Healthcare and Wellness || Services || Services || Services || Services || Technology &amp; Innovation || Technology &amp; Innovation || Technology &amp; Innovation || Technology &amp; Innovation || Automobiles &amp; Auto Components || Automobiles &amp; Auto Components || Automobiles &amp; Auto Components || Automobiles &amp; Auto Components || Education &amp; Training || Education &amp; Training || Education &amp; Training || Education &amp; Training || FinTech || FinTech || FinTech || FinTech || Pharmaceuticals, Healthcare and Wellness || Pharmaceuticals, Healthcare and Wellness || Pharmaceuticals, Healthcare and Wellness || Pharmaceuticals, Healthcare and Wellness || Services || Services || Services || Services || Technology &amp; Innovation || Technology &amp; Innovation || Technology &amp; Innovation || Technology &amp; Innovation || Software &amp; IT Services</t>
  </si>
  <si>
    <t>Writaparna Mukherjee</t>
  </si>
  <si>
    <t>Institute of Engineering &amp; Management</t>
  </si>
  <si>
    <t>Summary:&lt;/strong&gt;&lt;/p&gt;&lt;p&gt;Mr. Writaparna is an experienced Assistant Professor with a strong background in education management and a focus on computer science. With expertise in engineering, entrepreneurship, machine learning, teaching, and AWS Lambda, he has built a solid academic and professional foundation. Holding a Master of Technology (MTech) in Computer Science from the Institute of Engineering &amp;amp; Management (IEM), he is currently pursuing a PhD to further advance his knowledge and contributions to the field.&lt;/p&gt;&lt;p&gt;&lt;br&gt;&lt;/p&gt;Key Areas of Expertise:&lt;/strong&gt;&lt;/p&gt;&lt;ul&gt;&lt;li&gt;&lt;strong&gt;Engineering&lt;/strong&gt;: In-depth understanding and teaching of engineering concepts.&lt;/li&gt;&lt;li&gt;&lt;strong&gt;Entrepreneurship&lt;/strong&gt;: Experienced in fostering entrepreneurial skills and mindset.&lt;/li&gt;&lt;li&gt;&lt;strong&gt;Machine Learning&lt;/strong&gt;: Skilled in applying machine learning techniques.&lt;/li&gt;&lt;li&gt;&lt;strong&gt;Teaching&lt;/strong&gt;: Strong teaching capabilities in computer science and related areas.&lt;/li&gt;&lt;li&gt;&lt;strong&gt;AWS Lambda&lt;/strong&gt;: Proficient in cloud computing and serverless architecture.&lt;/li&gt;&lt;/ul&gt;</t>
  </si>
  <si>
    <t>https://www.linkedin.com/in/writaparna-mukherjee/</t>
  </si>
  <si>
    <t>writaparnam@iem.edu.in (Old Mentor)
writaparnam@gmail.com (Mentor)</t>
  </si>
  <si>
    <t>Deep Tech (Blockchain, AI, Robotics, AR/VR) || Training &amp; Development || Entrepreneurship Coaching || Software Development</t>
  </si>
  <si>
    <t>AI, Big Data &amp; Analytics || AI, Big Data &amp; Analytics || Education &amp; Training</t>
  </si>
  <si>
    <t>Yagya Datt Sharma</t>
  </si>
  <si>
    <t>Reliability Engineering (SRE) &amp; Operations Leader, Consultant</t>
  </si>
  <si>
    <t>Hughes Systique Corporation (HSC)</t>
  </si>
  <si>
    <t>Summary:&lt;/strong&gt;&lt;/p&gt;&lt;p&gt;Yagya is a seasoned SRE &amp;amp; DevSecOps professional with over 15 years of experience in software development, operations, networking, security, and Site Reliability Engineering (SRE). He possesses a strong understanding of business processes and has a diverse background that includes advising startups, serving on the board of a global non-profit, and leading organizations from inception. Yagya has worked across various business models, including for-profit and non-profit sectors.&lt;/p&gt;&lt;p&gt;&lt;br&gt;&lt;/p&gt;Key Areas of Expertise:&lt;/strong&gt;&lt;/p&gt;&lt;ul&gt;&lt;li&gt;Site Reliability Engineering (SRE)&lt;/li&gt;&lt;li&gt;DevSecOps&lt;/li&gt;&lt;li&gt;Google Cloud Platform (Certified ACE)&lt;/li&gt;&lt;li&gt;Hybrid/Cloud-based applications&lt;/li&gt;&lt;li&gt;Containerized Micro-services and Serverless architecture&lt;/li&gt;&lt;li&gt;Operational efficiency and process optimization&lt;/li&gt;&lt;li&gt;Business-critical applications and distributed systems architecture&lt;/li&gt;&lt;/ul&gt;&lt;p&gt;&lt;br&gt;&lt;/p&gt;Strategic Contributions:&lt;/strong&gt;&lt;/p&gt;&lt;p&gt;Yagya has been instrumental in leading and defining processes across teams and functions to ensure operational excellence and reliability. His hands-on experience spans a wide range of technologies, including:&lt;/p&gt;&lt;ul&gt;&lt;li&gt;BigIP F-5, iRules, ASM, Monitoring Tools (EM7, Smarts, Site24x7, AppDynamics)&lt;/li&gt;&lt;li&gt;Shell/Python scripting, SOA-based web-apps, ESB, RESTful Web services&lt;/li&gt;&lt;li&gt;OSS/BSS Domain, JBOSS EAP, Oracle, Apache, Kafka, Salesforce Administration&lt;/li&gt;&lt;li&gt;IoT protocols, APIGEE Proxies, Jenkins, Kubernetes, OpenShift, Atlassian tools&lt;/li&gt;&lt;li&gt;CMS (WordPress, NationBuilder), Ruby &amp;amp; Liquid Programming&lt;/li&gt;&lt;/ul&gt;&lt;p&gt;Yagya is adept at troubleshooting live Product Managemention issues and designing architectures for multi-tenant and business-critical applications.&lt;/p&gt;&lt;p&gt;&lt;br&gt;&lt;/p&gt;Mentorship Philosophy:&lt;/strong&gt;&lt;/p&gt;&lt;p&gt;Yagya is deeply committed to mentoring startups and leveraging technology for social impact through technology-enabled philanthropy. He is passionate about blogging on social issues and motivational topics, contributing to non-profits, and engaging in media discussions on world economics. Yagya's mentorship philosophy emphasizes the transformative potential of technology and its application to solve real-world problems, particularly in the social sector.&lt;/p&gt;</t>
  </si>
  <si>
    <t>https://www.LinkedIn.com/in/yagyadatt</t>
  </si>
  <si>
    <t>Washington DC</t>
  </si>
  <si>
    <t>yagyadatt.sharma@gmail.com</t>
  </si>
  <si>
    <t>Process Optimization || Quality Assurance || Software Development || Process Optimization || Quality Assurance || Software Development || Process Optimization || Quality Assurance || Software Development || Buisness Operations || Business Model Development</t>
  </si>
  <si>
    <t>Technology &amp; Innovation || Technology &amp; Innovation || Technology &amp; Innovation || Technology &amp; Innovation || Technology &amp; Innovation || Technology &amp; Innovation || Technology &amp; Innovation || Technology &amp; Innovation || Technology &amp; Innovation || Software &amp; IT Services || Telecommunications</t>
  </si>
  <si>
    <t>Dr Sonali Kirde</t>
  </si>
  <si>
    <t>HealthSpect</t>
  </si>
  <si>
    <t>Summary: Dr. Sonali Kirde, MBBS, MD, is a dynamic healthcare innovator, entrepreneur, and consultant with deep expertise in the healthtech and pharmaceutical sectors. With a career spanning top global pharma companies such as Merck, GSK, and Takeda Biopharmaceuticals, she now mentors and consults across the startup ecosystem, guiding emerging ventures and talent in healthcare innovation. Core Expertise: Healthcare &amp; Healthtech Innovation Pharmaceutical Strategy &amp; Leadership Startup Mentorship &amp; Incubation Medical Affairs &amp; Regulatory Strategy Leadership Development for Medical Professionals Problem-Solving Approach: Dr. Sonali adopts a strategic, insight-driven approach rooted in her clinical and corporate experience. She bridges the gap between medicine and market by helping startups and professionals align medical innovation with practical business models, regulatory compliance, and user needs. Her mentorship emphasizes structured thinking, evidence-based solutions, and actionable roadmaps. Impactful Projects: Founder of ELEVATE 1.0 – a leadership development program guiding MDs into pharma and healthtech leadership roles. Mentor/Advisor at MAARG (Startup India), IIT Bombay &amp; IIT Madras E-Cells – enabling early-stage healthtech ventures to scale strategically. Advisor at VentureBlick and Jury for Multiple Accelerators – supporting global health innovation through venture evaluation and mentorship. Leadership Roles at Merck, GSK &amp; Takeda – driving cross-functional strategies in pharmaceutical development and commercialization. Consultation Style: Dr. Sonali brings a collaborative and hands-on approach to her consultations. Whether mentoring students, advising startups, or guiding leadership transitions, she tailors her guidance to each stakeholder's unique context and maturity level. She prefers one-on-one mentoring, group sessions, and structured AMA-style interactions to foster clarity, confidence, and strategic direction.</t>
  </si>
  <si>
    <t>https://www.linkedin.com/in/drsonalikirde123/</t>
  </si>
  <si>
    <t>kirdesonali@gmail.com</t>
  </si>
  <si>
    <t>Go to Market Strategy || Growth Strategy Formulation || Go to Market Strategy || Growth Strategy Formulation</t>
  </si>
  <si>
    <t>Yunus Asad</t>
  </si>
  <si>
    <t>EliteSR</t>
  </si>
  <si>
    <t>Summary: Yunus is a seasoned HR consultant and talent strategist with over 20 years of experience in aligning people practices with evolving business goals. As Co-Founder &amp; Director at Elite SR, he works closely with startups and established enterprises to make HR a core driver of business growth rather than just a support function. Core Expertise: Strategic HR &amp; Talent Development Organizational Design Cost Optimization &amp; HR Audits Leadership Hiring &amp; Development Shared/Fractional CHRO for Startups HR Digital Transformation Change Management Yunus brings deep functional experience across industries such as insurance, education, non-profits, manufacturing, and tech startups. Problem-Solving Approach: Yunus takes a pragmatic, business-aligned approach—designing HR interventions that are scalable, cost-effective, and customized to each organization’s lifecycle stage. For startups, he offers low-cost, high-impact HR solutions that address key challenges such as talent retention, performance management, and policy gaps. Impactful Projects: Led HR transformation and policy design for startups like Sikkim IFFCO Organics and non-profits like The Asia Foundation. Developed and executed leadership programs at Tech Mahindra (GLC and AIM) to source and groom talent from premier B-schools. Delivered HR audits and organization redesign for mid-sized enterprises, ensuring compliance and strategic alignment. Mentored over 30 organizations including Alliance Française, Care Health Insurance, and the Raheja Group. Consultation Style: Yunus adopts a collaborative, mentoring-focused engagement style. He prefers one-on-one consultations or strategy workshops and often operates as a shared CHRO to co-create HR frameworks with leadership teams. His guidance is highly personalized, aimed at creating sustainable HR practices that evolve with business needs.</t>
  </si>
  <si>
    <t>https://www.linkedin.com/in/yunus-asad-9657a7a2/</t>
  </si>
  <si>
    <t>Gurgaon</t>
  </si>
  <si>
    <t>yunus@elitesr.in</t>
  </si>
  <si>
    <t>HR Consulting || Training and Development || HR Consulting || Training and Development || HR Consulting || Training and Development || HR Consulting || Training &amp; Development</t>
  </si>
  <si>
    <t>Banking &amp; Financial Services || Banking &amp; Financial Services || Others || Others || Services || Services || Fintech, Banking, Financial Services</t>
  </si>
  <si>
    <t>Abhimanyu Gargesh</t>
  </si>
  <si>
    <t xml:space="preserve"> Your Start-Up Mentor</t>
  </si>
  <si>
    <t>Summary: With 18 years of experience leading teams, streamlining operations, and scaling businesses across industries like technology, venture building, co-working, and cab sharing, I have developed a deep understanding of what it takes to build and grow successful companies. My passion lies in helping founders navigate the complexities of the startup ecosystem. Core Expertise: Startup Mentorship and Advisory Business Model Refinement Idea Validation Operational Strategy Leadership and Team Management Problem-Solving Approach: I work closely with founders to identify core challenges, prioritize solutions, and create actionable roadmaps. By combining strategic thinking with hands-on operational insights, I help startups build scalable, sustainable businesses. Impactful Projects: As a mentor at Alloy Development Co.'s Morning Mentoring Program (USA) and Startup Boot Camp (Europe), I have guided numerous startups in refining their business models, validating ideas, and establishing operational excellence. My mentorship has contributed to increased investor confidence, successful pivots, and measurable growth. Consultation Style: I believe in a collaborative, founder-first approach. By fostering open conversations and encouraging critical thinking, I empower founders to make informed decisions. Whether it's brainstorming solutions, refining pitch decks, or strategizing go-to-market plans, I tailor my guidance to the unique needs of each startup.</t>
  </si>
  <si>
    <t>https://www.linkedin.com/in/abhimanyu-gargesh-9907336/</t>
  </si>
  <si>
    <t>abhgargesh@gmail.com</t>
  </si>
  <si>
    <t>Data Analytics || Logistics Management || Strategic Planning || Team building || Data Analytics || Logistics Management || Strategic Planning || Team building || Data Analytics || Logistics Management || Strategic Planning || Team building || Data Analytics || Logistics Management || Strategic Planning || Team building || Data Analytics || Buisness Operations</t>
  </si>
  <si>
    <t>Professional &amp; Business Services || Professional &amp; Business Services || Professional &amp; Business Services || Professional &amp; Business Services || Transportation &amp; Logistics || Transportation &amp; Logistics || Transportation &amp; Logistics || Transportation &amp; Logistics || Professional &amp; Business Services || Professional &amp; Business Services || Professional &amp; Business Services || Professional &amp; Business Services || Transportation &amp; Logistics || Transportation &amp; Logistics || Transportation &amp; Logistics || Transportation &amp; Logistics || Transportation &amp; Logistics</t>
  </si>
  <si>
    <t>Prashant Sirohi</t>
  </si>
  <si>
    <t>Entrepreneurial executive and Founder of Bizowl, India's first entrepreneurship-dedicated platform focused on the 0-1 startup journey, particularly targeting Tier-2/3 cities. Brings 6+ years of entrepreneurial experience having founded 2 startups, with previous venture Clark Smith, an online fashion e-commerce brand. Actively mentors startups through AIC GGSIPU and works personally with founders. Expert in digital marketing, business development, growth strategy, and SEO. Skilled in management, leadership, and engineering for solving real-world problems. Holds multiple certifications including Advanced SEO, Leadership Skills from IIM Ahmedabad, and Market Research from IE Business School. Passionate about sharing entrepreneurial insights with the startup community and giving back to support the next generation of founders.
Skills: Entrepreneurship, Startup Mentorship, Digital Marketing, Business Development, Growth Strategy, SEO, E-commerce, Product Development, Leadership, Idea Validation, Market Research, Consumer Behavior, Startup Ecosystem Development, Team Building, Business Strategy, Tier-2/3 City Entrepreneurship Support</t>
  </si>
  <si>
    <t>https://www.linkedin.com/in/prashantsirohi/</t>
  </si>
  <si>
    <t>prashantsirohi@hotmail.com</t>
  </si>
  <si>
    <t>Branding || Business Model Development || Digital Marketing || Go to Market Strategy || Marketing || Branding || Business Model Development || Digital Marketing || Go to Market Strategy || Marketing || Branding || Business Model Development || Digital Marketing || Go to Market Strategy || Marketing || Branding || Business Model Development || Digital Marketing || Go to Market Strategy || Marketing || Branding || Business Model Development || Digital Marketing || Go to Market Strategy || Marketing || Branding || Business Model Development || Digital Marketing || Go to Market Strategy || Marketing || Branding || Business Model Development || Digital Marketing || Go to Market Strategy || Marketing || Branding || Business Model Development || Digital Marketing || Go to Market Strategy || Marketing || Branding || Business Model Development || Digital Marketing || Go to Market Strategy || Marketing || Entrepreneurship Coaching || Business Model Development</t>
  </si>
  <si>
    <t>Agriculture &amp; Food Processing || Agriculture &amp; Food Processing || Agriculture &amp; Food Processing || Agriculture &amp; Food Processing || Agriculture &amp; Food Processing || Consumer Products || Consumer Products || Consumer Products || Consumer Products || Consumer Products || Fashion &amp; Beauty || Fashion &amp; Beauty || Fashion &amp; Beauty || Fashion &amp; Beauty || Fashion &amp; Beauty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Services || Services || Services || Services || Services || Social &amp; Community Services || Social &amp; Community Services || Social &amp; Community Services || Social &amp; Community Services || Social &amp; Community Services || Technology &amp; Innovation || Technology &amp; Innovation || Technology &amp; Innovation || Technology &amp; Innovation || Technology &amp; Innovation || Textiles &amp; Apparel || Textiles &amp; Apparel || Textiles &amp; Apparel || Textiles &amp; Apparel || Textiles &amp; Apparel || Media, Arts &amp; Entertainment</t>
  </si>
  <si>
    <t>Dr Kalliat Chali Janardhanan</t>
  </si>
  <si>
    <t>Gastrointestinal Surgeon</t>
  </si>
  <si>
    <t>Manipal Hospital</t>
  </si>
  <si>
    <t>Summary: Dr. Janardhanan is a highly skilled Consultant Gastrointestinal and Colorectal Surgeon currently practicing at Manipal Hospital in Bengaluru. With prestigious qualifications such as FRCS (Eng) and FRCS (Glasgow), he has undergone comprehensive surgical training in England. Dr. Janardhanan’s expertise extends beyond clinical practice, with a keen interest in digital health and innovation, making him a dedicated contributor to advancing healthcare and nurturing emerging talent. Core Expertise: Gastrointestinal and colorectal surgery with extensive clinical experience. Leveraging digital health technologies to enhance patient care and healthcare delivery. Mentorship and advisory support for health-tech startups and medical innovation projects. Problem-Solving Approach: Dr. Janardhanan integrates his deep clinical knowledge with innovative digital health solutions to address complex healthcare challenges. By collaborating with startups, healthcare institutions, and technology experts, he aims to bridge the gap between medical practice and technological advancements. Impactful Projects: Extensive clinical practice at Manipal Hospital, providing advanced gastrointestinal and colorectal surgical care. Developed an interest in digital health during his consultancy in the Orkney Islands, Scotland, leading to active participation in health-tech forums across India. Actively mentoring and advising two startups in the health-tech sector, fostering innovation and impactful healthcare solutions. Consultation Style: Dr. Janardhanan values collaboration and forward-thinking innovation. His approach involves working closely with startups and healthcare professionals to align technology with practical medical needs. He is dedicated to mentoring and guiding emerging talent to ensure sustainable and impactful growth in the healthcare ecosystem.</t>
  </si>
  <si>
    <t>https://www.linkedin.com/in/dr-kalliat-chali-janardhanan-aba402133?utm_source=share&amp;utm_campaign=share_via&amp;utm_content=profile&amp;utm_medium=android_app</t>
  </si>
  <si>
    <t>drjanu@gmail.com</t>
  </si>
  <si>
    <t>Marketing: Market Research/Intelligence</t>
  </si>
  <si>
    <t>Government Funding || Market research || Strategic Planning || Government Funding || Market research || Strategic Planning || Market Research</t>
  </si>
  <si>
    <t>Nitin Jain</t>
  </si>
  <si>
    <t>GrowAsia</t>
  </si>
  <si>
    <t>Summary: Nitin is an accomplished entrepreneur and business leader with a proven track record of scaling and growing businesses across Asia and India. With domain expertise in Staffing, Training, and Renewables, he brings a wealth of knowledge and strategic insight to his ventures. As the founder of Grow Asia, a Green BPO specializing in 100% remote staffing for order-to-cash processes, customer service, analyst, and tech profiles, Nitin is pioneering innovative solutions in HR Tech, EdTech, and Green Technologies. Previously, Nitin served as CFO at General Electric, where he gained extensive expertise in finance transformation, project finance, commercial structuring, and executing business strategies. With over 20 years of experience at GE, he has a strong background in leading global teams, driving business integration, and managing profitability. Core Expertise: Entrepreneurship: Building and scaling businesses from scratch with a focus on digital transformation and operational efficiency. Finance Leadership: Expertise in CFO functions, FP&amp;A, controllership, tax, ERP systems (SAP, Oracle), and economic value modeling. Strategic Growth: Driving business integration for strategic acquisitions, improving profitability, and managing risk. Global Operations: Extensive experience managing teams across the USA, India, Dubai, and Singapore. Preferred Industries: HR Tech, EdTech, and Green Technologies. Problem-Solving Approach: Nitin’s approach is resourceful and agile, marked by a bias for action and ownership. As a change agent, he simplifies complex challenges through open communication and transparency, fostering an environment where his teams thrive. His solutions emphasize productivity, risk management, and long-term impact. Impactful Projects: Grow Asia: Founded a Green BPO focused on 100% remote staffing solutions, helping businesses optimize operations in key areas such as order-to-cash and customer service. General Electric: Led transformative initiatives in finance, including project finance, economic modeling, and strategic growth. Managed global teams and executed growth strategies across the Asian region. Business Integration: Successfully drove post-acquisition integration efforts to align operations and improve profitability. Consultation Style: Nitin adopts a hands-on, collaborative style that prioritizes simplicity and transparency. He provides clear direction while empowering teams to take ownership and deliver results. By leveraging his extensive experience in finance and operations, Nitin ensures tailored, impactful solutions for organizations navigating growth and transformation. Certifications: Chartered Accountant (CA), US CPA, and CISA certified. Six Sigma Green Belt certified, demonstrating a commitment to process excellence and continuous improvement.</t>
  </si>
  <si>
    <t>https://www.linkedin.com/in/nitinjain1008/</t>
  </si>
  <si>
    <t>nitinjain@growasia.sg</t>
  </si>
  <si>
    <t>+6596528897</t>
  </si>
  <si>
    <t>Business Finance || Go to Market Strategy || Business Finance || Go to Market Strategy || Go to Market Strategy || Business Finance</t>
  </si>
  <si>
    <t>Automobiles &amp; Auto Components || Automobiles &amp; Auto Components || Education &amp; Training || Education &amp; Training || Automotive &amp; Auto Components || Clean Tech</t>
  </si>
  <si>
    <t>Balram Nair</t>
  </si>
  <si>
    <t>82Volts</t>
  </si>
  <si>
    <t>Summary: Balram is a dynamic business leader with extensive experience in operations, financial advisory, and venture capital. Currently serving as the Chief Operating Officer (COO) of 82Volt, Balram plays a pivotal role in delivering tailored solutions for industry leaders, including battery manufacturers, fleet operators, and electric vehicle (EV) users. Additionally, he is a partner at Capricorne Mindframe, a firm that provides a range of financial services such as portfolio advisory, direct equity advisory, and comprehensive financial planning. Balram has also served as Vice President at The Chennai Angels, where he oversaw operations, angel investing, deal sourcing, evaluation, and portfolio management. He is deeply passionate about mentoring and nurturing new-generation entrepreneurs. Core Expertise: Balram specializes in the following areas: Operations Management: Leading operational functions to optimize performance and deliver high-quality solutions. Venture Capital: Expertise in angel investing, deal sourcing, evaluation, and portfolio management, having played a significant role at The Chennai Angels. Financial Advisory: Providing expert advisory services in direct equity, portfolio management, MSME &amp; corporate treasury, private equity, and family office consulting. Entrepreneurship Mentoring: Actively guiding and nurturing emerging entrepreneurs to succeed in competitive markets. Problem-Solving Approach: Balram adopts a strategic, hands-on approach to problem-solving, balancing operational efficiency with long-term business growth. His experience in both operations and finance allows him to evaluate situations holistically and implement solutions that align with the unique challenges of each industry. He focuses on driving innovation and growth through strong partnerships and advisory services. Impactful Projects: 82Volt: As COO, Balram has been instrumental in developing and delivering customized solutions for the rapidly growing EV industry, supporting battery manufacturers and fleet operators in their transition to sustainable practices. Capricorne Mindframe: Balram helps businesses and individuals navigate complex financial landscapes, providing advisory services that drive informed decision-making in areas like private equity, family office, and MSME treasury. The Chennai Angels: Led operations and played a key role in sourcing and evaluating investment deals. Managed a diverse portfolio of startups, delivering value to investors and entrepreneurs alike. Consultation Style: Balram’s consultation style is collaborative and results-driven. He combines deep industry knowledge with a practical, hands-on approach, providing actionable advice and tailored solutions for clients. He takes a mentorship-driven approach, ensuring that entrepreneurs are well-equipped to overcome challenges and scale their businesses. Whether advising on operations, finance, or investments, Balram’s goal is to empower clients to achieve sustainable growth and success.</t>
  </si>
  <si>
    <t>https://www.linkedin.com/in/balramn</t>
  </si>
  <si>
    <t>balram@earlyhustle.vc</t>
  </si>
  <si>
    <t>FinTech || Retail &amp; e-Commerce || FinTech || Retail &amp; e-Commerce || Retail &amp; e-Commerce</t>
  </si>
  <si>
    <t>Jitesh Agarwal</t>
  </si>
  <si>
    <t>Treelife</t>
  </si>
  <si>
    <t>Summary: Jitesh is the founder of Treelife, a leading firm offering comprehensive legal and financial solutions for startups, investors, global companies, and incubators/accelerators. A Chartered Accountant (CA) by qualification, he spearheads the firm’s VCFO services, finance &amp; tax advisory, AIF setup, FEMA advisory, and GIFT IFSC functions, enabling businesses to navigate complex regulatory landscapes and scale globally. Core Expertise: Jitesh specializes in: Business model development Accounting ESOPs and business finance AIF setup and financial structuring Tax planning and FEMA advisory Global expansion and GIFT City setup Problem-Solving Approach: Jitesh combines technical expertise with a strategic lens, focusing on creating tailored legal-financial frameworks that address regulatory complexities, enable sustainable growth, and de-risk global expansion. He ensures clients receive pragmatic, actionable solutions aligned with their long-term objectives. Impactful Projects: Led the co-authoring and presentation of “Navigating GIFT City: A Comprehensive Guide to India’s First International Financial Services Centre (IFSC)”, equipping companies with clarity on GIFT City’s regulatory and operational landscape. Advised numerous startups and investors on AIF setup, ESOP design, and international structuring strategies to fuel growth and compliance. His insights are regularly featured in The Ken, Inc42, ET Now, and other reputed platforms, reinforcing his standing as a thought leader. Consultation Style: Jitesh adopts a collaborative and educational approach, simplifying complex regulatory and financial topics for founders and investors. He tailors his guidance to the unique challenges of each venture, ensuring solutions are both strategic and execution-ready.</t>
  </si>
  <si>
    <t>https://www.linkedin.com/in/jitesh-agarwal-a9457949</t>
  </si>
  <si>
    <t>jitesh@treelife.in</t>
  </si>
  <si>
    <t>Business Model Development || ESOPs</t>
  </si>
  <si>
    <t>Fintech, Banking, Financial Services || Legal Services</t>
  </si>
  <si>
    <t>Amarpreet Singh</t>
  </si>
  <si>
    <t>Zenaca Consulting</t>
  </si>
  <si>
    <t>Summary: Amarpreet Singh is the Founder of Zenaca Consulting, a manufacturing and operations advisory firm supporting global clients in setting up and scaling world-class manufacturing ecosystems. With over 31 years of hands-on leadership experience across Electronic Manufacturing Services (EMS), defence, aerospace, UAVs, and medical industries, Amarpreet brings deep operational expertise and strategic foresight. Prior to founding Zenaca, he held senior leadership roles at ideaForge and Centum Electronics, where he led large-scale manufacturing and delivery operations. Core Expertise: Manufacturing Operations &amp; Electronics Production (PCBA, UAVs, Box Builds) Supply Chain Optimization &amp; Material Planning Quality Systems and Process Engineering Greenfield Project Execution Business Continuity Planning &amp; After-Sales Support Sourcing Strategy and Vendor Development Problem-Solving Approach: Amarpreet applies a structured, systems-based approach to solving complex manufacturing and supply chain problems. He focuses on setting up scalable frameworks with high efficiency and quality standards, tailoring each solution to the specific operational environment and growth stage of the client. His hands-on leadership ensures quick implementation and measurable outcomes. Impactful Projects: Established end-to-end manufacturing and delivery operations for ideaForge’s UAVs, including user onboarding via Interactive Electronic Training Modules and nationwide 24/7 after-sales support. Led greenfield EMS operations for defence, aerospace, and medical clients at Centum Electronics, completing the setup within 14 months. Managed delivery operations and team leadership for a $50M EMS business, working with global clients such as ABB, GE, Thales, Rafael, and L3. Currently advises international clients on manufacturing setup and sourcing strategies across Asia and beyond through Zenaca Consulting. Consultation Style: Amarpreet offers solution-oriented, execution-focused consulting that blends strategic direction with practical implementation. He is known for fostering high-performance teams, coaching client operations leaders, and ensuring long-term capability development. His engagement style is collaborative and highly responsive to the unique operational challenges faced by startups and mature manufacturing businesses alike.</t>
  </si>
  <si>
    <t>https://www.linkedin.com/in/amarpreet41/</t>
  </si>
  <si>
    <t>amarpreet41@gmail.com</t>
  </si>
  <si>
    <t>Buisness Operations</t>
  </si>
  <si>
    <t>Defence and Public Safety || Manufacturing</t>
  </si>
  <si>
    <t>Aditya Mohanty</t>
  </si>
  <si>
    <t>The Product Folks</t>
  </si>
  <si>
    <t>Summary: Aditya is a seasoned product leader and serial entrepreneur with a deep-rooted passion for building and scaling communities and digital products. He has co-founded some of Asia’s most vibrant ecosystems in tech, product management, and web3, impacting over 200,000 members globally. With hands-on experience across startups and high-growth ed-tech companies, Aditya brings a blend of product vision, community leadership, and execution excellence. Core Expertise: Product Management &amp; Strategy Community Building at Scale Early-stage Startup Growth Ed-Tech &amp; Digital Learning Platforms Content Strategy and Communication Problem-Solving Approach: Aditya approaches challenges with a builder’s mindset—rapid experimentation, user-first thinking, and lean execution. Whether creating platforms from scratch or scaling communities organically, he emphasizes understanding real user pain points and iterating fast to deliver value. His deep community insight also enables him to co-create solutions in highly collaborative ways. Impactful Projects: The Product Folks: Co-founded and grew Asia’s largest product/tech community to 200K+ members, enabling thousands to break into and thrive in Product Management. The Product House: Built a 50K+ member web3 community in partnership with leading global players like Polygon, Metamask, AAVE, and Tezos. WordKrowd: Bootstrapped a social platform for writers/readers to 50K+ users, learning full-stack product building hands-on. Emeritus: As an early Product Manager, contributed to the company’s hypergrowth from startup to $3.5B ed-tech giant, building executive education offerings with Harvard, MIT, and others. Consultation Style: Aditya brings an empathetic, no-fluff, action-oriented style to his mentorship and consultations. He tailors advice based on the stage of the venture or individual, offering tactical insights while also helping zoom out to long-term product and growth strategy. Whether it's breaking into product roles, launching communities, or refining startup ideas, he offers clarity and momentum to those he guides.</t>
  </si>
  <si>
    <t>https://www.linkedin.com/in/adityamohanty/?original_referer=https%3A%2F%2Fwww%2Egoogle%2Ecom%2F&amp;originalSubdomain=in</t>
  </si>
  <si>
    <t>aditya@theproductfolks.com</t>
  </si>
  <si>
    <t>Product Management || Growth Strategy Formulation</t>
  </si>
  <si>
    <t>Garima Mitra</t>
  </si>
  <si>
    <t>Summary: Garima Mitra is the Co-founder of Treelife, a leading legal and financial advisory firm that serves startups, investors, and high-growth companies across India. With over a decade of experience in the startup ecosystem, Garima heads Treelife’s legal and compliance teams, specializing in fundraising strategy, tax and regulatory compliance, and global expansion. She is known for her ability to bridge complex legal frameworks with practical business needs. Core Expertise: Legal Strategy &amp; Regulatory Compliance Fundraising Support (Equity &amp; Venture Financing) Business Structuring and Global Expansion Sectoral Expertise: Fintech, Gaming, Consumer, EdTech, ESG, Spacetech Policy and Governance in Startup Law Problem-Solving Approach: Garima combines deep legal expertise with entrepreneurial insight to offer actionable, forward-looking guidance. Her approach is rooted in practical execution—advising clients not only on what is legally compliant but also what is operationally viable. She emphasizes preventive legal strategies to ensure startups scale responsibly and sustainably. Impactful Projects: Advised top-tier startups such as CleverTap, WhiteHat Jr (acquired by Byju’s), Rentomojo, and BreatheESG on legal structuring and funding compliance. Co-authored "Power Play: A Regulatory Guide for Indian Gaming Companies", providing a first-of-its-kind framework for this emerging sector. Authored “Handbook on ESG in India” and “Mapping India’s Spacetech Industry”, contributing significantly to regulatory discourse in niche sectors. Her policy recommendations on the Companies Act for startups are helping shape more founder-friendly regulations. Consultation Style: Garima is a collaborative and insight-driven advisor who customizes her guidance based on the stage and sector of each client. She encourages open dialogue and transparency in mentorship, offering not just legal insights but also clarity on operational impact. Whether through one-on-one consultations or strategic advisory sessions, Garima ensures clients walk away with clarity, compliance, and confidence.</t>
  </si>
  <si>
    <t>https://www.linkedin.com/in/garimamitra</t>
  </si>
  <si>
    <t>garima@treelife.in</t>
  </si>
  <si>
    <t>Legal and Compliance || ESOPs</t>
  </si>
  <si>
    <t>Legal Services || Fintech, Banking and Financial Services</t>
  </si>
  <si>
    <t>Abhinav Kashyap</t>
  </si>
  <si>
    <t>Regional Business Manager-South</t>
  </si>
  <si>
    <t>DotPe Cappitals</t>
  </si>
  <si>
    <t>Summary:
Mr. Abhinav is a seasoned Product Marketing Expert with over 15 years of experience in the fintech ecosystem, digital lending, and digital transformation. He has a proven track record of launching innovative products and driving market penetration, resulting in increased sales and profitability. As a leader, Mr. Abhinav excels in managing large, diverse teams, fostering collaboration and continuous professional growth. His expertise includes crafting compelling value propositions and developing marketing strategies that resonate with target audiences, boosting customer engagement and brand loyalty.
Key Areas of Expertise:
Product Marketing
Marketing Strategy
Fintech Ecosystem
Digital Lending &amp; Transformation
Growth Marketing
Strategic Contributions:
Successfully developed and launched financial products
Led large teams in tele-calling and field sales models
Created marketing strategies that optimized market penetration and profitability
Mentorship Philosophy:
Mr. Prashant believes in empowering teams through collaborative leadership, fostering a culture of continuous learning, and driving organizational growth through customer-focused strategies.</t>
  </si>
  <si>
    <t>https://www.linkedin.com/in/abhinavkashyap/</t>
  </si>
  <si>
    <t>abhinav@scroogeuncle.com</t>
  </si>
  <si>
    <t>Sales Strategy || Business Model Development || Product Management</t>
  </si>
  <si>
    <t>FinTech || Fintech, Banking, Financial Services || Venture Funding</t>
  </si>
  <si>
    <t>Kaiwan Irani</t>
  </si>
  <si>
    <t>Educator Coach</t>
  </si>
  <si>
    <t>Summary: Kaiwan Homi Irani is a seasoned financial consultant and global funding advisor with over 28 years of diverse experience across public and private funding. He has been instrumental in securing financing for a wide array of global projects, spanning equity, debt, and hybrid structures. With deep roots in financial literacy, coaching, and strategic consulting, Kaiwan brings both technical depth and real-world execution to his work. Key Areas of Expertise: Global project funding (equity &amp; debt) Financial literacy &amp; wealth coaching Mortgage solutions &amp; real estate investing New Code NLP-based coaching &amp; mindset transformation High-net-worth financial planning Risk and insurance advisory Strategic Contributions: Kaiwan has led and facilitated funding for global ventures totaling over $4 billion. His team has supported a broad spectrum of industries—ranging from real estate and infrastructure to startup ventures—while also customizing funding frameworks based on business needs. He is known for bringing a global, evaluative approach to each funding opportunity, ensuring that financial strategies align with long-term business growth. Mentorship Philosophy: Kaiwan believes in empowering founders and business leaders with both clarity and capability. Through a unique blend of financial strategy and mindset coaching, he helps entrepreneurs become investor-ready, make informed funding decisions, and design long-term wealth strategies. His mentorship emphasizes authenticity, trust, and actionable outcomes. Success Stories: Over his career, Kaiwan has worked with founders across continents, guiding startups through their first funding rounds and helping scale businesses with customized financial strategies. His mentorship has helped entrepreneurs access hard-to-reach capital markets and position their ventures for global expansion.</t>
  </si>
  <si>
    <t>https://www.linkedin.com/in/kaiwan-homi-irani-3a154327/?original_referer=https%3A%2F%2Fwww%2Egoogle%2Ecom%2F&amp;originalSubdomain=in</t>
  </si>
  <si>
    <t>kev@urprosuccess.com</t>
  </si>
  <si>
    <t>Leadership Coaching || Entrepreneurship Coaching</t>
  </si>
  <si>
    <t>Vani Agarwal</t>
  </si>
  <si>
    <t>The Thinking Spree</t>
  </si>
  <si>
    <t>Summary: Vani is a strategist, design thinker, and entrepreneur with over 14 years of experience in Finance and Strategy. She has worked with global venture capital firms, investment banks, and corporate banks, specializing in transforming complex problems into simple, actionable solutions. Key Areas of Expertise: Business Strategy &amp; Scaling Startups Financial Planning &amp; Investment Advisory Big Data, Analytics, and Dashboarding Design Thinking and Innovation Startup Advisory &amp; Growth Acceleration Strategic Contributions: Co-founded Thinking Spree, redefining the consulting process with data-driven strategy sprints. Developed T-Sprints, reducing 1000 hours of conventional consulting to just 40 hours through real-time, visual, and conversational strategy-building. Bridged the gap between theoretical frameworks and practical business execution for multiple startups and enterprises. Mentorship Philosophy: Vani believes that every startup has unique challenges, and the key lies in leveraging data, design thinking, and strategic frameworks to create simple, actionable solutions that drive real growth. She enjoys helping founders make confident decisions quickly and efficiently. Success Stories: Enabled early-stage startups to pivot successfully by using data-driven dashboards for market and product decisions. Helped scale multiple ventures by creating actionable strategies that improved efficiency and cut down months of consulting effort.</t>
  </si>
  <si>
    <t>https://www.linkedin.com/in/vani-agarwal/</t>
  </si>
  <si>
    <t>vani@thinkingspree.com</t>
  </si>
  <si>
    <t>Business Finance || Fintech, Banking, Financial Services</t>
  </si>
  <si>
    <t>Shalini Shankar</t>
  </si>
  <si>
    <t>National Head and Senior Vice President</t>
  </si>
  <si>
    <t>Laqshya Media Group</t>
  </si>
  <si>
    <t>Summary Shalini Shankar is a seasoned business leader and entrepreneur with over two decades of experience across Media, Advertising, Insurance, Education, Manufacturing, and Entertainment. Currently serving as National Head &amp; Senior Vice President at Laqshya Media Group, she has successfully scaled businesses, driven 2x year-on-year growth, and built award-winning campaigns. Recognized as one of the Top 25 Influential Women in India (2017), Shalini combines strategic vision with hands-on leadership to create meaningful business impact. Core Expertise Business &amp; GTM Strategy – driving sustainable growth and market expansion Media &amp; Brand Strategy – building award-winning campaigns and client partnerships Sales &amp; Client Acquisition – unlocking new territories and verticals P&amp;L and Revenue Management – ensuring profitable and scalable operations Strategic Partnerships &amp; Tie-ups – with corporates, institutions, and global stakeholders Entrepreneurship &amp; Mentorship – leveraging personal startup experience to guide founders Problem-Solving Approach Shalini approaches challenges with a fearless, exploratory mindset. She believes in deeply understanding business needs, analyzing market trends, and combining data-driven insights with creativity to design solutions. Her philosophy: every challenge is an opportunity to create long-term impact. Impactful Projects Spearheaded landmark 20 Cr+ deal at Laqshya Media Group within six months of joining. Drove 2x year-on-year business growth with consistent client retention and acquisitions. Founded Biz Doors, a platform showcasing entrepreneurs’ stories through media and strategy, recognized for empowering women leaders. Successfully scaled operations for insurance and media companies, expanding footprints across new markets in India. Awarded multiple honors, including Corporate Diva Enterprising 2017 and numerous corporate excellence awards. Consultation Style Shalini’s mentoring and consultation style is collaborative and practical. She engages with founders and professionals by first understanding their unique challenges and goals, then tailoring her advice with actionable strategies. Whether it’s scaling a startup, designing a media strategy, or overcoming professional hurdles, she focuses on empowering individuals to take ownership while guiding them with structured, real-world insights.</t>
  </si>
  <si>
    <t>https://www.linkedin.com/in/shalinisankar/</t>
  </si>
  <si>
    <t>Banglore</t>
  </si>
  <si>
    <t>shalinisankar@hotmail.com</t>
  </si>
  <si>
    <t>Go to Market Strategy || Marketing &amp; Branding</t>
  </si>
  <si>
    <t>Media &amp; Advertising || Fintech, Banking, Financial Services</t>
  </si>
  <si>
    <t>Nida Sahar</t>
  </si>
  <si>
    <t>Nife.io</t>
  </si>
  <si>
    <t>Summary: Ms. Nida Sahar is the Founder of Nife.io, a next-generation orchestration platform for intelligent, real-time applications. With over 17 years of experience at HP, Oracle, and Dell-EMC, she blends deep technical expertise in infrastructure engineering, cloud platforms, and developer ecosystems with a passion for community building, women in tech, and creative expression as a published poet.
Core Expertise
Infrastructure engineering
Cloud platforms and orchestration
Edge computing and AI integration
Developer ecosystem building
Technical leadership
Mentorship and community engagement
Public speaking and industry advocacy
Patent holder in technology
Problem-Solving Approach
Ms. Nida Sahar focuses on simplifying orchestration across edge, cloud, and AI environments — aiming for solutions that work quietly, intelligently, and seamlessly. She bridges engineering precision with empathy, ensuring both technical performance and human-centered outcomes.
Impactful Projects
Founded Nife.io, enabling next-gen orchestration for real-time applications.
Served on the GHCI Technical Committee (AnitaB.org) to promote women in tech.
Directed Startup Leadership Program, supporting early-stage founders.
Mentored through Google Summer of Code, Technovation, and LearnITGirl.
Organized TEDxKoramangalaWomen.
Granted a technology patent.
Won the Global Source Code Poetry Competition and was featured at Bengaluru Poetry Festival.
Consulting Style
Ms. Sahar’s style is innovative, empathetic, and integrative — combining technical depth with community-oriented leadership. She emphasizes building solutions and ecosystems that are clear, efficient, and sustainable, while fostering inclusion and creativity.</t>
  </si>
  <si>
    <t>https://www.linkedin.com/in/nidasahar/?utm_source=share&amp;utm_campaign=share_via&amp;utm_content=profile&amp;utm_medium=ios_app</t>
  </si>
  <si>
    <t>nida@nife.io</t>
  </si>
  <si>
    <t>Product Management || Software Development</t>
  </si>
  <si>
    <t>Deeptech || Information Technology &amp; Innovation</t>
  </si>
  <si>
    <t>Balasubrahmanyam Bandaru</t>
  </si>
  <si>
    <t>AVP- Research and Development</t>
  </si>
  <si>
    <t>epigamia</t>
  </si>
  <si>
    <t>Summary
Mr. Bala is a Food Scientist and Startup Enthusiast with over 9 years of experience in the food and beverage industry. He specializes in innovating and developing new products and flavors for dairy and plant-based alternatives, with a passion for creating nutritious and consumer-focused products.
Core Expertise
Food process engineering
Flavor evaluation and application
Consumer research
Packaging and launch planning
Risk assessment and quality control
FMCG and QSR product development
Leadership, management, and communication skills
Problem-Solving Approach
Mr. Bala applies a consumer-centric, research-driven, and cross-functional collaboration approach to product development. He integrates scientific expertise with market insights to create products that balance taste, nutrition, and manufacturing efficiency, while maintaining high hygienic and quality standards.
Impactful Projects
Led R&amp;D and cross-functional coordination to launch multiple FMCG and QSR products, including yogurts, smoothies, waffles, and beverages.
Ensured best manufacturing and hygiene practices through risk assessment and quality control measures.
Consulting Style
Mr. Bala’s consulting style is innovation-focused, collaborative, and practical. He works closely with multidisciplinary teams to translate consumer needs into scalable, market-ready products while ensuring compliance with industry standards.</t>
  </si>
  <si>
    <t>https://www.linkedin.com/in/bala-bandaru/</t>
  </si>
  <si>
    <t>balumahati@gmail.com</t>
  </si>
  <si>
    <t>Kokila Roy</t>
  </si>
  <si>
    <t>Senior Director</t>
  </si>
  <si>
    <t>GEP Worldwide</t>
  </si>
  <si>
    <t>Summary Kokila brings over 20 years of rich and meritorious experience in technology professional services, with a strong track record of delivering enterprise-wide digital transformation programs across multiple geographies and industries. Known for her financial and analytical acumen, she combines a deep appreciation of customer and employee aspirations with an entrepreneurial mindset to consistently drive aggressive business growth. Core Expertise Digital Transformation Strategy &amp; Execution Enterprise Portfolio Governance &amp; Risk Mitigation ERP Implementation &amp; Global Program Management Account Growth, Optimization &amp; Value Proposition Design Stakeholder &amp; Customer Engagement across B2B industries Problem-Solving Approach Kokila focuses on aligning technology-led transformation with business priorities. She leverages structured governance, rigorous risk management, and innovative value propositions to ensure sustainable outcomes. Her approach balances operational optimization with customer-centric solutions, enabling both efficiency and growth. Impactful Projects Spearheaded global digital transformation initiatives at GEP Worldwide, managing portfolios across Manufacturing, Energy, Utilities, Healthcare, Legal, and Consumer Goods. Successfully led large-scale ERP implementations in the USA, Europe, Singapore, Italy, China, and India, optimizing processes and enhancing profitability. As Project Lead at Tata Consultancy Services, delivered business-critical solutions that expanded client portfolios while reducing operational costs. Consultation Style Kokila engages in a collaborative and outcome-focused manner. She empowers teams through coaching and constructive critique, while maintaining a strong focus on strategic visioning and stakeholder alignment. She adapts her mentorship style based on the unique challenges of founders and businesses, ensuring actionable insights and long-term impact.</t>
  </si>
  <si>
    <t>https://www.linkedin.com/in/kokilaroy/</t>
  </si>
  <si>
    <t>kokilag6@gmail.com</t>
  </si>
  <si>
    <t>Supply chain management || IT Consulting</t>
  </si>
  <si>
    <t>Software &amp; IT Services || Fintech and Financial Services</t>
  </si>
  <si>
    <t>Anand Raj</t>
  </si>
  <si>
    <t>Business Strategy &amp; Marketing Consultant</t>
  </si>
  <si>
    <t>TanishkaS Consulting Group</t>
  </si>
  <si>
    <t>Summary Anand is a seasoned leader with over two decades of expertise in marketing, sales, and business strategy, spanning B2B, B2C, and B2G sectors. He brings a results-driven, consultative approach to driving sustainable growth, with experience across strategic market expansion, channel development, institutional sales, and cross-sector consulting. An alumnus of IIM Calcutta, Anand also holds certifications in Digital Marketing, Product Management, and Agile Practices, enabling him to stay at the forefront of industry shifts. Core Expertise Strategic Marketing &amp; Business Growth Market Expansion &amp; Channel Development Institutional &amp; Government Sales (B2G) Product Lifecycle Management &amp; Portfolio Strategy P&amp;L Ownership &amp; Sales Acceleration Cross-Sector Consulting (Healthcare, Biotech, Lighting, Consumer Goods) Problem-Solving Approach Anand takes a holistic, ecosystem-building perspective to solving business challenges. He focuses on aligning business goals with market realities, leveraging deep industry insights to design tailored growth strategies. His approach combines structured planning, resource optimization, and agility, ensuring businesses can adapt to changing market dynamics while maintaining momentum. Impactful Projects Founded TanishkaS Consulting Group (TCG), supporting organizations in marketing strategy, product lifecycle management, and business growth consulting. Led complete P&amp;L and market expansion at Mylin Biotech, driving digital and strategic marketing across North and Eastern India. Developed UV product marketing for OSRAM, coordinating strategy across India, APAC, and ASEAN for cinema, medical, and industrial lighting. Drove institutional sales, workspace consulting, and key account growth at Godrej &amp; Boyce. Handled diversified product portfolios at Bayer Pharmaceuticals across Eastern India and adjoining countries. ﻿Consultation Style Anand’s consultation style is collaborative, practical, and impact-oriented. He thrives on forging high-impact partnerships, mentoring future leaders, and serving on advisory boards. His guidance is deeply customized to organizational needs—whether scaling growth initiatives, navigating market entry, or reshaping sales and marketing strategies. With integrity and insight, he ensures businesses achieve measurable outcomes while building long-term resilience.</t>
  </si>
  <si>
    <t>https://www.linkedin.com/in/anandraj73/</t>
  </si>
  <si>
    <t>anandraj_iimc@yahoo.co.in</t>
  </si>
  <si>
    <t>Pharmaceuticals, Healthcare and Wellness || Consumer Products</t>
  </si>
  <si>
    <t>Ajay Lulla</t>
  </si>
  <si>
    <t>Sr Vice President - Customer Experience</t>
  </si>
  <si>
    <t>The Souled Store</t>
  </si>
  <si>
    <t>Summary: With over 24 years of cross-industry experience spanning telecom, SaaS, and D2C retail, Ajay Lulla is a seasoned Customer Experience (CX) leader. Currently serving as SVP – Customer Experience at The Souled Store, he leads CX, Legal, Retail Training, and Automation for 1.5L+ monthly orders and 50+ stores. Ajay is known for scaling large operations, driving customer-first frameworks, and delivering measurable business outcomes across geographies. Core Expertise: Customer Success Strategy &amp; Retention Large-Scale Operations (750+ FTE) &amp; P&amp;L Management (up to $20M) VOC Programs &amp; NPS Improvement SaaS and D2C Growth Enablement Automation, Process Optimization &amp; Cost Efficiency Investor &amp; Stakeholder Relations Problem-Solving Approach: Ajay takes a founder-first and customer-first mindset, combining operational depth with financial acumen to solve complex challenges. He is adept at transforming customer journeys, improving time-to-value, and aligning service quality with growth objectives. His approach blends data-driven insights, cross-functional collaboration, and scalable frameworks to ensure long-term sustainability. Impactful Projects: Improved NPS by 14 points through structured VOC programs. Reduced Time-to-Value from 117 to 72 days for SaaS implementations. Delivered 10%+ cost savings while managing a $20M P&amp;L at Haptik. Scaled CX operations from 100 to 750+ FTE across multiple geographies. Led transformation at Sterling to achieve &lt;24hr TAT through automation. ﻿Consultation Style: Ajay thrives on working with early-stage founders to help them build customer-first systems from Day 1. His mentorship style is hands-on yet consultative—he partners closely with teams to identify pain points, co-design scalable solutions, and instill operational discipline. He also emphasizes knowledge sharing, empowering leaders to sustain improvements long after the engagement.</t>
  </si>
  <si>
    <t>https://www.linkedin.com/in/ajaylulla/</t>
  </si>
  <si>
    <t>ajaylulla@icloud.com</t>
  </si>
  <si>
    <t>E-commerce Management || Customer relationship management</t>
  </si>
  <si>
    <t>Retail &amp; e-Commerce || Telecommunications</t>
  </si>
  <si>
    <t>Anjeli Singh</t>
  </si>
  <si>
    <t>Summary Anjeli Singh is the Founder of Hureo and Co-founder of Micorza, with deep expertise in user research, product strategy, and AI-driven customer insights. She has partnered with startups, unicorns, Fortune-100 corporations, and global organizations in India and the US to build user-centric products that drive measurable business outcomes. Core Expertise User Experience (UX) Research &amp; Design Thinking Product-Market Fit &amp; Product Strategy AI-driven Customer Insight Platforms Customer Empathy &amp; Retention Strategies Cross-cultural and multilingual research execution Problem-Solving Approach Anjeli leverages a research-first, customer empathy–driven methodology to uncover the “why” behind customer behavior. She integrates qualitative insights with technology (AI &amp; DevOps) to help companies refine features, adopt new technologies, and scale customer-focused solutions effectively. Impactful Projects Micorza (Co-founder): AI platform that makes customer empathy scalable by deriving actionable insights from fragmented customer feedback, enabling businesses to drive trust, transparency, and retention. Hureo (Founder): Scaled into a leading UX research agency, conducting research for 100+ businesses across multiple markets and languages. Partnered with unicorns like Glance, MakeMyTrip, and Swiggy; industry leaders such as Tata Industries, Reliance, and Aditya Birla; and global organizations including Wikimedia Foundation, Yara, and Deutsche Welle (DW). Enabled digital adoption across diverse industries—factories, agriculture, and education—by ensuring that technology solutions remained user-centric. Consultation Style Anjeli brings a collaborative and insight-driven consultation style, helping founders and businesses bridge the gap between customer feedback and product innovation. She emphasizes practical, research-backed strategies, guiding companies to achieve Product-Market Fit and scale effectively while keeping users at the center of decision-making.</t>
  </si>
  <si>
    <t>Micorza</t>
  </si>
  <si>
    <t>https://www.linkedin.com/in/anjeli/</t>
  </si>
  <si>
    <t>anjeli@hureo.com</t>
  </si>
  <si>
    <t>Product Design || Go to Market Strategy</t>
  </si>
  <si>
    <t>Shailendrasinh Rajput</t>
  </si>
  <si>
    <t xml:space="preserve">
Food processing consultant</t>
  </si>
  <si>
    <t>Shailen Food Tech Solutions</t>
  </si>
  <si>
    <t>Summary Shailendra is a seasoned consultant with over two decades of hands-on experience across the food processing and agro-based sectors. He brings end-to-end expertise spanning raw material sourcing, product development, plant design, process optimization, equipment selection, and distribution. His work focuses on translating operational insights into scalable industrial solutions that deliver quality, compliance, and cost efficiency. Core Expertise Product development (F&amp;V, bakery, confectionery, beverages, spices) Process optimization and capacity planning Food plant design &amp; layout (HACCP/BRC/GMP-aligned) Equipment evaluation, selection and procurement Production commissioning and operations ramp-up Quality assurance, food safety, and regulatory compliance Supply chain design for raw materials and finished goods Workforce training and SOP development Problem-Solving Approach Shailendra adopts a collaborative, diagnostics-driven approach: he immerses in client operations to map current-state processes, identifies bottlenecks using data and shop-floor observations, and designs pragmatic interventions (layout changes, process controls, equipment upgrades, SOPs) that maximize yield and minimize operating cost. Solutions are prioritized for quick wins first, then scaled for long-term resilience. Impactful Projects (Representative) Designed and commissioned multiple mid-scale fruit &amp; vegetable processing lines (canning, dehydration, freezing) — from concept to commercial production. Optimized bakery and confectionery production processes, improving throughput and reducing scrap. Led beverage production line upgrades to improve consistency and reduce downtime. Advised spice-processing units on standardized blending, packaging, and shelf-life extension techniques. Supported end-to-end plant setup: vendor evaluation, equipment procurement, installation supervision, and staff training. Delivered operator training and SOPs that improved OEE and ensured regulatory compliance. Consultation Style Practical and hands-on: Shailendra combines site visits, process audits, and workshops with remote support for vendor selection and commissioning. He prefers collaborative engagements that include knowledge transfer — building client capabilities through training, checklists, and documented SOPs. He can work as a strategic advisor for project design or as a turnkey project lead for plant implementation. Industries Covered Fruit &amp; Vegetable Processing (canning, dehydration, freezing) Bakery &amp; Confectionery Beverage Production Spices &amp; Seasonings Agro-processing and ancillary sectors</t>
  </si>
  <si>
    <t>https://www.linkedin.com/in/shailendrasinh-rajput-771a4518/</t>
  </si>
  <si>
    <t>shailenfoodtech@gmail.com</t>
  </si>
  <si>
    <t>Supply Chain Management || Entrepreneurship Coaching</t>
  </si>
  <si>
    <t>Vijay Singh</t>
  </si>
  <si>
    <t>Shunya Agritech</t>
  </si>
  <si>
    <t>Serial entrepreneur and business leader with extensive experience building and scaling ventures across commerce, technology, and retail sectors. Founded and expanded Sercon, a marketing services agency, across Asia, and served as CEO &amp; Managing Director of AaramShop, a successful e-commerce platform (2011-2017). Recently led JioMart at Reliance Jio Infocomm as Business Leader (2017-2023), working on hybrid commerce platforms serving millions of Indian merchants. Experienced entrepreneur with deep expertise in business model innovation, organizational scaling, and e-commerce operations. Skilled in driving large-scale operations, strategic business development, and creating marketplace platforms that connect merchants with customers. Known for implementing innovative approaches to business challenges and mentoring aspiring entrepreneurs on startup strategy and operations.
Skills: Entrepreneurship, E-commerce Platform Development, Business Model Innovation, Marketplace Operations, Strategic Business Development, Organizational Leadership, Hybrid Commerce, Merchant Relations, Startup Mentorship, Operations Management, Scaling Strategies, Digital Commerce, Team Building, Go-to-Market Strategy, Business Growth</t>
  </si>
  <si>
    <t>https://www.linkedin.com/in/vijaysingh1/</t>
  </si>
  <si>
    <t>contact_vijay@hotmail.com</t>
  </si>
  <si>
    <t>Product Design || Data Analytics</t>
  </si>
  <si>
    <t>Arun Sharma</t>
  </si>
  <si>
    <t xml:space="preserve">Global Operations &amp; Supply Chain Leader </t>
  </si>
  <si>
    <t>The Kraft Heinz Company</t>
  </si>
  <si>
    <t>Global business leader and operations expert with 18+ years of experience driving transformation across manufacturing, supply chain, procurement, and operations. Specialized skills in global operations management, supply chain optimization, and organizational transformation. Experienced in managing complex business operations across multiple international markets. Known for implementing best practices in operational efficiency, cost optimization, and process improvement. Strong track record in leading large-scale operations teams and driving strategic initiatives that enhance business performance. Expertise includes supply chain management, procurement strategy, manufacturing operations, and operational excellence. Brings strategic vision to operational challenges while maintaining focus on continuous improvement and business growth.
Skills: Global Operations, Supply Chain Management, Procurement Strategy, Manufacturing Operations, Organizational Transformation, Operational Excellence, Cost Optimization, Process Improvement, Team Leadership, Strategic Planning, Business Development, Vendor Management, Project Management, Operations Analysis, International Business</t>
  </si>
  <si>
    <t>https://www.linkedin.com/in/arunsharma-globalops/</t>
  </si>
  <si>
    <t>arunkkhandelwal@gmail.com</t>
  </si>
  <si>
    <t>Supply Chain Management || Data Analytics</t>
  </si>
  <si>
    <t>Sandeep Tripathi</t>
  </si>
  <si>
    <t>Founder &amp; CEO of Birbal AI</t>
  </si>
  <si>
    <t>Birbal AI</t>
  </si>
  <si>
    <t>Founder and CEO of Birbal AI, IoT &amp; XaaS, Sandeep is an innovative entrepreneur and mentor with deep expertise in AI, IoT, and SaaS solutions. He brings experience in scaling technology platforms, product development, and fostering mission-driven teams while guiding early-stage startups through strategic growth. Recognized for his excellent communication abilities and talent for mentoring entrepreneurs and students, he combines technical innovation with a focus on sustainable business growth and social impact.
Skills: AI &amp; Machine Learning, IoT Solutions, SaaS Platform Development, Startup Scaling, Product Management, Business Strategy, Team Leadership, Financial Innovation, Fintech, EdTech, MedTech, Strategic Advisory</t>
  </si>
  <si>
    <t>https://www.linkedin.com/in/sandeep-tripathi-birbal/</t>
  </si>
  <si>
    <t>sandeep.tripathi@birbalai.org</t>
  </si>
  <si>
    <t>Business Model Development || IT Consulting</t>
  </si>
  <si>
    <t>Deeptech || Software and IT Sevices</t>
  </si>
  <si>
    <t>Dr. Rajib Kumar Roy</t>
  </si>
  <si>
    <t xml:space="preserve">CEO </t>
  </si>
  <si>
    <t>RBC</t>
  </si>
  <si>
    <t>A seasoned IT industry veteran with over 24 years of experience, Dr. Roy is a startup mentor and business advisor at the forefront of innovation and entrepreneurship. With expertise in global transformation, business modeling, and CRM, he guides entrepreneurs through complex business strategies while leveraging competencies in process improvement and business coaching. Currently mentoring startups through Wadhwani Foundation, TiE's TGS100 program, and Delhi Angels Den, he specializes in identifying operational bottlenecks, structuring winning business models, and helping ventures scale efficiently in competitive markets.
Skills: Business Mentorship, Startup Coaching, Business Modeling, Global Transformation, Process Improvement, CRM Strategy, Product Engineering Advisory, Program Management, Team Building, Operational Strategy, Market Analysis, Business Restructuring</t>
  </si>
  <si>
    <t>https://www.linkedin.com/in/founderroy</t>
  </si>
  <si>
    <t>racehorseind@gmail.com</t>
  </si>
  <si>
    <t>Growth Strategy Formulation || Growth Strategy Formulation || Software Development</t>
  </si>
  <si>
    <t>Technology &amp; Innovation || Technology and Innovation</t>
  </si>
  <si>
    <t>Aditya Sarin</t>
  </si>
  <si>
    <t>Startup Strategic Advisor</t>
  </si>
  <si>
    <t xml:space="preserve">Bizowl </t>
  </si>
  <si>
    <t>An innovation facilitator and startup consultant with over 12 years of experience in India's startup and incubation ecosystem, Aditya specializes in enabling early-stage ventures through strategic mentoring and program management. With a background in biotechnology and bioelectronics R&amp;D from premier institutions like AIIMS and IIT Delhi, he has transitioned into leading high-impact incubation initiatives across biotech, health tech, and emerging sectors. He excels at designing startup curricula, facilitating go-to-market strategies, managing R&amp;D resources, and bridging academia-industry collaborations to nurture the next generation of innovators from ideation to scale-up.
Skills: Startup Incubation, Mentorship &amp; Coaching, Program Management, Biotech &amp; HealthTech, Curriculum Design, Go-to-Market Strategy, Fundraising Support, R&amp;D Lab Management, Portfolio Management, Student Entrepreneurship, Innovation Strategy, Stakeholder Engagement</t>
  </si>
  <si>
    <t>https://www.linkedin.com/in/aditya-sarin-30124414a/</t>
  </si>
  <si>
    <t>sarin.bionest@gmail.com</t>
  </si>
  <si>
    <t>Research and Development || Product Design</t>
  </si>
  <si>
    <t>Pharmaceuticals, Healthcare and Wellness || Environment, Sustainability &amp; Governance (ESG)</t>
  </si>
  <si>
    <t>Rohit Duggal</t>
  </si>
  <si>
    <t>Co-founder and Director</t>
  </si>
  <si>
    <t>ConnectHR</t>
  </si>
  <si>
    <t>Rohit D. is a Strategic HR and Talent Acquisition leader with over 20 years of experience delivering workforce solutions across the APAC region. He specializes in scaling talent pipelines, optimizing HR operations, and driving measurable business outcomes, including significant hiring growth and cost savings.
As Co-Founder &amp; Director of Connect HR, Rohit focuses on building high-performing teams and fostering inclusive workplace cultures. His expertise spans talent acquisition, HR operations, and leadership development, enabling organizations to scale efficiently while aligning people strategy with business goals.
Skillset
Talent Acquisition &amp; Workforce Planning
HR Operations &amp; Process Optimization
Leadership Development
Strategic HR Management
Scaling Teams Across APAC
Cost Optimization &amp; Operational Efficiency</t>
  </si>
  <si>
    <t>https://www.linkedin.com/in/rohitduggal/</t>
  </si>
  <si>
    <t>duggal.rohit@gmail.com</t>
  </si>
  <si>
    <t>Leadership Coaching</t>
  </si>
  <si>
    <t>Sagar Chandni</t>
  </si>
  <si>
    <t>Informed Leadership Catalyst</t>
  </si>
  <si>
    <t>Virtual Global Leadership Community  &amp; the Enabler</t>
  </si>
  <si>
    <t>An accomplished entrepreneur and leadership development specialist with 8+ years of experience bridging the gap between marketplace demands and human needs in the startup ecosystem. As former Director at Centre for Incubation and Business Acceleration and 91springboard, Sagar has mentored 150+ entrepreneurs and launched 30+ impactful initiatives including workshops and mentorship sessions. He specializes in coaching founders on go-to-market strategies, product development, business strategy, and building inclusive workplaces. Currently mentoring through Startup India, Wadhwani Foundation, and Startupbootcamp, he helps emerging businesses optimize growth, foster informed leadership, and navigate the 0-to-1 journey with actionable strategies.
Skills: Startup Mentorship, Leadership Coaching, Business Strategy, Go-to-Market, Product Development, Ecosystem Building, Community Management, Startup Incubation, Sales Enablement, Founder Advisory, Distributed Leadership, Organizational Development</t>
  </si>
  <si>
    <t>https://www.linkedin.com/in/sagarchandni/</t>
  </si>
  <si>
    <t>Customer Relationship Management || Go to Market Strategy || International Market Analysis || Pitch coaching || Process Optimization || Public speaking || Social Media Marketing || Strategic Planning || Training &amp; Development || Customer Relationship Management || Go to Market Strategy || International Market Analysis || Pitch coaching || Process Optimization || Public speaking || Social Media Marketing || Strategic Planning || Training &amp; Development || Customer Relationship Management || Go to Market Strategy || International Market Analysis || Pitch coaching || Process Optimization || Public speaking || Social Media Marketing || Strategic Planning || Training &amp; Development || Customer Relationship Management || Go to Market Strategy || International Market Analysis || Pitch coaching || Process Optimization || Public speaking || Social Media Marketing || Strategic Planning || Training &amp; Development || Customer Relationship Management || Go to Market Strategy || International Market Analysis || Pitch coaching || Process Optimization || Public speaking || Social Media Marketing || Strategic Planning || Training &amp; Development || Customer Relationship Management || Go to Market Strategy || International Market Analysis || Pitch coaching || Process Optimization || Public speaking || Social Media Marketing || Strategic Planning || Training &amp; Development || Product Management || Go to Market Strategy</t>
  </si>
  <si>
    <t>AI, Big Data &amp; Analytics || AI, Big Data &amp; Analytics || AI, Big Data &amp; Analytics || AI, Big Data &amp; Analytics || AI, Big Data &amp; Analytics || AI, Big Data &amp; Analytics || AI, Big Data &amp; Analytics || AI, Big Data &amp; Analytics || AI, Big Data &amp; Analytics || Consumer Products || Consumer Products || Consumer Products || Consumer Products || Consumer Products || Consumer Products || Consumer Products || Consumer Products || Consumer Products || Education &amp; Training || Education &amp; Training || Education &amp; Training || Education &amp; Training || Education &amp; Training || Education &amp; Training || Education &amp; Training || Education &amp; Training || Education &amp; Training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Professional &amp; Business Services || Retail &amp; e-Commerce || Retail &amp; e-Commerce || Retail &amp; e-Commerce || Retail &amp; e-Commerce || Retail &amp; e-Commerce || Retail &amp; e-Commerce || Retail &amp; e-Commerce || Retail &amp; e-Commerce || Retail &amp; e-Commerce || Tourism &amp; Hospitality || Tourism &amp; Hospitality || Tourism &amp; Hospitality || Tourism &amp; Hospitality || Tourism &amp; Hospitality || Tourism &amp; Hospitality || Tourism &amp; Hospitality || Tourism &amp; Hospitality || Tourism &amp; Hospitality || Education &amp; Training</t>
  </si>
  <si>
    <t>Anand Kannan</t>
  </si>
  <si>
    <t>Independent Director</t>
  </si>
  <si>
    <t>An innovation evangelist and versatile business leader with 25 years of cross-sector experience spanning Education, Marketing, Media, Civil Engineering, Health Tech, and AgriTech. As a Certified Independent Director (IICA) and CEO of Avas Digitech, Anand specializes in innovation management and startup ecosystem development through his platform Smaarket, which connects founders with funders and technology buyers. He actively mentors early-stage startups through Wadhwani Foundation, IIT Mandi iHub, and various incubation centers, guiding ventures through their journey from ideation to scale-up while emphasizing sustainable, purpose-driven entrepreneurship over purely financial metrics.
Skills: Innovation Management, Startup Coaching, Business Strategy, Ecosystem Development, Cross-Sector Leadership, Independent Directorship, Corporate Governance, Mentor Advisory, Health Tech, AgriTech, Funding &amp; Investor Relations, Go-to-Market Strategy</t>
  </si>
  <si>
    <t>https://www.linkedin.com/in/anand-kannan-24138b20a/</t>
  </si>
  <si>
    <t>anand@ifiabharat.com</t>
  </si>
  <si>
    <t>Go to Market Strategy || Marketing || Go to Market Strategy || Marketing || Go to Market Strategy || Marketing || Go to Market Strategy || Marketing || Go to Market Strategy || Marketing || Go to Market Strategy || Marketing || Entrepreneurship Coaching || Marketing &amp; Branding</t>
  </si>
  <si>
    <t>Agriculture &amp; Food Processing || Agriculture &amp; Food Processing || Defence &amp; Public Safety || Defence &amp; Public Safety || Pharmaceuticals, Healthcare and Wellness || Pharmaceuticals, Healthcare and Wellness || Agriculture &amp; Food Processing || Agriculture &amp; Food Processing || Defence &amp; Public Safety || Defence &amp; Public Safety || Pharmaceuticals, Healthcare and Wellness || Pharmaceuticals, Healthcare and Wellness || Education &amp; Training</t>
  </si>
  <si>
    <t>Ankur C</t>
  </si>
  <si>
    <t>Supply Chain Management</t>
  </si>
  <si>
    <t>Vinay Kumar</t>
  </si>
  <si>
    <t>Manoj G</t>
  </si>
  <si>
    <t>Abhishek G</t>
  </si>
  <si>
    <t>Rajesh C</t>
  </si>
  <si>
    <t>Purushotham B</t>
  </si>
  <si>
    <t>Abhinav N</t>
  </si>
  <si>
    <t>G Manikandan C</t>
  </si>
  <si>
    <t>Nitin Dumasia</t>
  </si>
  <si>
    <t>Surat</t>
  </si>
  <si>
    <t>Lakhbeer B</t>
  </si>
  <si>
    <t>Belwadi</t>
  </si>
  <si>
    <t>Manoj A</t>
  </si>
  <si>
    <t>Jithesh Jayakumar</t>
  </si>
  <si>
    <t>Thammaiah B</t>
  </si>
  <si>
    <t>Venkatesh N</t>
  </si>
  <si>
    <t>Gajanan P</t>
  </si>
  <si>
    <t>Dnyaneshwar P</t>
  </si>
  <si>
    <t>Bhagyashree P</t>
  </si>
  <si>
    <t>Sonali P</t>
  </si>
  <si>
    <t>Shabina N</t>
  </si>
  <si>
    <t>Prashant P</t>
  </si>
  <si>
    <t>Manivannan C</t>
  </si>
  <si>
    <t>Subrata B</t>
  </si>
  <si>
    <t>Nandakishore P</t>
  </si>
  <si>
    <t>Rohhit G</t>
  </si>
  <si>
    <t>Vinayak Siddhanti B</t>
  </si>
  <si>
    <t>Sanjay G</t>
  </si>
  <si>
    <t>Sanjeev P</t>
  </si>
  <si>
    <t>Bharathi Athinarayanan</t>
  </si>
  <si>
    <t>Agrowvitz</t>
  </si>
  <si>
    <t>Summary: Bharathi is a seasoned technology enabler and AI pioneer with over 20 years of experience driving digital transformation through Artificial Intelligence, Intelligent Automation, and Corporate Innovation. He has successfully advised and mentored CXOs and leadership teams on leveraging emerging technologies to achieve strategic business goals. Core Expertise: His expertise spans artificial intelligence, computer vision, machine learning, intelligent automation, corporate strategy, innovation management, patent development, prototyping, and project execution. With 140+ professional certifications and three nanodegrees (two in AI and one in Front-End Web Development), Bharathi combines deep technical knowledge with strategic foresight. Problem-Solving Approach: Bharathi takes a holistic and practical approach to solving business and technology challenges. He focuses on aligning AI and automation solutions with organizational objectives, ensuring measurable outcomes in efficiency, scalability, and innovation. His mentoring style emphasizes hands-on learning, empowering teams to adopt a problem-solving mindset grounded in data and experimentation. Impactful Projects: Throughout his career, Bharathi has enabled large-scale digital transformations and mentored hundreds of professionals and students to master Python and automation. His work has helped organizations streamline operations, foster innovation pipelines, and enhance decision-making through AI-driven insights and intelligent systems. Consultation Style: Bharathi believes in collaborative engagement, tailoring his guidance to each organization’s maturity level and strategic needs. Whether advising executives, mentoring early-stage teams, or leading workshops, he focuses on creating actionable frameworks that drive tangible impact. Outside his professional sphere, Bharathi channels his creativity through photography — always ready to “shoot anything in sight” — and approaches each new challenge as an opportunity to innovate and inspire.</t>
  </si>
  <si>
    <t>https://www.linkedin.com/in/bharathi-a/</t>
  </si>
  <si>
    <t>a.bharathi@gmail.com</t>
  </si>
  <si>
    <t>AI and Tech Arch.</t>
  </si>
  <si>
    <t>Go to Market Strategy</t>
  </si>
  <si>
    <t>Nitu Joseph</t>
  </si>
  <si>
    <t>Co founder and CTO</t>
  </si>
  <si>
    <t>Declutter Solutions Private Limited</t>
  </si>
  <si>
    <t>Founder and CEO of Declutter Solutions, a Coimbatore-based bio-refinery startup transforming fishery waste into high-value biomaterials like Aquacol marine collagen. Nitu is a sustainability innovator passionate about environmental resilience and circular economy principles, using patent-pending NADES-based extraction technology to create zero-waste solutions. Beyond biomaterials, she establishes decentralized waste facilities, conducts sustainability training, and creates green livelihoods for fisherfolk and waste-picker communities. Recognized by multiple sustainability awards, BIRAC, TANSEED 5.0, and Earth On Foundation, she exemplifies how innovation can balance profitability with environmental purpose.
Skills: Circular Economy, Sustainability &amp; Waste Management, Bio-refinery Technology, Biomaterials Development, Community Engagement, Environmental Innovation, Green Livelihoods, Ecosystem Building, Sustainable Business Models, Social Impact, Patent Development, Regulatory Navigation</t>
  </si>
  <si>
    <t>https://www.linkedin.com/in/nitujoseph/?utm_source=share_via&amp;utm_content=profile&amp;utm_medium=member_android</t>
  </si>
  <si>
    <t>nitujoseph@zoho.com</t>
  </si>
  <si>
    <t>Business Model Development || Research and Development</t>
  </si>
  <si>
    <t>Pharmaceuticals, Healthcare and Wellness</t>
  </si>
  <si>
    <t>Arun Raaj Manickaraj_x000D_</t>
  </si>
  <si>
    <t>AVP - Investments</t>
  </si>
  <si>
    <t>AIC Raise Business Incubator and RAIN</t>
  </si>
  <si>
    <t>He specializes in startup investment, private placements, and strategic business development, supporting emerging ventures as they navigate funding and long-term growth. With a strong foundation in investment banking, he assesses opportunities, structures deals, and guides start-ups through critical financial decisions. His expertise also extends to marketing and branding, enabling ventures to position themselves effectively and strengthen their market presence. He brings a balanced blend of analytical insight and strategic creativity to drive meaningful results across every stage of a startup’s journey.</t>
  </si>
  <si>
    <t>https://www.linkedin.com/in/arunraajmanickaraj</t>
  </si>
  <si>
    <t>arunraajmanickaraj@zohomail.in</t>
  </si>
  <si>
    <t>Ignite, LiftOff</t>
  </si>
  <si>
    <t>Investment Banking || Branding and Marketing</t>
  </si>
  <si>
    <t>Abhishek Tiwari</t>
  </si>
  <si>
    <t xml:space="preserve">
Founder &amp; CEO</t>
  </si>
  <si>
    <t>Venture Mozart</t>
  </si>
  <si>
    <t>Summary
Abhishek Tiwari is a seasoned Venture Builder, Startup Thought Leader, and Certified Independent Director with 22+ years of global experience across India, Africa, Europe, and the Middle East. His career spans work with governments, global MNCs, SMEs, and early-stage startups. At Venture Mozart, he mentors entrepreneurs and guides founders in building scalable ventures while helping corporate professionals transition into impactful side-hustles and entrepreneurial paths.
Core Expertise
Startup ecosystem development &amp; venture building
Government advisory &amp; public sector consulting
Telecom advisory (India &amp; East Africa)
Risk advisory, IT/ITeS consulting
Innovation programs &amp; entrepreneurship training
Business analysis &amp; revenue assurance
Capacity-building workshops for founders and professionals
Profile (1)
3. Problem-Solving Approach
Abhishek follows a practical, structured, and founder-first approach that blends industry experience with strategic frameworks. His methodology includes:
Deep-dive diagnosis of systemic and operational issues
Lean startup principles for rapid validation
Hands-on mentoring with actionable roadmaps
Government and regulatory understanding to solve public-sector challenges
Empowering founders with mindset, clarity, and confidence through guidance and structured mentorship sessions
4. Impactful Projects
Led Government &amp; Public Sector programs at KPMG, including advisory mandates across multiple states and ministries.
Directed large-scale transformation initiatives as Program Director in public-sector consulting.
Built and managed Telecom Advisory practices for KPMG East Africa, guiding operators across Kenya and multiple African markets.
Successfully mentored numerous early-stage founders through Venture Mozart, supporting them through venture-building frameworks.
Contributed insights to the startup and innovation ecosystem through multiple publications on innovation, digital transformation, and sustainable community solutions.
5. Consultation Style
Abhishek’s mentoring style is:
Practical and experience-led, rooted in two decades of consulting and telecom expertise
Outcome-driven, with clear steps and measurable milestones
Empathetic, understanding founders’ challenges and professional transitions
Highly structured, using lean, agile, and innovation-based frameworks
Flexible and tailored, adapting to the maturity and needs of each startup or professional he coaches</t>
  </si>
  <si>
    <t>https://www.linkedin.com/in/venturemozart/</t>
  </si>
  <si>
    <t>venturemozart@gmail.com</t>
  </si>
  <si>
    <t>Saurav Kumar</t>
  </si>
  <si>
    <t>General manager</t>
  </si>
  <si>
    <t>TBI KIET</t>
  </si>
  <si>
    <t>Summary
Saurav Kumar is an innovation leader, startup ecosystem builder, and policy strategist with extensive experience in managing national-level incubation programs. As the General Manager (CEO) at TBI–KIET, he has transformed the center into one of India’s top-performing incubators, including winning the Best Incubator in India (2022) by DST. With a multi-disciplinary academic foundation spanning Civil Engineering, Transportation Engineering, Traffic Modelling (PhD-P), and EMBA (Finance), he operates at the intersection of innovation, entrepreneurship, government partnerships, and CSR-driven impact.
His work focuses on building high-impact startup programs, enabling funding access, and strengthening innovation-driven ecosystems across India.
Core Expertise
Startup Acceleration &amp; Mentoring
Government Funding &amp; Policy Advisory (DST, MeitY, DPIIT, MSME)
CSR Strategy &amp; Program Implementation
Incubation Management &amp; Entrepreneurship Development
DPR Creation, Feasibility Studies &amp; Policy Drafting
Investor Connects &amp; Pitch Readiness
Academic–Industry Collaboration &amp; Ecosystem Partnerships
Research, IP Development &amp; Technology Commercialization
Problem-Solving Approach
Saurav follows a policy-aligned, data-driven and ecosystem-first approach to problem-solving.
His methodology includes:
Diagnosing operational and strategic gaps in startups and incubation programs
Building customized acceleration pathways based on stage, domain, and market needs
Leveraging government schemes, CSR channels, and institutional networks to unlock support
Creating structured mentorship and investor engagement funnels
Ensuring measurable outcomes through monitoring, implementation committees, and performance frameworks
Impactful Projects
He has successfully led, secured, and executed several prestigious government and CSR-backed initiatives, including:
DST-NIMAT ETP (2015–ongoing) – Entrepreneurship Training Programs
NewGen IEDC (DST) – Innovation development for students
NIDHI PRAYAS (Rounds 2–5) – Prototype funding for innovators
NIDHI–EIR (Rounds 2–5) – Entrepreneur-in-Residence support
TIDE 2.0 (MeitY) – Grant, EIR &amp; Scale-up programs (2021)
NIDHI Accelerator (DST, 2024)
IDEX Partner Incubator (Ministry of Defence, 2024)
Startup India Seed Fund (DPIIT, 2024)
MoMSME Business Incubator (2022 &amp; 2024)
CSR collaborations with HDFC Parivartan, Mahindra &amp; Mahindra, and multiple corporate partners
These projects have enabled funding, innovation support, and structured growth for hundreds of early-stage startups.
Consultation Style
Saurav’s mentoring style combines strategic clarity, practical execution, and policy-aware guidance.
His approach is:
Founder-centric, focusing on stage-appropriate strategy
Outcome-based, driving targeted milestones such as MVP development, market access, and investor readiness
Collaborative, using cross-network introductions and institutional partnerships
Adaptive, tailoring engagement for students, early-stage founders, and growth-stage innovators
He prefers structured one-on-one sessions, pitch reviews, market-assessment discussions, and connecting founders to relevant government, corporate, or investor channels.</t>
  </si>
  <si>
    <t>https://www.linkedin.com/in/saurav-kumar-912206a8/</t>
  </si>
  <si>
    <t>saurav.kumar@kiet.edu</t>
  </si>
  <si>
    <t>90693 45557</t>
  </si>
  <si>
    <t>Dr. Surabhi Johari</t>
  </si>
  <si>
    <t>Head of Department of Biosciences</t>
  </si>
  <si>
    <t>IMS Ghaziabad (University Courses Campus)</t>
  </si>
  <si>
    <t>Summary
Dr. Surabhi Johari is a distinguished academician and researcher, currently serving as the Professor and Head of the Department of Biosciences at Ghaziabad (University Courses Campus). With 18 years of experience in teaching, research, and academic leadership, she specializes in biotechnology, computational biology, and advanced biomedical research. A Ph.D. in Biotechnology and a Gold Medalist in M.Tech from APJ Kalam University, she has established herself as a subject expert in proteomics, transcriptomics, metabolomics, and AI-enabled drug discovery.
Core Expertise
Biomedical Research &amp; Biotechnology
Proteomics, transcriptomics, metabolomics, computational biology
AI-Driven Drug Discovery
Algorithm development, drug design using machine learning
Academic Leadership
Departmental administration, curriculum development, research supervision
Healthcare Data Science
Proteome-based algorithm development for healthcare innovation
Research &amp; Publications
Scientific writing, patents, high-impact publications, research grants
Phytochemistry &amp; Natural Product Research
Database development, compound curation, ICMR-funded research
Problem-Solving Approach
Dr. Johari follows a data-centric, research-driven approach, combining advanced biological knowledge with computational tools. Her methodology involves:
Integrating multi-omics datasets to derive meaningful biological insights
Using machine learning and AI models to accelerate drug discovery
Applying systematic scientific validation and analytical rigor
Collaborating across disciplines to solve complex healthcare problems
Designing scalable research frameworks that support long-term innovation
Impactful Projects
AI-Based Drug Design Projects: Led multiple initiatives applying artificial intelligence to drug discovery, contributing to faster and more accurate therapeutic identification.
ICMR-Funded Phytochemical Database: Successfully developed a curated database of 3,000 phytochemicals to support drug discovery research.
Newton Fund Fellowship (Indo-UK): Selected for a prestigious fellowship on antimicrobial resistance, strengthening global collaboration in biomedical science.
Patents &amp; Publications: Authored over 40 publications, filed 5 patents (including one UK patent granted), and published two books with Taylor &amp; Francis.
Advanced Proteome Algorithms: Currently developing next-generation proteome data-driven algorithms aimed at improving healthcare diagnostics and interventions.
Consultation Style
Dr. Johari’s consultation style blends scientific precision with practical guidance. She is:
Analytical and Insight-Driven: Focused on evidence-based solutions
Collaborative: Encourages interdisciplinary dialogue and co-creation
Mentor-Oriented: Provides structured guidance to researchers and startups
Adaptive: Tailors her inputs based on the complexity and stage of each project
Innovation-Focused: Prioritizes novel, scalable, and impactful approaches in biotechnology and healthcare</t>
  </si>
  <si>
    <t>https://in.linkedin.com/in/dr-surabhi-johari-00316435</t>
  </si>
  <si>
    <t>ssurabhi.johari@gmail.com</t>
  </si>
  <si>
    <t>Pharmaceuticals, Healthcare and Wellness || Education &amp; Training</t>
  </si>
  <si>
    <t>Sudhanshu Ranjan</t>
  </si>
  <si>
    <t xml:space="preserve">Head </t>
  </si>
  <si>
    <t>Navrachna Foundation for Entrepreneurship Development - I.T.S Engineering College, Greater Noida</t>
  </si>
  <si>
    <t xml:space="preserve">Summary
Sudhanshu Ranjan is an innovation strategist and mechanical engineer with deep experience in startup incubation, manufacturing operations, and product development. With a career spanning roles in leading institutions and organizations—including OPPO India, Bundelkhand Innovation &amp; Incubation Center, and I.T.S Engineering College—he has built expertise in guiding early-stage ventures, managing incubation programs, and driving operational excellence. Currently serving as Head at Navrachna Foundation for Entrepreneurship Development (NFED), he specializes in supporting startups through structured incubation processes, government-backed programs, and entrepreneurial development. 
Core Expertise
Startup Incubation &amp; Ecosystem Development
 Managing incubation operations, onboarding entrepreneurs, program development, investor connects
Manufacturing &amp; Operations
 Lean manufacturing, production optimization, cost reduction strategies
Product Development
 New product introduction (NPI), design coordination, prototype-to-product transitions
Entrepreneurship &amp; Innovation Management
 Guiding early-stage founders, government-funded innovation projects, DST programs
Business Strategy &amp; Process Implementation
 Incubator operations, compliance, cross-functional project execution
Corporate Experience
 Floor operations, production leadership, ERP usage, team management at OPPO India
Problem-Solving Approach
Sudhanshu uses a structured and operationally grounded methodology to address challenges. His approach includes:
Identifying bottlenecks through data-backed analysis and process mapping
Applying lean and efficient manufacturing practices to optimize performance
Offering hands-on mentoring with actionable tools for startup founders
Aligning teams and stakeholders to ensure smooth project execution
Creating a supportive environment that balances discipline with innovation
 His solutions emphasize practicality, speed, and scalability, ensuring measurable outcomes for both startups and operational teams. 
Impactful Projects
Led incubation and training programs under DST, supporting idea-to-product journeys and nurturing early-stage startups.
Managed NPI and production operations at OPPO India, contributing to efficient manufacturing workflows and team coordination.
Strengthened incubation operations at Bundelkhand Innovation and Incubation Center by establishing processes for onboarding, compliance, resources, and founder support.
Co-founded Innovative Machineries Agro India Pvt. Ltd., leading product development and project management for agro-based solutions.
Played a key role in developing events, workshops, and startup support systems at I.T.S Engineering College’s incubation programs. 
Consultation Style
Sudhanshu’s mentoring and consulting style is:
Practical and Implementation-Focused: He provides step-by-step guidance grounded in real-world operations.
Founder-Centric: Tailors advice to the specific stage and needs of each startup.
Supportive and Collaborative: Works closely with founders, teams, and ecosystem partners.
Process-Oriented: Brings structure, discipline, and clarity to projects and incubation processes.
Outcome-Driven: Prioritizes measurable improvements in efficiency, growth, and product readiness.
</t>
  </si>
  <si>
    <t>https://www.linkedin.com/in/sudhanshu-ranjan-15a566105/</t>
  </si>
  <si>
    <t>Gr. Noida</t>
  </si>
  <si>
    <t>sudhanshur76@gmail.com</t>
  </si>
  <si>
    <t>Rajesh Ranjan</t>
  </si>
  <si>
    <t xml:space="preserve">
Designated Partner </t>
  </si>
  <si>
    <t>O2 Angels Network</t>
  </si>
  <si>
    <t xml:space="preserve">Summary
Rajesh Ranjan is a seasoned Investment Banker, DeepTech Angel Investor, and Co-Founder of O2 Angels Network, with over two decades of experience across Equity Capital Markets (ECM), IPO execution, investment banking, and early-stage startup investing. With a strong foundation built at global institutions such as Emkay Global, Standard Chartered Bank, UTI Securities, and BOB Capital Markets, he has played a key role in helping small and mid-size companies unlock growth capital and scale effectively.
 As an angel investor and fund partner, he is sector-agnostic with a strong interest in DeepTech, Healthcare, Consumer, and Technology-driven ventures, backing more than two dozen early-stage startups.
Core Expertise
Investment Banking &amp; Capital Markets (IPO, QIP, Buyback, ECM)
Angel Investing &amp; Venture Capital (DeepTech + Early-stage companies)
Strategic Financial Advisory for growth-stage startups
DeepTech &amp; Technology-led Innovations
Startup Fundraising &amp; Valuation Support
Corporate Finance &amp; Equity Structuring
Investor Relations &amp; Portfolio Management
Problem-Solving Approach
Rajesh focuses on bridging the gap between innovative founders and the right investment opportunities, using a structured, data-backed decision-making approach.
 His method includes:
Evaluating the scalability and capital efficiency of startup models
Advising founders on financial discipline, capital planning, and market positioning
Structuring deals that ensure long-term sustainability for both founders and investors
Leveraging his extensive banking background to simplify complex fundraising processes
Supporting companies in preparing for equity rounds, strategic exits, or public market readiness
Impactful Projects &amp; Contributions
Led multiple Equity Capital Market (ECM) transactions, enabling mid-size corporates to raise capital through QIPs, buybacks, and IPO-linked activities. 
Co-founded O2 Angels Network, building a strong portfolio of 20+ early-stage companies across India.
Advised DeepTech and emerging tech startups through O2 VC Fund, helping them scale across sectors.
Served as CFO at ZiffyHealth, contributing to financial planning and growth expansion.
Built Bihari Foods as CEO (on sabbatical), developing scalable supply-chain models for regional specialty foods.
Supported numerous founders in DeepTech, AI, FMCG, fintech, and sustainability domains.
Consultation Style
Rajesh adopts a hands-on, practical, and founder-centric mentoring style, characterized by:
Clear, actionable guidance on fundraising, valuations, and investor readiness
Deep involvement in business model refinement and go-to-market strategy
Honest and transparent feedback rooted in market realities
A flexible approach—engaging through structured calls, brainstorming sessions, and long-term advisory
Strong emphasis on empowering founders to become financially and strategically independent
</t>
  </si>
  <si>
    <t>https://www.linkedin.com/in/rraajjeesshhr/</t>
  </si>
  <si>
    <t>rajesh@o2angels.net</t>
  </si>
  <si>
    <t>Gautam Jha</t>
  </si>
  <si>
    <t>The venator Minds India Pvt Ltd</t>
  </si>
  <si>
    <t xml:space="preserve">Summary
Gautam Jha is a seasoned professional with over 17 years of experience in the marketing, communications, and startup ecosystem domains. He currently serves as Director at Venator Minds, where he drives ecosystem development, live pitching events, fundraising facilitation, and startup consulting. His background spans brand management, market research, corporate communications, and large-scale event execution, making him a strategic enabler for early and growth-stage startups.
Core Expertise
Startup Ecosystem Development: Pitch events, accelerator collaborations, founder support
Marketing &amp; Brand Strategy: Brand management, 360° communication planning, audience insights
Corporate Communications &amp; PR: Media relations, storytelling, strategic messaging
Market Research &amp; Consumer Understanding
Events &amp; Campaign Management: Live pitching events, corporate campaigns, outreach programs
Angel Investment Facilitation &amp; Fundraising Enablement
Problem-Solving Approach
Gautam combines data-backed insight with strong storytelling and communication frameworks. His approach typically includes:
Understanding the core business challenge through structured discovery
Aligning brand and business goals with market realities
Applying insight-driven strategies for marketing, positioning, and investor communication
Coaching founders on narrative building, go-to-market clarity, and pitch refinement
Ensuring execution plans are practical, measurable, and aligned with growth objectives
He brings both strategic thinking and operational execution expertise.
Impactful Projects &amp; Achievements
Led ecosystem &amp; pitching initiatives at Venator Minds, enabling multiple startups to secure funding and market visibility.
Managed high-impact marketing and communication campaigns during his tenure with Screwdriver Films, Creativizt Communications, and BRYS Advertising.
Delivered brand and outreach strategies for large corporate clients, driving measurable improvements in engagement and positioning.
Facilitated investor-startup connects and worked closely with founders on refining pitch decks, messaging, and investment readiness.
Successfully managed large-scale media, PR, and marketing operations across FMCG, Media, Real Estate, and Tech sectors.
Consultation Style
Gautam adopts a collaborative, hands-on mentoring approach:
Practical Guidance: Breaks complex issues into simple, actionable steps
Founder-Centric: Tailors guidance based on the startup’s stage, maturity, and resources
Strategic + Execution Support: Helps shape strategy and supports in implementation thinking
Flexible Engagement: Open to one-on-one conversations, virtual sessions, and structured checkpoints
Clear Communication: Known for providing straightforward, constructive, and high-clarity feedback
</t>
  </si>
  <si>
    <t>https://www.linkedin.com/in/gautaam-jhha/</t>
  </si>
  <si>
    <t>thevenatorminds@gmail.com</t>
  </si>
  <si>
    <t>yes</t>
  </si>
  <si>
    <t>Investing || Go to Market Strategy</t>
  </si>
  <si>
    <t>Ashwin  Chandrasekar</t>
  </si>
  <si>
    <t>Third Wave Coffee</t>
  </si>
  <si>
    <t xml:space="preserve">1. Summary
Ashwin Chandrasekar is a global technology and product leader with deep experience across India, Singapore, Chile, the U.S., and Canada. With a strong background in building scalable systems, leading engineering teams, and driving AI-powered product innovation, he works at the intersection of technology, business, and product strategy.
 His career spans leadership roles in consumer tech, AI services, e-commerce, retail, mobility, and cloud-native engineering. He brings a unique blend of technical depth, entrepreneurial mindset, and strategic execution. 
2. Core Expertise
Based on his portfolio and career history, Ashwin’s expertise includes:
Software Engineering Leadership &amp; Tech Strategy
AI/ML Systems, NLP, Computer Vision &amp; LLM Applications
Product Management &amp; Digital Experience Design
Cloud Architecture (GCP, Microservices, Real-time Pipelines)
Mobile App Ecosystems (Consumer + Enterprise)
E-commerce, Retail Tech, Travel Tech, Automotive Tech (Alexa Auto)
Scalable System Design &amp; Automation Frameworks
Organizational Transformation &amp; Engineering Culture Building
3. Problem-Solving Approach
Ashwin’s approach combines first-principles thinking, user-centric product framing, and rapid iteration. He begins by understanding the “why” behind a problem, architects the “how” through scalable design, and executes the “what” with accountability and clarity.
 He relies on:
Data-driven decision-making
Technical architecture mapping
Cross-functional collaboration
Continuous experimentation and automation
AI-assisted workflows for speed and efficiency
4. Impactful Projects
Some high-impact initiatives Ashwin has led include:
CTO at Third Wave Coffee: Built a modern cloud-native tech stack, CRM strategy, real-time analytics, and ERP/POS modernization to improve unit economics and customer experience. 
Alexa Auto (Amazon): Led the launch of offline music streaming and enhanced in-car voice experiences for connected vehicles. 
AI/ML Projects at Inviz AI Search: Delivered AI-powered solutions for agriculture, logistics, and enterprise automation. 
Retail Tech Transformation at ThoughtWorks: Re-architected e-commerce platforms using microservices, improving performance and conversion. 
Founder of Buybaar: Built and scaled an e-commerce business serving 5,000+ families, achieving significant YoY revenue growth. 
AI Travel App (Travafa): Designed and launched an AI-driven collaborative travel planning app on iOS/Android. 
5. Consultation Style
Ashwin’s mentoring style is structured, reflective, and highly actionable. He prefers:
Deep-dive one-on-one sessions focused on clarity and execution
Guiding founders to adopt scalable tech and product frameworks
Helping teams optimize for speed, quality, and long-term sustainability
Using storytelling and influence to drive stakeholder alignment
Blameless, collaborative, and psychologically safe problem-solving environments
</t>
  </si>
  <si>
    <t>https://www.linkedin.com/in/ashwinchandrasekar/</t>
  </si>
  <si>
    <t>ashwin@ashwinchandrasekar.com</t>
  </si>
  <si>
    <t>Product Design || Software Development</t>
  </si>
  <si>
    <t>Software &amp; IT Services || Toursim and Hospitality</t>
  </si>
  <si>
    <t>Dr. Niladri Choudhuri</t>
  </si>
  <si>
    <t>Green Computing Foundation</t>
  </si>
  <si>
    <t>Summary
Dr. Niladri Choudhuri is the Founder &amp; CEO of Xellentro Consulting Services LLP and President of the Green Computing Foundation. With 35+ years of global experience in IT delivery, consulting, sustainability, and training, he is a leading authority in Sustainable IT, Business Agility, Project &amp; Portfolio Management, and Value Stream Management. As an international author and thought leader, he has contributed extensively to shaping industry best practices and globally recognized certification frameworks.
Core Expertise
Sustainable IT &amp; Sustainable AI
Business Agility &amp; Value Stream Management
Project, Program &amp; Portfolio Management
IT Service Management (ITSM)
DevSecOps, SRE, DevOps, and Regenerative Finance-aligned Sustainable IT
Life Cycle Assessment (LCA) &amp; Net Zero Strategizing
Enterprise Tool Implementation &amp; Digital Transformation
Problem-Solving Approach
Dr. Niladri applies a data-driven, capability-model-based approach to assess organizational gaps and build scalable solutions. His methodology is rooted in:
End-to-end Life Cycle Analysis for IT and AI systems
SustainableIT Capability Model–based assessments
OKR-driven roadmaps for sustainable business transformation
Integrating sustainability within existing IT and operational frameworks
Designing practical, outcome-based professional development programs
He is known for transforming complex challenges into structured, measurable improvement initiatives.
Impactful Projects
Led SustainableIT strategy and assessment programs for Fortune 500/1000 companies across multiple regions.
Created Sustainable IT Ratings through the Green Computing Foundation — a first-of-its-kind benchmarking framework.
Co-authored and reviewed global certifications including DevSecOps, SRE, Value Stream Management, PRINCE2, PRINCE2 Agile, and ITIL4.
Directed large-scale implementations involving
ERP integrations
Custom application development
Complex data warehouse solutions
ITSM process transformations
Enterprise-wide IT Operations optimization
Developed specialized Sustainable IT training for CXOs, finance leaders, fintech startups, and technology practitioners.
Consultation Style
Dr. Niladri brings a collaborative, systems-thinking approach, tailoring his engagement to the maturity and needs of each organization. His style includes:
Hands-on strategic guidance with a focus on measurable sustainability outcomes
Holistic coaching combining technology, operations, and environmental impact perspectives
Practical, experience-based insights refined over three decades
Clear frameworks, structured assessments, and actionable roadmaps
He engages through one-on-one consulting, workshops, masterclasses, and long-term transformation partnerships.</t>
  </si>
  <si>
    <t>https://www.linkedin.com/in/niladrichoudhuri/</t>
  </si>
  <si>
    <t>niladric@greencomputingfoundation.org</t>
  </si>
  <si>
    <t>IT Consulting</t>
  </si>
  <si>
    <t>Dr. T.K. Sundara Murthy</t>
  </si>
  <si>
    <t xml:space="preserve">Former Mission Director </t>
  </si>
  <si>
    <t>ISRO</t>
  </si>
  <si>
    <t xml:space="preserve">Summary
T. K. Sundaramurthy is a distinguished space scientist with four decades of experience at the ISRO Satellite Centre, specializing in mission analysis, mission operations, and end-to-end spacecraft management. With advanced degrees in Aeronautical and Aerospace Engineering from MIT and IISc, he has played a pivotal role in India’s communication and meteorological satellite programs. His contributions span mission design, operations, international collaborations, and technology leadership, making him a respected figure in India’s space ecosystem.
Core Expertise
Satellite Mission Analysis &amp; Mission Operations
Communication &amp; Meteorological Spacecraft Management
Mission Planning, Conceptualization &amp; Turn-key Realization
Spacecraft System Design &amp; Commissioning
International Space Technology Collaboration (e.g., ASTRIUM, EUTELSAT, HYLAS)
Project, Program &amp; Operations Leadership
Space Science Outreach &amp; Education
Problem-Solving Approach
T. K. Sundaramurthy adopts a precision-oriented, system-driven, and proactive approach, grounded in deep technical analysis. He is known for:
Applying mission-level analytical rigor to solve operational and engineering challenges
Anticipating risks early and addressing them with structured mitigation frameworks
Managing high-stakes satellite operations under tight constraints
Leading cross-functional and multi-agency teams to deliver mission success
 His methodology blends engineering discipline with strategic foresight, resulting in highly reliable mission outcomes.
Impactful Projects
Major contributor to India’s first experimental communication satellite – APPLE.
Mission Director and key architect behind the design and successful commissioning of EUTELSAT W2M, a flagship Indo-European satellite project.
Led mission operations for HYLAS, an advanced communication satellite for the UK.
Held important leadership roles including Project Engineer, Project Manager, Deputy Project Director, Operations Director, and Mission Director for multiple Indian communication and meteorological satellites.
Awarded ISRO Team Excellence Award for the successful completion of W2M EUTELSAT and INSAT-3D.
Recognized with MIT Eminent Alumnus Award 2020 – Space Technology.
Represented ISRO in several international technical conferences.
Consultation Style
T. K. Sundaramurthy is known for a mentorship-first, clarity-driven, deeply educational style of engagement. He provides:
Concept-to-execution guidance in space missions
Structured technical counselling for students, researchers, and early-stage space founders
Strategic advice on satellite systems, mission operations, and space technology projects
Inspiring outreach sessions aimed at demystifying space science for broader audiences
 His interactions are practical, grounded in decades of ISRO experience, and tailored to the needs of learners and organizations.
</t>
  </si>
  <si>
    <t>https://www.linkedin.com/in/sundaramurthy-t-k-72a10382/</t>
  </si>
  <si>
    <t>kapila666@gmail.com</t>
  </si>
  <si>
    <t>Spacetech</t>
  </si>
  <si>
    <t>Mittu Tigi</t>
  </si>
  <si>
    <t>Merstra Foundation</t>
  </si>
  <si>
    <t>Mittu Tigi brings over 10 years of dedicated experience in nurturing startups, understanding their unique challenges, and contributing to their growth strategies in India. With a keen interest in fostering responsible entrepreneurship, Mittu believes in its power to address and solve the nation's pressing problems.
In addition to spearheading entrepreneurial endeavors, Mittu has amassed more than 10 years of experience in corporate communications, excelling as a Graphic Designer, Digital Media Marketer, and Brand Strategy Consultant. Mittu's passion for Communication Design, Digital Media Marketing, and Branding is evident in their innovative approach to solving complex marketing challenges and building resilient brand identities.
Through various leadership roles, including CEO at AIC IIITK, Director at Merstra Foundation, and State Chapter Lead at Headstart Network Foundation, Mittu has demonstrated a commitment to empowering the next generation of entrepreneurs. As a Visiting Faculty at XIME Kochi and a participant in the transformative entrepreneurial movement - Jagriti Yatra, Mittu shares insights and knowledge to inspire and educate future leaders in the entrepreneurial spheres.</t>
  </si>
  <si>
    <t>https://www.linkedin.com/in/mittutigi/</t>
  </si>
  <si>
    <t>Kerala</t>
  </si>
  <si>
    <t>mail@mittutigi.com</t>
  </si>
  <si>
    <t>Marketing &amp; Branding || GTM, Pitchdeck review and financial planning</t>
  </si>
  <si>
    <t>Brand Strategy</t>
  </si>
  <si>
    <t>Amit Dubey</t>
  </si>
  <si>
    <t>Business Strategies Director</t>
  </si>
  <si>
    <t>Vectors Group</t>
  </si>
  <si>
    <t>Summary
Amit Dubey is a Business Strategies Director at Vectors Group, specializing in nonprofit growth, strategic planning, and AI-enabled transformation. With a diverse background spanning construction, training, business development, and nonprofit consulting, he has built a global career that bridges operational execution with strategic impact. Amit has secured over $3M in grant funding, trained hundreds of professionals, and helped organizations streamline strategy, improve donor engagement, and strengthen digital capacity. He is also an international author and a recognized “Top 10 Visionary Leader Under 35.”
Core Expertise
Nonprofit Strategy &amp; Capacity Building
Grant Writing, Fundraising &amp; Growth Consulting
AI Adoption &amp; Digital Transformation for Nonprofits
Strategic Planning &amp; Business Roadmapping
Personal Branding &amp; LinkedIn Authority Building
Sales Funnel Optimization &amp; Organizational Storytelling
Leadership Development &amp; Career Coaching
Problem-Solving Approach
Amit applies a systems-thinking approach rooted in his early engineering and infrastructure experience. He specializes in diagnosing organizational challenges—such as funding scarcity, stakeholder misalignment, or inefficient processes—and translating them into structured, practical strategies. His methodology combines data-driven insights, AI tools, storytelling frameworks, and long-term planning to help nonprofits and mission-driven organizations build clarity, operational consistency, and sustainable growth.
Impactful Projects
$3M+ grant funding secured across Canada, India, and the U.S. for multiple nonprofit partners.
Led strategic initiatives for India’s largest stadium infrastructure projects (2018–2020).
Delivered high-impact workshops on strategy, AI integration, funding, leadership, and career development for institutions such as Amity University, DU, MRIIRS, and DBU.
Trained 3,000+ professionals in the construction and safety sector during his tenure at ICLM.
Authored LinkedIn Passive Income 2024: A Practical Guide, strengthening his position as a thought leader.
Awarded the TTC Excellence Award (2025) and listed among the Top 10 Visionary Leaders Under 35 (2024).
Consultation Style
Amit takes a structured yet approachable mentoring style focused on clarity, actionable steps, and measurable outcomes. He tailors his guidance based on each organization’s capacity, growth stage, and sector-specific needs. Whether consulting a nonprofit, mentoring a founder, or coaching a student, he emphasizes practical execution, narrative building, and long-term capability development. His sessions typically blend strategic analysis, hands-on guidance, and supportive coaching to help clients move from confusion to clarity and from potential to performance.</t>
  </si>
  <si>
    <t>https://www.linkedin.com/in/amit-dubey-consultant/</t>
  </si>
  <si>
    <t>ottawa</t>
  </si>
  <si>
    <t>amitdubey@vectorsgroup.com</t>
  </si>
  <si>
    <t>Investing</t>
  </si>
  <si>
    <t>Himanshu Joshi2</t>
  </si>
  <si>
    <t>NITI AYOG</t>
  </si>
  <si>
    <t>Summary
Himanshu is a Strategic Thought Leader with 17+ years of experience across public policy, consulting, the startup ecosystem, and industry. He currently serves as a Program Lead at Atal Innovation Mission (AIM), NITI Aayog—India’s apex public policy think tank—where he drives multiple national programs aimed at strengthening the country’s innovation and entrepreneurship ecosystem.
Core Expertise
Public Policy &amp; Innovation Ecosystem Development
Digital &amp; Analytics-Led Transformation
Go-to-Market Strategy &amp; Customer Experience
Business Strategy, PMO &amp; Change Management
Rural Marketing &amp; Key Account Management
Startup Scaling (InsureTech/HealthTech)
Sales, Customer Support &amp; P&amp;L Management
Problem-Solving Approach
Himanshu combines policy expertise with deep consulting and industry experience to develop scalable, outcome-oriented solutions. His approach integrates data-driven insights, design thinking, and structured execution frameworks. He focuses on enabling operational clarity, building capabilities, and creating sustainable, long-term impact across organizations.
Impactful Projects
Led multiple national programs at AIM to foster innovation and entrepreneurial growth across India.
Managed high-value C-suite consulting engagements at Accenture Strategy, delivering transformation projects in digital customer experience, analytics, GTM strategy, and business restructuring.
Scaled a Pre-Series A InsureTech/HealthTech startup as a founding member, addressing India’s insurance penetration challenges through technology and analytics-led solutions.
At Tata Motors, managed dealerships across UP &amp; Uttarakhand with P&amp;L responsibility of USD 15M, driving growth in non-vehicular business lines.
Consultation Style
Himanshu adopts a collaborative and structured mentoring style, combining strategic clarity with practical execution guidance. He tailors his approach based on the maturity and needs of each founder—focusing on actionable strategies, measurable outcomes, and capability building. His sessions typically blend strategic thinking, market insights, and hands-on frameworks to help founders scale effectively.</t>
  </si>
  <si>
    <t>https://www.linkedin.com/in/himanshujoshi1983/</t>
  </si>
  <si>
    <t>himanshujoshi.mech@gmail.com</t>
  </si>
  <si>
    <t>Sujit Panigrihi</t>
  </si>
  <si>
    <t>Sequoia Fitness and Sports Technology</t>
  </si>
  <si>
    <t>Summary
Sujit Panigrahi is a sports technology entrepreneur with nearly three decades of experience in sports tech, digital transformation, education systems, and large-scale government programs. As the CEO of Sequoia Fitness and Sports Technology Pvt. Ltd., he has pioneered impactful initiatives in physical literacy, fitness, and youth sports development—positively influencing over 10.2 million children across India and multiple countries. An alumnus of BITS Pilani and former CIO of the Commonwealth Games Delhi 2010, he brings a unique blend of technological expertise, strategic leadership, and passion for enabling healthier communities.
Core Expertise
Sports Technology &amp; Digital Transformation
Youth Sports Development &amp; Physical Literacy
EdTech Solutions &amp; Curriculum Design
Government Program Execution (Fit India, Khelo India, CISCE, CBSE)
Policy Advisory &amp; Framework Development
Product Strategy, PMF &amp; Scalable Implementation
Startup Mentoring (Sports, EdTech, Digital Platforms)
Problem-Solving Approach
Sujit integrates technology, data insights, and deep domain understanding to design sustainable, large-scale solutions. His approach focuses on user-centric design, measurable impact, and seamless alignment with national policies like NEP. He is known for bridging the gap between policy vision and on-ground execution by building systems that are practical, scalable, and technologically robust.
Impactful Projects
Led Sequoia Fitness &amp; Sports Technology, transforming youth fitness assessments and physical literacy programs across India, Russia, Iran, and Nepal.
Served as Chief Information Officer, Commonwealth Games 2010, overseeing high-stakes technology operations.
Developed national frameworks including Active CISCE, Fit India initiatives, and multiple sports education programs aligned with NEP.
Built digital solutions recognized and used by Fortune 500 companies such as Apple, Samsung, GE, and Volvo.
Successfully collaborated with leading organizations including SAI, Delhi Sports University, CBSE, CISCE, and Navy Children Schools.
Consultation Style
Sujit brings a strategic yet highly practical mentoring approach, focusing on clarity, execution, and long-term scalability. He helps founders refine product-market fit, build technology-driven solutions, and navigate partnerships with government and educational institutions. His guidance typically blends strategic insights, industry best practices, and actionable frameworks tailored to the startup’s stage and needs.</t>
  </si>
  <si>
    <t>https://www.linkedin.com/in/sujit/</t>
  </si>
  <si>
    <t>sujit.panigrahi@gmail.com</t>
  </si>
  <si>
    <t>Product Design</t>
  </si>
  <si>
    <t>Software &amp; IT Services || Education &amp; Training</t>
  </si>
  <si>
    <t>Anima Mishra</t>
  </si>
  <si>
    <t xml:space="preserve">Founder and CEO </t>
  </si>
  <si>
    <t>Ekara Financial Services Pvt Ltd</t>
  </si>
  <si>
    <t>Summary
Anima Mishra is the Founder &amp; CEO of Ekara Financials, a rapidly growing financial enablement platform focused on strengthening India’s startup ecosystem. With experience across finance, operations, and early-stage consulting, she specializes in helping startups become grant-ready, investor-ready, and financially structured. Her work bridges the gap between innovative ideas and formal funding pathways, empowering founders with clarity, compliance confidence, and strategic financial planning.
Core Expertise
Grant Advisory &amp; Government Scheme Navigation
Investor Readiness &amp; Financial Structuring
Compliance, Documentation &amp; Startup Finance
Incubation Readiness &amp; Pitch Preparation
Financial Literacy &amp; Entrepreneurship Training
Fundraising Strategy for Early-Stage Ventures
Support for Student-led, Women-led &amp; Impact-focused Startups
Problem-Solving Approach
Anima combines a deep understanding of grassroots entrepreneurship with structured financial planning methodologies. Her approach emphasizes accessibility, founder-friendly processes, and clarity in financial documentation. She helps startups identify suitable schemes, refine their value proposition, and prepare compliant, high-quality applications that improve funding success rates. Her method ensures founders move from idea to fundable business with confidence and precision.
Impactful Projects
Supported startups applying to top incubators such as AICs, BIRAC, NSRCEL, T-Hub, CIE, and others.
Guided founders through national and state-level grant programs including Startup India Seed Fund, NIDHI-PRAYAS, NIDHI-EIR, BIRAC BIG, MSME schemes, and MeitY deep-tech calls.
Built institutional programs on financial literacy and entrepreneurial readiness, collaborating with multiple colleges and innovation cells.
Enabled numerous early-stage ventures to secure grants, structure financial plans, and become fundraising-ready.
Established Ekara Financials as a multi-segment platform supporting startups, students, and institutions across India.
Consultation Style
Anima’s mentoring style is structured, clear, and highly supportive—tailored to the stage and needs of each founder. She emphasizes step-by-step financial clarity, documentation rigor, and strategic guidance that founders can practically apply. Her sessions often include hands-on review of financial statements, grant applications, compliance requirements, and investor-ready documentation. She prioritizes accessibility, especially for early-stage, student-led, and underserved founder groups.</t>
  </si>
  <si>
    <t>https://www.linkedin.com/in/anima-mishra-40048541</t>
  </si>
  <si>
    <t>Punjab</t>
  </si>
  <si>
    <t>anima.rnmishra@gmail.com</t>
  </si>
  <si>
    <t>NO</t>
  </si>
  <si>
    <t xml:space="preserve">Business Model Development || Risk Management </t>
  </si>
  <si>
    <t>Manoranjan Mohapatra</t>
  </si>
  <si>
    <t xml:space="preserve">DATOMS </t>
  </si>
  <si>
    <t xml:space="preserve">Mr Manoranjan Mohapatra brings over 15 years of corporate leadership across geographies including Singapore and the US ecosystem, with key roles at organisations such as Larsen &amp; Toubro, Exilant Technologies (which he helped establish and grow), and others. Over the last decade, he has dedicated himself to fostering startup growth in Odisha—providing seed-investment, mentorship, and support via a US-based mentoring network of Odia professionals. He also consults for Biju Patnaik University of Technology (BPUT) on startup &amp; innovation initiatives. His ambition is to build a large portfolio of Odisha-based ventures and scale them nationally and internationally.
</t>
  </si>
  <si>
    <t>https://www.linkedin.com/in/mohapatra-manoranjan/</t>
  </si>
  <si>
    <t>manoranjan.com@gmail.com</t>
  </si>
  <si>
    <t>Vijay Veer Singhh</t>
  </si>
  <si>
    <t>Runway Incubator</t>
  </si>
  <si>
    <t>Summary
With over 21 years of experience in startup acceleration, incubation management, angel investing, and ecosystem development, he brings a strong blend of strategic leadership and hands-on execution to empower early-stage ventures. His work spans building incubators, enabling investment readiness, leading accelerator programs, and forging high-impact partnerships that strengthen India’s innovation landscape.
Core Expertise
Startup Acceleration &amp; Incubation
Investment Readiness &amp; Deal Flow Creation
Ecosystem Partnerships (Govt., CSR, Industry)
Fundraising Support &amp; Angel Investing
Program Leadership &amp; Operations
Team Management &amp; Strategic Planning
Startup Evaluation &amp; Portfolio Support
Problem-Solving Approach
He applies a structured and outcome-driven approach, combining operational experience with investor-focused thinking. His methodology includes identifying gaps in product, market, or business model, designing strategic roadmaps, preparing ventures for investor evaluation, and facilitating meaningful founder–investor interactions. He focuses on solving challenges around scalability, funding, market validation, and operational efficiency.
Impactful Projects &amp; Contributions
Led Runway Incubator (UPES) as COO, building high-quality pipelines and preparing startups for funding.
Expanded Amity Innovation Incubator across seven regional centers, creating a robust nationwide support system.
Managed deal flow at Amity Capital Ventures, sourcing and screening investment opportunities.
Successfully implemented major national programs including:
MeitY TIDE 2.0
Startup India Seed Fund
SAMRIDH Accelerator
IDEX, NIDHI-SSS, STARTIN UP
Angel investor in high-potential startups such as Parkmate, WiseDrive, LiaPlus, Gluedin, Ugees, and SustVest.
Actively contributes as an Investment Partner at Soonicorn Ventures.
These initiatives have collectively empowered hundreds of startups and strengthened India’s innovation ecosystem.
Consultation Style
His mentoring approach is practical, analytical, and founder-centric, providing tailored guidance based on each startup’s maturity and challenges. He focuses on clarity, investment readiness, and structured growth—helping founders navigate decisions with confidence. His style is collaborative, encouraging open discussion, strategic thinking, and actionable planning.</t>
  </si>
  <si>
    <t>https://www.linkedin.com/in/vijay-vir-singh-vvs-99402711/</t>
  </si>
  <si>
    <t>Uttrakhand</t>
  </si>
  <si>
    <t>vijay.singh@ddn.upes.ac.in</t>
  </si>
  <si>
    <t>Go to Market Strategy || Business Model Devlpment</t>
  </si>
  <si>
    <t>Dr. Sindhu Bhaskar</t>
  </si>
  <si>
    <t>EST Group</t>
  </si>
  <si>
    <t>Summary
Dr. Sindhu Bhaskar is a global leader in Fintech, Healthcare, Agritech, and Edtech innovation, with a mission-driven focus on socio-economic impact and inclusion. As Chairman &amp; Founder of the EST Group—headquartered at the Cambridge Innovation Center within the MIT ecosystem—he has built multiple technology-driven verticals that address global challenges across finance, health, food systems, and education. A Forbes Council Member and Senior Executive Fellow at The Digital Economist (Washington, DC), Dr. Bhaskar works at the intersection of emerging technologies and global development.
Core Expertise
Fintech Innovation &amp; Digital Financial Inclusion
Healthcare Technology &amp; Accessible Health Systems
Agritech &amp; Food Security Solutions
Edtech Platforms &amp; Learning Enablement
Blockchain &amp; Emerging Technology Applications
Global Impact Ecosystem Building
Strategic Partnerships &amp; Cross-border Collaboration
Socio-economic Development &amp; Policy Alignment
Problem-Solving Approach
Dr. Bhaskar applies a systems-thinking approach, combining emerging technology with deep understanding of global socio-economic challenges. He focuses on designing scalable, inclusive models that leverage alliances, policy insights, and technological innovation. His methodology involves identifying structural barriers, creating digital-first solutions, and aligning them with global impact frameworks to ensure long-term sustainability and adoption.
Impactful Projects &amp; Initiatives
Founded and scaled EST Group, creating high-impact verticals such as:
BranchX – Digital banking &amp; financial inclusion
EZIPAY Global Payment Gateway – Cross-border payments
EST Healthcare – Accessible health solutions
EST Agrx – Agritech for food security
EST Cnet0 – Climate &amp; sustainability solutions
EST FAB – Edtech for skill development
Enabled socio-economic inclusion across emerging markets by integrating fintech, agritech, healthcare, and education technologies.
Holds affiliations with prestigious global organizations including the World Economic Forum, World Business Angel Investment Forum (G20 affiliate), Government Blockchain Association, IEEE Planet Positive, and the Space Foundation.
Serves on multiple international boards, guiding enterprises toward sustainable and socially impactful growth.
Consultation Style
Dr. Bhaskar’s engagement style is vision-oriented, strategic, and ecosystem-centric. He guides founders, institutions, and innovators with a focus on long-term impact, global scalability, and responsible technology adoption. His mentoring approach emphasizes clarity of purpose, socio-economic relevance, and practical pathways to sustainable growth across diverse markets.</t>
  </si>
  <si>
    <t>http://linkedin.com/in/sindhu-bhaskar-55a84568</t>
  </si>
  <si>
    <t>Florida</t>
  </si>
  <si>
    <t>sindhu@estglobalinc.com</t>
  </si>
  <si>
    <t>Entrepreneurship Coaching || ESG Startergy</t>
  </si>
  <si>
    <t>Agritech and Food Processing || Fintech, Banking, Financial Services</t>
  </si>
  <si>
    <t>Vijetha Shastry</t>
  </si>
  <si>
    <t xml:space="preserve">Startup Evangelist </t>
  </si>
  <si>
    <t>BHIVE Workspace</t>
  </si>
  <si>
    <t>Summary
Vijetha Shastry is a seasoned startup ecosystem enabler with more than 32 years of cross-industry experience across hospitality, retail, travel, banking, coworking, and innovation-led organisations
Profile (16)
. He has built a strong reputation as a community builder, mentor, and partnership specialist, working closely with founders, CXO teams, VCs, incubators, accelerators, and industry leaders. Over the years, he has contributed to several high-impact organisations including BHIVE, TiE Bangalore, NASSCOM CoE IoT, Dexter Capital, Bangalore Bioinnovation Centre, and Recur Club.
Core Expertise
Startup Ecosystem Development &amp; Community Building
Partnerships, Alliances, and Open Innovation
Program Management &amp; Operations
Investor Connects, Fundraising Support &amp; Deal Flow Access
Corporate Innovation &amp; CXO Engagement
Marketing, Outreach, and Brand Advocacy
Customer Experience &amp; Business Operations across service industries
Problem-Solving Approach
Vijetha works by deeply engaging with founders and ecosystem stakeholders, identifying gaps in outreach, growth, partnerships, and investment readiness. His approach is hands-on and relationship-driven—connecting startups with the right mentors, investors, corporates, and ecosystem partners. He focuses on building structured engagement frameworks, fostering collaboration, and enabling scalable growth through curated opportunities, events, and targeted interventions.
Impactful Projects
As Executive Director at TiE Bangalore, drove community expansion, programs, and founder support at scale.
At NASSCOM CoE – IoT, led open innovation initiatives connecting startups with enterprises for co-creation programs.
At Dexter Capital, strengthened outreach, partnerships, and strategic alliances with growth-stage startups and investors.
At BHIVE Workspace, played a pivotal role in community engagement, events, and founder-centric programs.
Supported Bangalore Bioinnovation Centre and Recur Club on ecosystem outreach, startup enablement, and innovative financing initiatives.
Contributed to the setup and operational success of large retail and hospitality chains in earlier roles (Taj Group, Metro Cash &amp; Carry, Reliance Retail, Arrow, Olivea, etc.).
Consultation Style
Vijetha brings a collaborative, relationship-focused style. He prefers interactive mentoring, helping founders refine strategy, outreach, partnerships, and investor readiness. His guidance is practical, ecosystem-driven, and rooted in decades of hands-on experience across both corporate and startup environments. He often leverages his deep networks to create curated connects and real opportunities for founders.</t>
  </si>
  <si>
    <t>https://www.linkedin.com/in/vijethashastry/</t>
  </si>
  <si>
    <t>vijetha.shastry@gmail.com</t>
  </si>
  <si>
    <t>99867 08229</t>
  </si>
  <si>
    <t>Go to Market Strategy || Investing</t>
  </si>
  <si>
    <t>Diksha Nigam</t>
  </si>
  <si>
    <t xml:space="preserve">Founding member </t>
  </si>
  <si>
    <t>Startup India initiative</t>
  </si>
  <si>
    <t>Summary Diksha Nigam is a public policy and startup ecosystem professional with 9+ years of experience in shaping and executing national-level startup initiatives in India. As a founding team member of Startup India under DPIIT, Ministry of Commerce &amp; Industry, she has played a key role in designing policies, programs, and stakeholder frameworks to strengthen India’s innovation and entrepreneurship ecosystem. Core Expertise Startup ecosystem development Public policy design and execution Government liaison and stakeholder management Strategic program management Startup support frameworks (central and state levels) Agribusiness economics and policy research Problem-Solving Approach She adopts a policy-first, data-backed approach, aligning government objectives with startup and industry needs. Her work focuses on creating scalable frameworks, simplifying policy execution, and enabling collaboration between government bodies, startups, incubators, and ecosystem partners. Impactful Projects Founding contributor to Startup India, helping design and operationalize flagship national startup initiatives Led and managed high-impact programs at Invest India supporting startups across multiple sectors Worked closely with state governments to rollout startup policies and ecosystem programs Contributed to policy research and economic analysis through ICAR projects in agribusiness economics Consultation Style Diksha follows a structured, collaborative, and policy-aligned consultation style, combining strategic clarity with practical execution guidance. She focuses on stakeholder alignment, clear frameworks, and action-oriented solutions tailored to startups, incubators, and institutional partners.</t>
  </si>
  <si>
    <t>https://www.linkedin.com/in/diksha-nigam-915a44120/</t>
  </si>
  <si>
    <t>dikshan92@gmail.com</t>
  </si>
  <si>
    <t>Entrepreneurship Coaching || Strategic Planning</t>
  </si>
  <si>
    <t>Dr. Naman Agarwal</t>
  </si>
  <si>
    <t>Senior Adviser for Science, Technology and Innovation</t>
  </si>
  <si>
    <t>Netherlands Embassy in India</t>
  </si>
  <si>
    <t>Summary
Dr. Naman Agrawal is a strategy and innovation professional with 12+ years of experience across public policy, innovation ecosystems, technology transfer, and startup incubation. He currently serves as Senior Adviser for Science, Technology &amp; Innovation at the Embassy of the Kingdom of the Netherlands in India, where he drives international collaboration between Indian and Dutch innovation ecosystems. He has played a pivotal role in shaping India’s startup and innovation landscape through leadership roles at NITI Aayog, Atal Innovation Mission (AIM), and IIM Lucknow.
Core Expertise
Startup and innovation ecosystem development
Science, technology, and innovation policy
Government programs and public-private partnerships
International collaboration and market access
Startup incubation, scaling, and funding frameworks
Technology transfer and IP commercialization
Problem-Solving Approach
Dr. Agrawal combines policy insight, ecosystem design, and execution rigor to solve complex innovation challenges. His approach focuses on aligning government priorities, startup needs, and global best practices to build scalable, sustainable innovation frameworks with measurable impact.
Impactful Projects
Supported 100+ incubators and 3,300+ startups through Atal Innovation Mission
Played a key role in evaluating and strengthening Science &amp; Technology programs at NITI Aayog
Facilitated international innovation partnerships between India and the Netherlands
Led technology transfer and IP commercialization initiatives with IITs, CSIR labs, and global enterprises at NRDC
Consultation Style
He follows a structured, strategic, and ecosystem-oriented consultation style, working closely with startups, incubators, policymakers, and global partners. His guidance is practical, policy-aligned, and focused on long-term scalability, investment readiness, and sustainable innovation growth.</t>
  </si>
  <si>
    <t>https://www.linkedin.com/in/dr-naman-agrawal/</t>
  </si>
  <si>
    <t>naman.niti@gmail.com</t>
  </si>
  <si>
    <t>Khalid Wani</t>
  </si>
  <si>
    <t>KWCG</t>
  </si>
  <si>
    <t>Khalid Wani is an accomplished business leader and strategic consultant with over 20 years of experience in investment, entrepreneurship, and venture building. He has led initiatives across venture capital, startup advisory, brand strategy, and operational scaling. As Investment Director at One Capitall Ltd and Founder of KWCG, he empowers startups, SMEs, and family-run businesses with capital, strategy, and execution support. He’s also a 5× TEDx speaker and recognized among “India’s Most Promising Business Leaders 2022.”
Core Expertise:
Venture Capital &amp; Fundraising
Strategic Consulting for Startups and SMEs
Financial Structuring and Investment Strategy
Brand Building and GTM Execution
Operational Scaling and Cross-Border Partnerships
Public Speaking and Entrepreneurial Coaching
Multi-sector exposure: tech, mobility, FMCG, food, entertainment, and EVs
Problem-Solving Approach:
Khalid combines financial discipline with entrepreneurial pragmatism. He identifies scalable business models, drives syndications, and builds revenue and governance frameworks. His consulting approach is rooted in real-world application, making strategic support accessible and tailored to each business’ maturity and market challenge.
Impactful Projects:
Drove strategic investments and portfolio scale-up at One Capitall, supporting multiple startups in brand growth, GTM, and governance.
Built KWCG into a sought-after consulting group for high-growth SMEs and emerging entrepreneurs.
Founded and scaled ventures in frozen foods, electric vehicles, apparel, and hospitality.
Served as brand and marketing advisor to GMR Sports and contributed to multiple national and international startup ecosystems.
Consultation Style:
Hands-on and founder-focused, Khalid blends boardroom-level strategy with on-ground execution. He favors clarity, cross-sector collaboration, and outcome-driven roadmaps. Through public speaking and mentoring, he amplifies entrepreneurial ambition with practical insight and resource alignment.</t>
  </si>
  <si>
    <t>https://www.linkedin.com/in/khalidwani</t>
  </si>
  <si>
    <t>manager@khalidwani.com</t>
  </si>
  <si>
    <t>Business Model Development || Investing</t>
  </si>
  <si>
    <t>Fintech, Banking, Financial Services || Retail and E-Commerce</t>
  </si>
  <si>
    <t>Dilnawaz Khan</t>
  </si>
  <si>
    <t>Power Deck</t>
  </si>
  <si>
    <t>Summary:
Dilnawaz Khan is a seasoned startup advisor, pitch deck strategist, and entrepreneurship ecosystem builder with over 15 years of experience. As the founder of Codesign Labs and Power Deck, he has become a prominent voice in startup fundraising and storytelling, advising growth-stage startups and academic institutions alike. He has led more than 300 speaking engagements and has been recognized with honors including LinkedIn Top Voice and participation in the LinkedIn Creator Accelerator Program.
Core Expertise:
Startup Fundraising Strategy
Investor Pitch Decks and Storytelling
Lean Startup Development
Entrepreneurship Curriculum Design
Innovation Program Management
Scouting and Startup Acceleration
Consulting for Incubators, Accelerators, and Educational Institutions
Problem-Solving Approach:
Dilnawaz uses a hands-on, founder-centric method focusing on clarity, narrative positioning, and strategic pitching. His consulting is rooted in real-world execution and a deep understanding of what investors seek, tailoring advice to fit each startup’s stage and market needs.
Impactful Projects:
Founded Power Deck, supporting startups with pitch design and fundraising strategy.
Advised more than 30 national incubators including IIM-A, IIM-B, and ISB.
Part of the jury for Startup India’s National Startup Awards since 2020.
Played a key role at IIM-A’s Startup Oasis and helped scale incubation efforts in Rajasthan.
Delivered structured bootcamps and pitch workshops across India under programs like MeitY’s Genesis, Atal Innovation Mission, and more.
Consultation Style:
Dilnawaz is known for offering practical, direct, and actionable guidance. He combines structured one-on-one mentoring with tailored bootcamps and ecosystem-led advisory. His style emphasizes storytelling with precision, leveraging deep investor knowledge and a broad ecosystem network.</t>
  </si>
  <si>
    <t>https://www.linkedin.com/in/dilnawazkhan</t>
  </si>
  <si>
    <t>d@codesignlabs.com</t>
  </si>
  <si>
    <t xml:space="preserve">No </t>
  </si>
  <si>
    <t>Public Speaking || Investing</t>
  </si>
  <si>
    <t>Shanmathy Karthik</t>
  </si>
  <si>
    <t>Founder &amp; CVO</t>
  </si>
  <si>
    <t>Witty Wise</t>
  </si>
  <si>
    <t>Summary Shanmathy Karthik is a transformation coach and Chief Vision Officer known for blending psychology, communication mastery, and leadership development to create measurable personal and professional growth. With more than eight years of experience, she has guided over 30,000 individuals through coaching programs focused on mindset shifts, emotional resilience, and strategic clarity. Her signature “Feel the Heal” approach uses the power of words to drive healing, motivation, and purposeful action. She works extensively with professionals, students, and women entrepreneurs, helping them unlock potential, build confidence, and navigate life transitions with clarity and direction. Key Areas of Expertise Transformation coaching and applied psychology Leadership development and performance enhancement Communication mastery and emotional-intelligence–based guidance Growth-mindset coaching for students and professionals Women-entrepreneur empowerment and strategic mentoring Strategic Contributions Developed the “Feel the Heal” framework to support emotional and professional transformation through communication. Scaled coaching impact to more than 30,000 individuals across 8+ years. Strengthened organizational performance as Chief Vision Officer at Witty Wise. Delivered impactful sessions for students and professionals to instill growth mindset and confidence. Mentorship Philosophy Shanmathy’s mentorship is rooted in empathy, clarity, and transformation. She believes words can heal, guide, and empower when used with intention. Her coaching emphasizes self-awareness, emotional strength, and belief in one’s potential. She encourages a growth mindset, helping individuals understand that skills and intelligence can be developed through effort, resilience, and purposeful action. Success Stories Coached and transformed the journeys of more than 30,000 clients. Supported the success and visibility of women entrepreneurs through structured guidance. Delivered motivational and mindset-building talks that shaped the perspectives of students and young professionals.</t>
  </si>
  <si>
    <t>https://www.linkedin.com/in/shanmathy-karthik-37097988/</t>
  </si>
  <si>
    <t>joshanmathy@gmail.com</t>
  </si>
  <si>
    <t>Public Speaking || Training &amp; development</t>
  </si>
  <si>
    <t>Siddharth Pandey</t>
  </si>
  <si>
    <t>Sr. Vice President</t>
  </si>
  <si>
    <t>Snapmint</t>
  </si>
  <si>
    <t>A veteran business leader and startup mentor with 15+ years of enterprise sales and go-to-market expertise across fintech, payments, and consumer tech. Currently building Arthmate, he previously led merchant payments and regional operations at industry giants like Gojek, DeliveryHero, and Paytm, where he built a $2B payments business and pioneered QR-based payment adoption across Southeast Asia. Skilled in channel partnerships, large-scale merchant acquisition, and offline payment expansion, Siddharth mentors bootstrapped startups on sales strategy and market entry, leveraging deep experience in scaling payment ecosystems and navigating underbanked markets.
Skills: Go-to-Market Strategy, Enterprise Sales, Merchant Acquisition, Payments &amp; Fintech, Channel Partnerships, Business Development, Regional Operations, Startup Mentorship, Sales Strategy, Payment Ecosystem Scaling, Large Account Management, B2B/B2C Strategy</t>
  </si>
  <si>
    <t>https://www.linkedin.com/in/pandeysid/</t>
  </si>
  <si>
    <t>sid.pandey@gmail.com</t>
  </si>
  <si>
    <t>Business Finance || Buisness Operations</t>
  </si>
  <si>
    <t>Crispino Santamaria</t>
  </si>
  <si>
    <t>GrowwStacks Automation Solutions</t>
  </si>
  <si>
    <t>A results-oriented digital marketing and business development professional with over 13 years of experience helping startups and SMEs scale through 360° marketing strategies and integrated communications. Currently Senior Marketing Manager at Wishup.co, he specializes in brand strategy, social media management, content strategy, and driving organic/inorganic user acquisition across multiple digital channels. With expertise in competitive analysis, SEO, paid advertising campaigns, and team mentorship, Crispino works collaboratively in fast-paced entrepreneurial environments to deliver consumer experiences that drive revenue growth and business outcomes for early-stage ventures.
Skills: Digital Marketing Strategy, Social Media Management, Brand Strategy, Content Management, SEO &amp; SEM, Paid Advertising Campaigns, Competitive Analysis, User Acquisition, Marketing Communication, Team Leadership &amp; Mentorship, B2B/B2C Marketing, Startup Growth Strategy</t>
  </si>
  <si>
    <t>https://www.linkedin.com/in/crispino-santamaria/</t>
  </si>
  <si>
    <t>Digital Marketing || Marketing &amp; Branding</t>
  </si>
  <si>
    <t>Sunil Jaiswal</t>
  </si>
  <si>
    <t>Mr.Professional</t>
  </si>
  <si>
    <t>Summary
Sunil is a seasoned finance, legal, and compliance professional with over 14 years of experience working with early-stage and growth-stage startups across India. He is the Co-Founder of Mr.Professional, a startup advisory platform with a strong national presence, supporting over 5,000 B2B clients and partnering closely with incubators, investors, universities, and government bodies.
Core Expertise
Startup legal and regulatory compliance
Business structuring and entity setup
Financial planning and fundraising readiness
Investor documentation and due diligence support
Policy advisory and ecosystem development
Startup mentoring and incubation support
Problem-Solving Approach
Sunil focuses on simplifying complex legal and financial frameworks for founders. He takes a practical, founder-first approach, helping startups align compliance, finance, and strategy with their growth stage and long-term business goals.
Impactful Projects
Co-founded and scaled Mr.Professional to 8 offices and 5,000+ B2B clients
Official Startup India Mentor, guiding thousands of entrepreneurs nationwide
Delivered 50+ startup and ecosystem development programs
Worked with leading institutions including IITs, IIMs, DU, MNNIT, HBTU, GBU, YMCA, and StartInUP (UPLC)
Contributed to policy-level startup initiatives in Uttar Pradesh
Consultation Style
Sunil follows a collaborative and hands-on mentoring style. He tailors his guidance based on the startup’s maturity, offering clear, actionable advice that founders can implement immediately while building toward sustainable and scalable growth.</t>
  </si>
  <si>
    <t>https://www.linkedin.com/in/sunil-jaiswal-004ab59a/</t>
  </si>
  <si>
    <t>casunilkjaiswal@gmail.com</t>
  </si>
  <si>
    <t>Legal and Compliance || Go to Market Strategy</t>
  </si>
  <si>
    <t>Legal Services || Venture Funding</t>
  </si>
  <si>
    <t>Neha Malhotra</t>
  </si>
  <si>
    <t>MeritX Ventures</t>
  </si>
  <si>
    <t>Summary
 Neha Malhotra is a Founder, Managing Partner, and venture capital professional with over a decade of experience across venture investing, startup building, strategic advisory, and global acceleration. She is the Founder and Managing Partner of MeritX Ventures, a cross-border innovation and investment platform supporting startups in India, North America, and the MENA region. She is widely recognized for helping founders shape strong capital narratives, raise funding, and scale globally. 
Core Expertise
Venture capital and startup investments
Fundraising strategy and capital readiness
Global market access and cross-border expansion
Strategic advisory and venture building
Innovation, DeepTech, AI, and future-of-work themes
Entrepreneurship ecosystem development and mentoring 
Problem-Solving Approach
 Neha takes a structured and strategic approach to problem-solving, combining investor insight with hands-on founder support. She focuses on refining business models, aligning growth strategy with investor expectations, and enabling startups to navigate complex global markets with clarity and confidence. 
Impactful Projects
Founded and scaled MeritX Ventures as a global innovation and investment platform
Mentored startups through Startup India, NITI Aayog, TiE, and Ignyte by DIFC
Speaker and moderator at global forums including G20 Y20 Summit, India Internet Day, NASSCOM, and India Global Forum
Launched Rise Union to champion diversity and inclusion in entrepreneurship and investment ecosystems 
Consultation Style
 Neha follows a collaborative, insight-driven consultation style. She tailors her guidance based on the startup’s stage and geography, blending strategic direction with practical, investor-focused advice to help founders unlock funding, partnerships, and sustainable growth.</t>
  </si>
  <si>
    <t>https://www.linkedin.com/in/nehameritx/</t>
  </si>
  <si>
    <t>neha@meritxventures.com</t>
  </si>
  <si>
    <t>Go to Market Strategy || Growth Strategy Formulation</t>
  </si>
  <si>
    <t>Himanshu SIngh</t>
  </si>
  <si>
    <t xml:space="preserve">Vice President of Technology </t>
  </si>
  <si>
    <t xml:space="preserve">Yatra Online Ltd.
</t>
  </si>
  <si>
    <t xml:space="preserve">Himanshu Singh is a senior technology leader with over 13 years of experience across startups, scale-ups, and large enterprises. Currently serving as Vice President of Technology at Yatra.com, he brings deep hands-on expertise in building scalable systems, leading high-performing engineering teams, and delivering data-driven, AI-enabled products. His background spans fintech, consumer tech, and enterprise consulting, with a strong builder mindset and leadership focus. 
Core Expertise
Technology leadership and engineering management
Full-stack product development and system architecture
Generative AI and Large Language Models (LLMs)
Fintech platforms and payment systems
Startup leadership and 0→1 product building
Scalable, high-availability systems and platform modernization 
Problem-Solving Approach
 Himanshu approaches problems with a blend of strong engineering fundamentals and practical execution. He focuses on aligning technology decisions with business outcomes, breaking down complex systems into scalable solutions, and fostering close collaboration between engineering, product, and business teams to deliver reliable results. 
Impactful Projects
Leading technology and engineering at Yatra.com as VP of Technology
Headed the Cards vertical at Novo, a US-based Series A fintech, managing a 20+ member engineering team and delivering end-to-end debit and credit card programs
Founded Subzcribe, building an AI-powered subscription management platform and marketplace
Led and delivered multiple high-impact client projects at Deloitte across domains 
Consultation Style
 Himanshu follows a hands-on, outcome-oriented consultation style. He works closely with teams to understand real constraints, provides clear technical direction, and adapts his guidance based on the startup’s stage, team maturity, and product complexity, ensuring practical and scalable solutions. </t>
  </si>
  <si>
    <t>https://www.linkedin.com/in/himanshu3535/</t>
  </si>
  <si>
    <t>Gurugaon</t>
  </si>
  <si>
    <t>singh.himanshu3535@gmail.com</t>
  </si>
  <si>
    <t>Data Science || Software Development</t>
  </si>
  <si>
    <t>Anand Pathak</t>
  </si>
  <si>
    <t>Startup Mentor/ Advisor</t>
  </si>
  <si>
    <t xml:space="preserve">Anand Pathak is a seasoned Growth Strategist with extensive experience across Health Tech and e-commerce. He has successfully led large-scale user acquisition initiatives, including million-plus user launches, and played a key role in scaling prominent digital platforms. Anand brings a rare blend of strategic thinking and hands-on execution, spanning growth marketing, product strategy, UI/UX, content, partnerships, and sales leadership. Known for driving sustainable business growth in competitive markets, he also actively contributes to startup ecosystems by mentoring founders and sharing practical insights on digital transformation, go-to-market strategies, and scalable growth models.
</t>
  </si>
  <si>
    <t>https://www.linkedin.com/in/anand-pathak-643709106/</t>
  </si>
  <si>
    <t>itguruanand@gmail.com</t>
  </si>
  <si>
    <t>Go to Market Strategy || Business Model Development</t>
  </si>
  <si>
    <t>Amit Saluja</t>
  </si>
  <si>
    <t>digiXLT</t>
  </si>
  <si>
    <t>A seasoned digital transformation evangelist and founder of digiXLT Consulting with over 30 years of industry experience across NASSCOM, IBM, GE, and RPG Transmission. He specializes in helping SMEs and manufacturing enterprises plan and implement digital initiatives through Industry 4.0 transformation, leveraging AI, Cloud, Analytics, and IoT to drive productivity and business growth. As a Certified Lean Six Sigma Black Belt and Smart Industry Readiness Index (SIRI) Assessor, Amit mentors startups and SMEs on business strategy, design thinking methodology, digital maturity assessment, and technology roadmap development. He has spoken at 150+ conferences on digital transformation and leads initiatives at NASSCOM CoE Gandhinagar.
Skills: Digital Transformation, Industry 4.0 Consulting, Design Thinking &amp; Strategy, Lean Six Sigma, Business Strategy, Technology Roadmap Development, AI &amp; IoT Solutions, Digital Maturity Assessment, SIRI Assessment, Manufacturing Process Improvement, Startup Mentorship, Strategic Advisory</t>
  </si>
  <si>
    <t>https://www.linkedin.com/in/amitsaluja/</t>
  </si>
  <si>
    <t>Gokulraj GK</t>
  </si>
  <si>
    <t xml:space="preserve">AVP - Growth &amp; Marketing </t>
  </si>
  <si>
    <t>Specsmakers</t>
  </si>
  <si>
    <t>Summary
A seasoned startup operator and growth leader with over a decade of experience building, scaling, and fixing consumer and D2C businesses. Currently leading Growth and Marketing at a large D2C retail brand, with a hands-on track record across marketing, operations, product, and execution. Known for building brands people connect with and turning ideas into scalable businesses.
Core Expertise
Startup Growth and Scale Strategy
D2C, Marketplace, and Quick Commerce Expansion
Marketing Strategy and Performance Marketing
Brand Building and Community Creation
Operations and Execution
Customer Acquisition, Retention, and ROI Optimization
Product Launches and GTM Strategy
Team Building and P&amp;L Ownership
Problem-Solving Approach
Works close to the ground to identify real bottlenecks in growth, marketing, or operations. Focuses on clarity, fast experimentation, and execution rather than theory. Uses data, customer insight, and on-ground feedback to improve conversion, retention, and profitability while keeping teams aligned and moving fast.
Impactful Projects
Scaled D2C, quick commerce, and marketplace revenue by over 900% at a consumer brand
Built and led marketing and customer experience teams from scratch
Integrated products into major platforms like quick commerce and large marketplaces, achieving category leadership
Founded and scaled multiple consumer and community-led startups, some of which were later acquired
Built India’s largest artist workshop platform with over 1,500 workshops and 800+ artists
Expanded retail presence to 1,500+ stores across 15 cities during an earlier consumer brand venture
Consultation Style
Direct, practical, and execution-focused. Prefers working closely with founders and teams to break down problems into clear action steps. Tailors advice based on the startup’s stage, constraints, and goals, and stays involved until outcomes are visible, not just plans documented.</t>
  </si>
  <si>
    <t>https://www.linkedin.com/in/gokulrajgk?utm_source=share&amp;utm_campaign=share_via&amp;utm_content=profile&amp;utm_medium=android_app</t>
  </si>
  <si>
    <t>Marketing &amp; Branding || E-commerce Management</t>
  </si>
  <si>
    <t>Ankit Dua</t>
  </si>
  <si>
    <t>Digital Growth Consultant</t>
  </si>
  <si>
    <t>OSV FTWZs</t>
  </si>
  <si>
    <t>Summary
Ankit Dua is a digital growth consultant with over 18 years of experience in digital transformation, growth strategy, and performance marketing. He has worked with 150+ startups and 500+ corporates across B2B and B2C, helping brands scale through strong digital foundations, conversion-focused strategies, and data-driven execution. His expertise lies in building digital systems that deliver measurable business growth.
Core Expertise
Digital growth strategy and digital transformation
Performance marketing and lead generation
Go-to-market (GTM) strategy for B2B and B2C
Conversion rate optimization (CRO) and UI/UX
Content strategy and digital funnels
Marketing automation and analytics
E-commerce and online sales growth
Problem-Solving Approach
Ankit starts with diagnosing gaps across user journey, conversion flow, and execution capability. He focuses on what not to do as much as what to build, prioritizing clean UI/UX, right user definition, and data-backed decision-making. His approach is highly practical, with constant testing, optimization, and rapid iteration to improve lead quality and conversion outcomes.
Impactful Projects
Scaled a B2B business from 70–80 leads per month to over 1,100 leads per month through digital restructuring and GTM strategy
Led digital growth and GTM planning for real estate and infrastructure projects
Built multiple digital engines for startups, taking some from zero to ₹15 lakh in monthly sales
Delivered large-scale digital transformation projects for brands like hospitals, government departments, and enterprise clients
Helped organizations set up internal digital teams, vendor ecosystems, and scalable marketing processes
Consultation Style
Ankit works hands-on with founders and leadership teams, often embedding himself with internal teams to fix execution gaps. He tailors his engagement based on business stage, whether it is early traction, scale-up, or turnaround. His style is structured, conversion-focused, and execution-heavy, with clear metrics and regular reviews to ensure sustained growth.</t>
  </si>
  <si>
    <t>https://www.linkedin.com/in/ankitduaofficial/</t>
  </si>
  <si>
    <t>dua.ankit@gmail.com</t>
  </si>
  <si>
    <t>Marketing &amp; Branding</t>
  </si>
  <si>
    <t>Transportation &amp; Logistics</t>
  </si>
  <si>
    <t>Manish Sabnis</t>
  </si>
  <si>
    <t>Grandiose Supermarkets , Ghassan Aboud Group</t>
  </si>
  <si>
    <t xml:space="preserve">Summary:
A seasoned business leader with multi-industry experience spanning over three decades, including two CEO roles across startup, scale-up, consolidation, and breakeven stages. Manish Sabnis has led large, complex organizations across retail, FMCG, OTC pharma, mobile phones, and food services, with deep expertise in both offline and digital B2C and B2B models. Currently serving as CEO at Grandiose Supermarkets (Ghassan Aboud Group) in the UAE, he brings together food retail, food service, and industrial production leadership. 
Core Expertise:
Retail and wholesale leadership, food and grocery retail, e-commerce and omnichannel business models, P&amp;L management, strategy and execution, supply chain and logistics, merchandising, private labels, organizational transformation, and large-scale team leadership. Strong exposure to FMCG, food services, bakery and catering operations, and technology-led retail platforms. 
Problem-Solving Approach:
Known for a structured, execution-focused approach that balances strategic clarity with operational discipline. Manish focuses on scaling technology- and supply-chain-intensive businesses, improving unit economics, and driving sustainable profitability through data-led decisions, organization redesign, and culture-building. He combines hands-on leadership with empowerment of high-performing teams. 
Impactful Projects:
Led the 7x scale-up of JioMart B2B grocery from INR 150 Cr to over INR 10,500 Cr, building a pan-India supply chain across 26 states and onboarding 1.5 million kirana and institutional customers. Played a key role in transforming METRO Cash &amp; Carry India through merchandising, private labels, and profitability improvements. As CEO of EasyDay, steered business expansion and integration during a major merger. Currently driving growth and differentiation at Grandiose Supermarkets, integrating premium retail, foodservice, bakery, catering, and digital channels. 
Consultation Style:
Direct, decisive, and highly collaborative. Engages closely with senior leadership while nurturing strong second-line teams. Known for inspirational leadership, clear accountability, and building cultures that encourage innovation, ownership, and sustained performance across large, diverse organizations. 
</t>
  </si>
  <si>
    <t>https://www.linkedin.com/in/manishsabnis2008/</t>
  </si>
  <si>
    <t>Manishgsabnis@gmail.com</t>
  </si>
  <si>
    <t>95604 54777</t>
  </si>
  <si>
    <t>Aashish Agarwal</t>
  </si>
  <si>
    <t>A seasoned Chartered Accountant with All India Ranks in both CA Final and IPCC examinations, and 14+ years of international experience across FMCG, AgriTech, and Digital businesses. Currently serving as CFO with expertise in financial strategy, FP&amp;A, business planning, and organizational growth, Aashish combines strong technical competency with strategic business acumen. He has led critical finance functions including export compliance, manufacturing finance, project management, and statutory audits at companies like Marico and Grant Thornton, while demonstrating a passion for mentoring young finance talent and leveraging technology for business optimization.
Skills: Financial Strategy &amp; Planning, CFO Advisory, FMCG &amp; AgriTech Finance, Manufacturing Finance, FP&amp;A, Export Compliance, Tax Planning, Statutory &amp; Internal Audit, Supply Chain Finance, Lean Certification, International Business, Talent Mentorship, Business Analysis &amp; Monitoring</t>
  </si>
  <si>
    <t>https://www.linkedin.com/in/caagarwalaashish/</t>
  </si>
  <si>
    <t>caagarwalaashish@gmail.com</t>
  </si>
  <si>
    <t>Business Finance</t>
  </si>
  <si>
    <t>Ankur Jindal</t>
  </si>
  <si>
    <t>A results-driven Product Manager with 16+ years of diverse experience spanning product management, procurement leadership, BIS compliance, and global sourcing strategy. With expertise in strategic sourcing, vendor development, cost optimization, and supply chain transformation, Ankur brings deep knowledge of product costing, pricing optimization, and supply chain management. As a CPSCM-certified professional with an MBA in Operations and Engineering background, he combines technical proficiency with strategic vision, having led key projects in market research, inventory planning, and excess stock liquidation while maintaining a strong track record in driving operational excellence and cost control.
Skills: Product Management &amp; Leadership, Strategic Sourcing &amp; Procurement, BIS Compliance &amp; Standards, Global Supply Chain Strategy, Cost Optimization &amp; Vendor Development, Product Costing &amp; Pricing, Inventory Planning &amp; Management, Supply Chain Transformation, Procurement Strategy, Project Management, Cross-functional Leadership, Market Research &amp; Analysis</t>
  </si>
  <si>
    <t>https://www.linkedin.com/in/ankur-jindal-00a1b548/</t>
  </si>
  <si>
    <t>Arjun Dutta</t>
  </si>
  <si>
    <t xml:space="preserve">Vice President of Sales </t>
  </si>
  <si>
    <t>ADQ Services Private Limited</t>
  </si>
  <si>
    <t>A seasoned technology entrepreneur and GTM strategist with over 20 years of experience building and scaling global SaaS and AI businesses across APAC and the US. As an innovator and founder of IQApex Labs, Arjun specializes in enterprise sales, go-to-market strategy, and revenue scaling with a proven track record of closing $100M+ in revenue across AI, data engineering, and automation solutions. He combines deep expertise in sales team building, partner ecosystems, and AI-led sales automation with advisory capabilities at multiple startups, driving GTM transformation and global expansion while maintaining strong technical and strategic acumen.
Skills: GTM Strategy &amp; Execution, Enterprise Sales &amp; Partnerships, AI-powered Sales Automation, SaaS Scaling, Global Expansion (India, APAC, US), Revenue Strategy, High-performing Sales Team Building, AI &amp; Data Platform Sales, Pipeline Acceleration, Partner Ecosystem Development, Product-Market Fit, Strategic Advisory</t>
  </si>
  <si>
    <t>https://www.linkedin.com/in/arjundutta/</t>
  </si>
  <si>
    <t>dutta.arjun@gmail.com,</t>
  </si>
  <si>
    <t>Ashwin Palo</t>
  </si>
  <si>
    <t>An Assistant Vice President and data scientist passionate marketer specializing in digital analytics, media optimization, and marketing effectiveness at HSBC. With over 12 years of extensive experience in digital marketing, performance marketing, and product management, Ashwin has managed ad spends exceeding $100 million across top agencies and Google. He combines data science expertise with strategic acumen in marketing mix modeling, multitouch attribution, conversion rate optimization, and audience measurement. Currently building products in stealth mode, he leverages his background in programmatic advertising, marketing automation, and customer experience optimization to drive growth and innovation.
Skills: Digital Analytics &amp; Data Science, Performance Marketing &amp; Media Optimization, Marketing Effectiveness &amp; MMM, Multitouch Attribution, Programmatic Advertising, Marketing Automation, CRO &amp; Conversion Optimization, Audience Measurement &amp; Segmentation, Product Management, AdTech &amp; MarTech, Customer Acquisition, Brand Marketing, Analytics &amp; Business Intelligence</t>
  </si>
  <si>
    <t>https://www.linkedin.com/in/ashwin-palo-55a6a123/</t>
  </si>
  <si>
    <t>Astha Dixit</t>
  </si>
  <si>
    <t>A leadership hiring consultant and executive recruiter with expertise in healthcare and life sciences recruitment at Heidrick &amp; Struggles and Michael Page. With extensive experience building client relationships with Fortune 500 companies across medical devices, pharmaceuticals, healthcare providers, and consulting firms, Astha specializes in sourcing middle to senior management healthcare professionals. She combines specialized recruitment consulting with market expertise, developing customized solutions for employers and job seekers while maintaining focus on building new client relationships and growing specialized practices in competitive talent markets.
Skills: Leadership Recruitment &amp; Executive Consulting, Healthcare &amp; Life Sciences Talent Acquisition, Middle to Senior Management Recruitment, Medical Devices &amp; Pharmaceutical Recruitment, Client Relationship Management, Market Research &amp; Expertise, Candidate Sourcing &amp; Headhunting, Fortune 500 Client Management, Recruitment Strategy, Industry Mapping, Talent Pipeline Development</t>
  </si>
  <si>
    <t>https://www.linkedin.com/in/astha-dixit-5094656b/</t>
  </si>
  <si>
    <t>HR Consulting</t>
  </si>
  <si>
    <t>Chirag Savla</t>
  </si>
  <si>
    <t>A strategist, coach, and entrepreneur with 20+ years of international business experience spanning Africa, India, and the Gulf. As co-founder of Kumba AI and a certified Scaling Up Coach, Chirag specializes in helping businesses scale with clarity, discipline, and purpose through the Four Decisions framework. With deep roots in FMCG leadership (Godrej, Marico, Oberoi), he previously managed operations across 34 countries as Africa CEO, overseeing 10,000+ employees. He combines sharp business acumen with authentic mentorship, actively investing in startups and serving as board member for organizations like TechLit Africa while guiding founders through the complexities of growth.
Skills: Business Scaling &amp; Strategy, Certified Scaling Up Coach, FMCG Leadership &amp; Operations, Executive Management, Startup Mentorship &amp; Advisory, Angel Investing, Team Building &amp; Organizational Development, Market Expansion &amp; Regional Operations, Brand Building, Financial Leadership, Founder Coaching, Cross-Market Operations Management</t>
  </si>
  <si>
    <t>https://www.linkedin.com/in/chiragsavla/</t>
  </si>
  <si>
    <t>Business Operations</t>
  </si>
  <si>
    <t>Deeptech</t>
  </si>
  <si>
    <t>Divakar Prayaga</t>
  </si>
  <si>
    <t>A seasoned cyber security executive and deep tech entrepreneur with 18+ years of experience building and scaling information security and cyber risk management capabilities across major enterprises including Wells Fargo, Flipkart, Maersk, and CoinDCX. As co-founder of PurpleHunt.ai (an agentic AI-powered offensive security SaaS platform), Divakar mentors 100+ deep tech and cyber security startups through NASSCOM Deep Tech Club, DSCI, and T-Hub, helping them innovate and scale in emerging areas like AI, ML, robotics, and cyber security. An inventor of two cyber threat patents and executive general management graduate from IIM Bangalore, he combines strategic leadership with a passion for building high-performing teams and supporting the next generation of deep tech innovation.
Skills: Cybersecurity Leadership &amp; CISO Advisory, Deep Tech Startup Mentorship, Information Security Risk Management, Cyber Defense Architecture, Emerging Technology Strategy (AI, ML, Robotics), Blockchain Security, Team Building &amp; High-Performance Organization, Angel Investing, Patent Innovation, Corporate Governance, Executive Leadership, Deep Tech Ecosystem Development</t>
  </si>
  <si>
    <t>https://www.linkedin.com/in/divakarprayaga</t>
  </si>
  <si>
    <t>Dr. Rahul Walawalkar</t>
  </si>
  <si>
    <t>Founder &amp; President</t>
  </si>
  <si>
    <t>Netzero Energy Transition Association</t>
  </si>
  <si>
    <t>A global clean energy entrepreneur and sustainability pioneer with 25+ years of experience in energy storage, e-mobility, and industrial decarbonization, currently founder of Walawalkar Enterprise LLP and India Energy Storage Alliance (IESA). As president of CES India and a venture partner at Caret Capital, Dr. Walawalkar bridges innovation, policy, and business to accelerate clean energy transition through strategic advisory and consulting. He combines deep technical expertise in electricity markets with entrepreneurial acumen, mentoring startups and growth-stage companies while leveraging global partnerships, AI, and digital manufacturing to commercialize technologies and achieve net-zero solutions across emerging markets.
Skills: Clean Energy &amp; Net-Zero Strategy, Energy Storage Solutions, E-Mobility Innovation, Industrial Decarbonization, Emerging Technology Commercialization, Strategic Advisory &amp; Consulting, Venture Partnership &amp; Investment, Technology-to-Market Scaling, Manufacturing Readiness, Electricity Markets Analysis, Startup Mentorship, Policy &amp; Ecosystem Development</t>
  </si>
  <si>
    <t>https://www.linkedin.com/in/walawalkar</t>
  </si>
  <si>
    <t>CleanTech</t>
  </si>
  <si>
    <t>Dr. Sudin Baraokar</t>
  </si>
  <si>
    <t>Artificial Intelligence Engineer</t>
  </si>
  <si>
    <t>A pioneering AI scientist, emerging technology architect, and digital transformation advisor with 20+ years of experience building scalable enterprise systems and innovation platforms. As founder of AIONTHEFLY TECHNOLOGIES and former Chief Innovation Officer at SBI, Dr. Baraokar has worked on 70+ technologies and platforms spanning AI, blockchain, quantum computing, and IoT across Global 500 enterprises. He has mentored 500+ startups globally and trained over 1 million professionals in emerging technologies while engineering autonomic banking systems that serve 500+ million customers. Combining deep technical expertise with entrepreneurial vision, he advises Fortune 500 organizations, governments, and academia on disruptive technology adoption and strategic digital transformation.
Skills: AI &amp; Emerging Technology Architecture, Digital Transformation Strategy, Core Banking Systems Design, Blockchain &amp; RegTech, Quantum Computing, Data Science &amp; MLOps, Cloud &amp; Autonomic Systems, Enterprise Architecture &amp; TOGAF, Startup Mentorship &amp; Advisory, CXO Advisory, Innovation Ecosystem Development, Fintech &amp; Payment Systems, Regulatory Sandboxes &amp; Compliance</t>
  </si>
  <si>
    <t>https://www.linkedin.com/in/sudinbaraokar</t>
  </si>
  <si>
    <t>sudbaro@gmail.com</t>
  </si>
  <si>
    <t>Hemendra Mathur</t>
  </si>
  <si>
    <t>Bharat Innovation Fund</t>
  </si>
  <si>
    <t>Hemendra Mathur is a seasoned venture capital and investment professional with over 29 years of experience in venture capital, private equity, entrepreneurship, management consulting, and investment banking across India and South Asia. As Venture Partner at Bharat Innovation Fund, he focuses on early-stage deep-tech investments in agriculture, clean technology, healthcare, and digital sectors. He is also co-founder of ThinkAg, a not-for-profit platform accelerating agricultural innovation adoption, and Chairman of FICCI's Task Force on Agri Start-ups. Throughout his career, he has invested in and mentored numerous agritech and foodtech startups, bringing strategic expertise in deal sourcing, portfolio management, and business development to emerging entrepreneurs.
Skills: Venture Capital, Private Equity, Investment Banking, Agritech, Foodtech, Startup Mentoring, Deal Evaluation, Portfolio Management, Strategic Planning, Management Consulting, Business Development, Policy Framework Development</t>
  </si>
  <si>
    <t>https://www.linkedin.com/in/hemendra333/</t>
  </si>
  <si>
    <t>Nilesh Mhatre</t>
  </si>
  <si>
    <t>CIO</t>
  </si>
  <si>
    <t>Bank of America</t>
  </si>
  <si>
    <t>Nilesh Mhatre is an accomplished Chief Information Officer with over 30 years of experience in BFSI technology leadership and digital transformation. Currently serving as CIO at Bank of America India, he previously held the position of CIO at HSBC for over 27 years, where he led major IT transformations, core banking upgrades, digital strategy initiatives, and e-governance implementations. His career began as an IT entrepreneur and has evolved through significant roles managing technology strategies across Asia Pacific, with expertise in IT governance, software delivery, project management, and technology-driven business solutions for large-scale financial institutions.
Skills: Chief Information Officer, BFSI Technology, Digital Transformation, IT Governance, Core Banking Systems, IT Strategy, Project Management, Business Process Management, Software Delivery, Technology Leadership, Cloud Migration, Cybersecurity</t>
  </si>
  <si>
    <t>https://www.linkedin.com/in/nilesh-mhatre-31b13444/</t>
  </si>
  <si>
    <t>Engineering Leadership</t>
  </si>
  <si>
    <t>Pankaj Dharkar</t>
  </si>
  <si>
    <t>PANKAJ DHARKAR &amp; ASSOCIATES</t>
  </si>
  <si>
    <t>Pankaj Dharkar is the Founder-President of Pankaj Dharkar &amp; Associates (PDA), a leading MEP and Green Building Consulting Engineering Firm established in 2006. With over 40 years of professional experience starting from Voltas Ltd as a Project Engineer, he has successfully designed and coordinated more than 3,500 projects across diverse applications including healthcare facilities, pharmaceuticals, educational institutes, commercial buildings, and mega tall buildings. His expertise spans energy-efficient design solutions, green building certifications, HVAC systems, and sustainable building engineering services. He is an ASHRAE Fellow and IGBC Fellow recognized for exemplary contributions to the industry and serves as visiting faculty at prestigious institutions like CEPT Ahmedabad.
Skills: MEP Design, Green Building Consulting, HVAC Systems, Energy Efficiency, Sustainable Design, Project Management, Building Engineering Services, Fire &amp; Life Safety, Electrical Systems, BMS, Plumbing Design, Project Coordination</t>
  </si>
  <si>
    <t>https://www.linkedin.com/in/pankaj-dharkar-5407989b</t>
  </si>
  <si>
    <t>MEP Consulting</t>
  </si>
  <si>
    <t>Engineering</t>
  </si>
  <si>
    <t>Paresh Parmar</t>
  </si>
  <si>
    <t xml:space="preserve">Infrastructure Manager </t>
  </si>
  <si>
    <t>Devops</t>
  </si>
  <si>
    <t>Paresh Parmar is an Infrastructure and DevOps Manager with 12+ years of experience overseeing both the technical and managerial aspects of enterprise IT infrastructure. He is responsible for planning, designing, and managing IT infrastructure policies while leading teams that maintain secure, reliable, and scalable systems.
His experience spans infrastructure management, system security, server administration, virtualization, and network operations, with a strong focus on balancing business requirements with security, performance, and operational efficiency. Paresh has led on-shore and off-shore teams, managed complex change controls, collaborated closely with risk and security functions, and served as a 24×7 escalation point for critical infrastructure technologies.
Skillset
IT Infrastructure &amp; DevOps Management
System &amp; Network Security
Server Administration (Linux &amp; Windows)
Virtualization, Cloud &amp; Data Center Operations
Change Management &amp; IT Operations Excellence
Team Leadership &amp; Vendor Management</t>
  </si>
  <si>
    <t>https://www.linkedin.com/in/paparmar?utm_source=share&amp;utm_campaign=share_via&amp;utm_content=profile&amp;utm_medium=ios_app</t>
  </si>
  <si>
    <t>Business Development</t>
  </si>
  <si>
    <t>Logistics</t>
  </si>
  <si>
    <t>Prakhar Agrawal</t>
  </si>
  <si>
    <t>Prakhar Agrawal is a Senior Director at Myntra, a leading fashion and e-commerce platform, with extensive expertise in category management, P&amp;L management, and marketplace operations. Previously, he served as Associate Director of Marketplace Growth at Flipkart, where he led marketplace supply and growth strategies for lifestyle and fashion businesses. His career demonstrates strong competencies in e-commerce operations, business development, and strategic marketplace expansion. He has also worked on government-funded skill development initiatives, including the SEAM project, where he successfully provided training and employment to rural youth and established training centers across India. His expertise spans fashion retail, online marketplace management, and large-scale operational leadership in India's competitive e-commerce sector.
Skills: E-commerce Operations, Marketplace Management, Category Management, P&amp;L Management, Business Development, Fashion &amp; Retail, Flipkart &amp; Myntra Operations, Skill Development Programs, Supply Chain Management, Strategic Planning</t>
  </si>
  <si>
    <t>https://www.linkedin.com/in/prakhar-agrawal-b77a1512/</t>
  </si>
  <si>
    <t>prakhar.agr@gmail.com</t>
  </si>
  <si>
    <t>Pravin Anand</t>
  </si>
  <si>
    <t>Anand and anand</t>
  </si>
  <si>
    <t>Pravin Anand is the Managing Partner of Anand and Anand, a full-service intellectual property law firm established by his grandfather in 1923 and grown to over 400 professionals across four major cities. With over 43 years of practice since 1979, he is India's pioneering IP lawyer and first Indian inducted into the IAM IP Hall of Fame. He has been counsel in numerous landmark IP cases including India's first Anton Piller order (HMV), first Mareva injunction order (Philips), first SEP litigation (DVD technology), and significant disputes for pharmaceutical giants like Monsanto, Merck, Novartis, Pfizer, and Roche. Beyond litigation, he has mentored over 150 lawyers, received the National Innovation Foundation Award for pro bono work with rural innovators, and created innovative IP concepts including IP board games, theatrical productions, and publications. He serves as Chair of ASSOCHAM's IPR Council and is recognized as Asia's Top 15 IP Lawyer.
Skills: Intellectual Property Law, Patent Litigation, Trademark Law, Copyright Law, IP Strategy, Dispute Resolution, Litigation Management, Mentorship, IP Awareness Programs, Government Policy Advisory, International IP Advocacy</t>
  </si>
  <si>
    <t>https://www.linkedin.com/in/pravin-anand-4295379/</t>
  </si>
  <si>
    <t>Intellectual Property Advisory</t>
  </si>
  <si>
    <t>Intellectual Property</t>
  </si>
  <si>
    <t>Legal Services</t>
  </si>
  <si>
    <t>Rajan Nithin Prabu</t>
  </si>
  <si>
    <t xml:space="preserve">
Assistant Manager – Regional Commodity Lead, South Asia </t>
  </si>
  <si>
    <t>HANON AUTOMOTIVE SYSTEMS INDIA PVT LTD</t>
  </si>
  <si>
    <t>Rajan Nithin Prabu is a Global Procurement and Sourcing Specialist with 19+ years of expertise in procurement and supply chain management, specializing in strategic sourcing, supplier management, and cost optimization in the automotive sector. His professional background encompasses deep experience in supply chain operations, vendor development, SAP systems, CAPEX management, and supply chain excellence. With his extensive track record in large-scale procurement operations and supplier relationship management, he brings strategic expertise in driving operational efficiency and cost savings for multinational automotive organizations. His specialization in global sourcing strategies and supplier development positions him as a subject matter expert in supply chain optimization and procurement best practices.
Skills: Global Procurement, Strategic Sourcing, Supplier Management, Cost Optimization, Automotive Supply Chain, SAP Systems, CAPEX Management, Supplier Development, Supply Chain Operations, Vendor Management, BIS QCO, Supply Chain Excellence</t>
  </si>
  <si>
    <t>https://www.linkedin.com/in/rajan-nithin-prabu-292a5a17/</t>
  </si>
  <si>
    <t>Ramkumar Subramanyam</t>
  </si>
  <si>
    <t>Co-Founder, Head of Sales and Strategy</t>
  </si>
  <si>
    <t>DigiTwin Technology</t>
  </si>
  <si>
    <t>Ramkumar Subramanyam is an accomplished entrepreneur, technology enthusiast, and startup advisor with 20+ years of experience in sales, business development, and strategic partnerships across global markets including the US, Europe, Asia Pacific, and Middle East. He is the Co-Founder and Head of Sales &amp; Strategy at DigiTwin Technology (since 2022), as well as Founder of SpirtOn Innovations. Previously, he held senior leadership positions at Capgemini where he managed large transformation programs for government agencies and global corporations, generating over AED 150 million in bookings. His expertise spans digital transformation strategy, large deals management, CXO engagement, and sector-specific business growth. He actively advises technology startups and social ventures, and is passionate about financial literacy advocacy and contributing to social causes through innovation.
Skills: Startup Advisory &amp; Mentoring, Business Development, Sales Strategy, Digital Transformation, CXO Engagement, Strategic Partnerships, Large Deals Management, Enterprise Consulting, Market Growth Strategy, Financial Literacy, Technology Entrepreneurship</t>
  </si>
  <si>
    <t>https://www.linkedin.com/in/ramkumar-subramanyam/</t>
  </si>
  <si>
    <t>Transport and Logistics</t>
  </si>
  <si>
    <t>Digital Transformation</t>
  </si>
  <si>
    <t>Ravindra Barlingay</t>
  </si>
  <si>
    <t xml:space="preserve">IITM CDOT Samgnya Technologies Foundation </t>
  </si>
  <si>
    <t>Ravindra Barlingay is a visionary technology and business leader with over three decades of global experience in driving innovation, product development, and revenue growth across Fortune 500 multinational corporations and deep-tech startups. He currently serves as Chief Executive Officer of IITM CDOT Samgnya Technologies Foundation, India's national hub for quantum communication under the Department of Science &amp; Technology's National Quantum Mission. His extensive expertise spans AI, IoT, robotics, autonomous systems, and emerging technologies including quantum communications and photonics. He has held senior leadership roles at organizations including CEdge Inc. (Managing Director), Endurance Technologies, Schneider Electric, and L&amp;T. Beyond his executive roles, he is an active mentor and advisor to startups and deep-tech enterprises, serving on advisory boards for NASSCOM Deeptech Club, NASSCOM IoT, T-Hub, and Woxsen University, and is a chartered TiE member and keynote speaker on emerging technologies.
Skills: Quantum Communication Technology, AI &amp; Artificial Intelligence, IoT &amp; Internet of Things, Robotics &amp; Autonomous Systems, Product Development, R&amp;D Leadership, Technology Innovation, Business Strategy, Startup Mentoring, Deep-Tech Expertise, Photonics &amp; Quantum Systems</t>
  </si>
  <si>
    <t>https://www.linkedin.com/in/ravindrabarlingay</t>
  </si>
  <si>
    <t>AI and Robotics</t>
  </si>
  <si>
    <t>Richie Mittal</t>
  </si>
  <si>
    <t>Fellow ASHRAE</t>
  </si>
  <si>
    <t>ASHRAE</t>
  </si>
  <si>
    <t>Richie Mittal is a pioneering HVAC consultant and industry leader with over 40 years of expertise in energy efficiency, cooling systems, and renewable energy integration. He is the Managing Director of Overdrive Engineering Pvt Ltd (since 2012) and Fellow of both ASHRAE and ISHRAE. Currently serving as Director and Regional Chair of ASHRAE Region XV (since July 2024), he previously held the position of National President of ISHRAE (2020-2021) and has been instrumental in shaping India's HVAC, refrigeration, and air conditioning industry. His specialization includes green factory design, third-party commissioning, HVAC testing/adjusting/balancing (TAB), renewable energy applications (geothermal, solar, wind), and critical zone air quality management. He is an active mentor to young engineers and has been a member of ASHRAE since 1995, contributing significantly to the professional development of the HVAC&amp;R industry in India.
Skills: HVAC Systems Design, Energy Efficiency Consulting, Renewable Energy Integration (Geothermal/Solar/Wind), Green Building Design, Air Quality Management, Third-Party Commissioning, TAB (Testing Adjusting Balancing), Industry Leadership, Mentor to Engineers, Sustainability &amp; Decarbonization</t>
  </si>
  <si>
    <t>https://www.linkedin.com/in/richie-mittal-a249362/</t>
  </si>
  <si>
    <t>Energy Efficiency</t>
  </si>
  <si>
    <t>Roopak Jakhmola</t>
  </si>
  <si>
    <t>Vice President Business Strategy</t>
  </si>
  <si>
    <t>Aureus Investment Pvt. Ltd.</t>
  </si>
  <si>
    <t>Roopak Jakhmola is an experienced independent business owner and subject matter expert in UAVs/Drones with expertise spanning both defense and commercial drone applications. Currently serving as Vice President of Business Strategy at Aureus Investment Pvt. Ltd. (since 2022), he actively searches for startups with technological differentiation and innovation focus. His professional background demonstrates strong entrepreneurship skills combined with deep technical knowledge of unmanned aerial vehicle technology and related applications. With specialization in the emerging drone and aerospace sectors, he has consulted on drone-related business opportunities and technological advancements. His consulting work has included engagements with industry forums and conferences focused on drone technology, commercial applications, and emerging aerospace industry trends in India and internationally.
Skills: UAV/Drone Technology, Business Strategy, Entrepreneurship, Technology Consulting, Startup Advisory, Defense &amp; Commercial Drone Applications, Business Development, Negotiation, Operations Management, Analytical Skills</t>
  </si>
  <si>
    <t>https://www.linkedin.com/in/roopakjakhmola/</t>
  </si>
  <si>
    <t>Business Ownership</t>
  </si>
  <si>
    <t>Ruchi Pathak Kaul</t>
  </si>
  <si>
    <t>Honorary Lecturer</t>
  </si>
  <si>
    <t>UCL</t>
  </si>
  <si>
    <t>Dr. Ruchi Pathak Kaul is a maxillofacial surgeon, researcher, and healthcare entrepreneur who founded Reconstructive Healthcare Solutions Pvt Ltd in 2018, a medical technology startup specializing in 3D printing for surgical planning and patient-specific medical solutions. She holds a PhD in Surgery from AIIMS New Delhi and is a member of the Royal College of Surgeons and Physicians. Her expertise encompasses virtual surgical planning, 3D printed anatomical models, surgical cutting guides, and custom implants for complex mid-face reconstructive surgeries. Beyond her clinical and entrepreneurial roles, she is an accomplished TEDx speaker, author, podcast host ("Surgeons in 3D Printing"), STEM mentor, and sustainability advocate. She has successfully bridged medicine and engineering through consultation at the Surgical Innovation Lab at AIIMS, developing innovative approaches to make advanced surgical technologies accessible to healthcare providers and academic institutions globally.
Skills: 3D Printing Technology, Maxillofacial Surgery, Healthcare Innovation, Virtual Surgical Planning, Medical Device Design, Entrepreneurship, Research &amp; Development, STEM Mentoring, Healthcare Consulting, Medical Technology Implementation, Patient-Specific Solutions, Surgical Planning</t>
  </si>
  <si>
    <t>https://www.linkedin.com/in/dr-ruchi-pathak-kaul/</t>
  </si>
  <si>
    <t>Maxillofacial Surgery</t>
  </si>
  <si>
    <t>Sanjay Seth</t>
  </si>
  <si>
    <t>Vice President and CEO</t>
  </si>
  <si>
    <t>Griha Council</t>
  </si>
  <si>
    <t>Sanjay Seth is the Vice President &amp; CEO of GRIHA Council and Senior Director of the Sustainable Infrastructure Programme with The Energy and Resources Institute (TERI). He is a sustainability professional and visionary leader dedicated to transforming the building and energy sectors through innovative solutions for resource efficiency and carbon footprint reduction. His expertise spans sustainable development, green building practices, and creating collaborative ecosystems for advancing environmental responsibility. As a civil engineer turned sustainability executive, he has demonstrated strong commitment to driving sustainable infrastructure development on a global scale. His leadership is characterized by fostering a culture of innovation, collaboration, and excellence in advancing green building standards and sustainable urban development. He actively engages with government bodies, industry stakeholders, and academic institutions to shape policy frameworks and promote sustainable practices across India's real estate and infrastructure sectors.
Skills: Sustainable Infrastructure Development, Green Building Certification (GRIHA), Sustainability Strategy, Resource Efficiency, Carbon Reduction, Environmental Leadership, Infrastructure Planning, Policy Framework Development, Stakeholder Collaboration, Urban Development, Building Energy Optimization</t>
  </si>
  <si>
    <t>https://www.linkedin.com/in/sanjay-seth-a42022269</t>
  </si>
  <si>
    <t>Climate Policy || Sustainability</t>
  </si>
  <si>
    <t>Environmental</t>
  </si>
  <si>
    <t>Sanjeev Malhotra</t>
  </si>
  <si>
    <t>Coach, Consultant and Mentor</t>
  </si>
  <si>
    <t>Self</t>
  </si>
  <si>
    <t>Sanjeev Malhotra is an accomplished technology leader and digital transformation strategist with over two and a half decades of experience in the global IT industry. He began his career as a design engineer on the Pentium Processor at Intel, and has since held senior leadership roles across multiple Fortune 500 companies including Caterpillar Inc., Qualcomm, iPass, and CSR (now Qualcomm). Currently, he serves as a member of the IIIT Bangalore Governing Body and brings expertise in AI, cloud computing, IoT, and enterprise software development. Throughout his career, he has spearheaded digital transformation initiatives, scaled product development teams, and driven innovation across various sectors. His proficiency spans processor design, mobile and wireless technologies, software development, and strategic operations across global markets. Beyond his corporate roles, he actively mentors fintech, digital startups, and early-stage ventures, contributing significantly to the tech ecosystem's growth.
Skills: Digital Transformation Strategy, AI &amp; Machine Learning, Cloud Computing &amp; AWS, IoT Technology, Product Development &amp; Innovation, Processor Design, Leadership &amp; Team Building, Go-to-Market Strategy, Global Operations Management, Cyber Resilience, Enterprise Software Solutions, Startup Mentoring</t>
  </si>
  <si>
    <t>https://www.linkedin.com/in/sanjeev-malhotra-0b88737b</t>
  </si>
  <si>
    <t>IoT and AI || Operation &amp; Strategic planning</t>
  </si>
  <si>
    <t>Sanjiv Rangrass</t>
  </si>
  <si>
    <t>Independant Director</t>
  </si>
  <si>
    <t>Bayer</t>
  </si>
  <si>
    <t>Sanjiv Rangrass is an accomplished business leader and venture capital investor with over four decades of experience, having spent 40 years at ITC Limited before transitioning into the startup ecosystem. He served as Divisional Chief Executive of ITC's agri-business unit for over a decade (managing 20+ states and 20+ crops) before retiring as Group Head of R&amp;D, Sustainability, and Projects in 2022. Currently, he serves as an Independent Director at Zetwerk, Advisor at McKinsey &amp; Company, and Venture Partner at Capria Ventures. He is also co-founder of The Agri Collaboratory and holds directorial positions with organizations like Bayer CropScience Ltd. and PanIIT Alumni Association. An active angel investor and mentor, he has successfully invested in and mentored numerous unicorn startups including Zetwerk, OfBusiness, BlackBuck, Vegrow, and various agritech companies. His deep expertise spans agri-business, climate-tech, sustainability, leadership development, and venture capital strategy.
Skills: Agribusiness Management, Venture Capital &amp; Investing, Startup Mentoring, Climate-Tech Investment, Sustainability Strategy, R&amp;D Leadership, Board Management, Angel Investing, Leadership Pipeline Development, Agritech Expertise, Climate Change Solutions, Founder Mentorship</t>
  </si>
  <si>
    <t>https://www.linkedin.com/in/sanjiv-rangrass-7aa2a712</t>
  </si>
  <si>
    <t>Agri Business || Sustainability</t>
  </si>
  <si>
    <t>Agriculture</t>
  </si>
  <si>
    <t>Satinder Paul Singh</t>
  </si>
  <si>
    <t>Technincal Advisory Board Member</t>
  </si>
  <si>
    <t>Semicinductor Research Corporation</t>
  </si>
  <si>
    <t>Satinder Paul Singh, known as "Silicon Singh," is a semiconductor futurist and CTO with 20+ years of hands-on leadership in SoC architecture, chiplet design, and AI-enabled semiconductor technologies. Currently serving as Chief Technology Officer at Hermes Semiconductors since February 2024, he brings extensive expertise across all aspects of IC/ASIC/SoC design and product development from specification through mass production. His career includes senior leadership roles at prestigious semiconductor companies including Broadcom Limited as Principal SoC Architect, Synopsys Inc. as Principal Architect for Mixed Signal IP, NXP Semiconductors, and Wipro Limited. He specializes in hierarchical SoC architecture, deep submicron chip design (from 90nm to 5nm nodes), multi-core processor development for automotive, wireless, IoT, and industrial applications. Beyond his technical expertise, he mentors junior architects, drives innovation initiatives, and serves on technical advisory boards including the Semiconductor Research Corporation. He holds an MBA from MIT Sloan School of Management.
Skills: SoC Architecture &amp; Design, Chip Design (90nm-5nm nodes), VLSI/Semiconductor Design, Multi-core Processor Development, AI-enabled Semiconductors, Mixed Signal IP, Automotive &amp; IoT SoCs, Silicon Implementation, Project Management, Technical Leadership, Cross-functional Team Leadership, Innovation Strategy</t>
  </si>
  <si>
    <t>https://www.linkedin.com/in/satinderpaul/</t>
  </si>
  <si>
    <t>Munich</t>
  </si>
  <si>
    <t>Semiconductor Design || AI and Tech Arch.</t>
  </si>
  <si>
    <t>Satish Nair</t>
  </si>
  <si>
    <t>Head - GTM sales and customer service</t>
  </si>
  <si>
    <t>SoftServe</t>
  </si>
  <si>
    <t>Satish Nair is an accomplished Chief Revenue Officer (CRO) and growth leader with a career chronicle of successfully leading organizations to market leadership by mastering the intersection of vision, revenue, and execution. With extensive experience in building customer-first organizations that leverage agile principles, he has held senior leadership positions including Senior VP Engineering at Medable Inc., Senior Director of Engineering at StubHub, and Director of Engineering at eBay and Yahoo!. His expertise spans scaling and maturing platforms, products, and processes while growing people and developing global teams. He excels in forging trusted relationships with key stakeholders, challenging conventional wisdom to drive fundamental positive change, and delivering business outcomes alongside engineering deliverables. His competencies include strategic planning, program management, P&amp;L ownership, enterprise software, scalability, agile/scrum methodologies, and cross-functional collaboration.
Skills: Chief Revenue Officer (CRO), Client Leadership, Growth Strategy, Customer-First Organizations, Agile Principles, Software Scaling &amp; Platform Development, Global Team Leadership, Technical Leadership, Strategic Planning, P&amp;L Management, DevOps, Enterprise Software, Business Transformation</t>
  </si>
  <si>
    <t>https://www.linkedin.com/in/satishnairp/</t>
  </si>
  <si>
    <t>USA</t>
  </si>
  <si>
    <t>New York</t>
  </si>
  <si>
    <t>Program Management || AI and Quantum Computing</t>
  </si>
  <si>
    <t>Sharad Saxena</t>
  </si>
  <si>
    <t>Member - renewable Enenrgy Council</t>
  </si>
  <si>
    <t>Confederation of Indian Industry</t>
  </si>
  <si>
    <t>Sharad Saxena is a seasoned solar energy professional with over four decades of total experience, including 30 years in the solar industry and two decades of top management experience. As Wholetime Director/CEO of four solar PV companies since 2003, he has built strong networks and legacies while managing comprehensive operations spanning grid-connected power plants and decentralized rooftop/ground-mounted systems with energy storage. A Mechanical Engineer and MBA (Marketing) graduate, he has established extensive distribution and supply chain networks globally, with expertise in both technology and commercial matters. Currently consulting and mentoring, he serves as Senior Advisor for renewable energy projects at CII-GBC (Confederation of Indian Industry - Green Building Council), mentors a successful solar software-as-a-service startup, and is a certified Independent Director registered on the IICA's Independent Director Databank. His professional journey includes leading startups, managing companies, recruiting and building teams, establishing processes, and driving aggressive business growth across multiple solar energy enterprises.
Skills: Solar Energy &amp; Renewable Solutions, Grid-Connected &amp; Off-Grid Systems, EPC Services, Energy Storage Systems, Business Startup Leadership, Team Building &amp; Recruitment, International Business Development, Supply Chain Management, Technology &amp; Commercial Expertise, Process Establishment, Strategic Business Consulting, Mentoring &amp; Advisory Services</t>
  </si>
  <si>
    <t>https://www.linkedin.com/in/sharad-saxena-aa53125/</t>
  </si>
  <si>
    <t>Program Management || Saas</t>
  </si>
  <si>
    <t>Sunil Gupta</t>
  </si>
  <si>
    <t>Co-Foudner and CEO</t>
  </si>
  <si>
    <t>QuNu Labe Pvt Ltd</t>
  </si>
  <si>
    <t>Sunil Gupta is a business leader and entrepreneur with 30+ years of experience specializing in products and product engineering in cutting-edge technologies. He is the Co-Founder and CEO of QNu Labs, a quantum security technology company with a mission to accelerate the world's transition to quantum-safe security, offering products like QRNG (Quantum Random Number Generator) and QKD (Quantum Key Distribution). His expertise spans building products and platforms in emerging technologies, developing go-to-market strategies, P&amp;L management, organizational development, and change management. Throughout his career, he has demonstrated proficiency in monetizing products, creating revenue-generating opportunities, and developing solutions around outcome certainty models. He enjoys analyzing macro and micro factors of businesses to develop key strategies and execute them to deliver growth in revenues, margins, and market share. His vision centers on delivering hack-proof communications through quantum technologies and advancing India's position in deep-tech innovation.
Skills: Quantum Security Technology, Product Development &amp; Engineering, Go-to-Market Strategy, P&amp;L Management, Revenue Growth &amp; Monetization, Organizational Development, Entrepreneurship, Technology Innovation, Quantum Key Distribution (QKD), Emerging Technology Expertise, Business Strategy, Change Management</t>
  </si>
  <si>
    <t>https://www.linkedin.com/in/sunil-gupta-1733754</t>
  </si>
  <si>
    <t>Restaurant Consulting || Cybersecurity</t>
  </si>
  <si>
    <t>Hospitality</t>
  </si>
  <si>
    <t>Sweta Singh</t>
  </si>
  <si>
    <t>Partner Alliance Manager</t>
  </si>
  <si>
    <t>Red Hat</t>
  </si>
  <si>
    <t>A technology professional pursuing purpose-driven leadership roles focused on empowering organizations and individuals through strategic partnerships and alliances. With expertise at RedHat India, she specializes in enabling organizations to optimize their operations through technology and partnerships. She brings a strategic mindset to technology enablement and is committed to driving organizational excellence and individual growth through collaborative approaches.
Skills: Strategic Partnerships, Alliances, Technology Enablement, Organizational Development, Leadership, Technology Strategy, RedHat Solutions, Business Development, Team Empowerment, Technology Management</t>
  </si>
  <si>
    <t>https://www.linkedin.com/in/sweta-singh-557b35115</t>
  </si>
  <si>
    <t>Journalism || Market Research</t>
  </si>
  <si>
    <t>Media</t>
  </si>
  <si>
    <t>Venkataramanan Mandakolathur</t>
  </si>
  <si>
    <t>IP Advisor</t>
  </si>
  <si>
    <t>Alpha Sights</t>
  </si>
  <si>
    <t>An experienced intellectual property (IP) strategy leader with over 18+ years of international expertise spanning healthcare, medical devices, and pharmaceutical sectors. As a prolific inventor with 50+ granted patents worldwide, he brings deep technical knowledge combined with strategic IP management capabilities. He previously served as a General Manager in MedTech and now focuses on providing IP advisory services, fostering cross-functional collaboration, and mentoring high-performing R&amp;D teams to optimize innovation and intellectual property protection. He specializes in building comprehensive IP portfolios and strategic patent architecture to support product development, commercialization, and business growth.
Skills: Intellectual Property Strategy, Patent Management, IP Advisory, MedTech Expertise, R&amp;D Leadership, Innovation Strategy, Patent Licensing, Cross-functional Collaboration, Inventor/Prolific Patentholder, Team Mentoring, Medical Device Development, Regulatory Strategy, Strategic Planning, Business Development</t>
  </si>
  <si>
    <t>https://www.linkedin.com/in/venkataramananmv/</t>
  </si>
  <si>
    <t>IP Strategy || Patent Analytics</t>
  </si>
  <si>
    <t>Vivek Sinha</t>
  </si>
  <si>
    <t>Senior Manager - Ecommerce</t>
  </si>
  <si>
    <t>House of Chakshu Couture</t>
  </si>
  <si>
    <t>An accomplished e-commerce and D2C growth leader with over 15 years of expertise in digital strategy, digital marketing, and fashion marketplaces. Currently leading House of Chakshu Couture, he has demonstrated success in scaling brands across major platforms including Myntra, Nykaa, Amazon, and Ajio. With a strong foundation from the National Institute of Technology, Vivek combines strategic business acumen with hands-on execution in building and growing digital-first fashion and e-commerce businesses.
Skills: E-commerce Strategy, D2C Growth, Digital Marketing, Brand Scaling, Marketplace Management, Fashion Industry Expertise, Business Development, Digital Transformation, Sales Strategy, Online Retail Management, Market Expansion, Strategic Planning, Customer Growth, Platform Optimization</t>
  </si>
  <si>
    <t>https://www.linkedin.com/in/vivek-sinha-4616195b/</t>
  </si>
  <si>
    <t>Product Management || Marketing Strategy</t>
  </si>
  <si>
    <t>Deepesh Shrinath</t>
  </si>
  <si>
    <t xml:space="preserve">
Co-Founder &amp; CEO</t>
  </si>
  <si>
    <t>ROADGRID</t>
  </si>
  <si>
    <t xml:space="preserve">A visionary entrepreneur and CEO of RoadGrid, building India's largest EV charging network with cutting-edge technology and infrastructure solutions. With over 10 years of experience in the UPS (Uninterruptible Power Supply) industry and 4+ years of proven startup management expertise, he brings deep technical knowledge and operational acumen to the electric mobility space. RoadGrid was recognized as one of Forbes India's Top 100 Startups of 2024 and has established strategic partnerships with major players like VinFast for scaling EV charging infrastructure across India, driving the nation's transition toward sustainable transportation.
Skills: EV Charging Technology, Startup Leadership, Business Development, Strategic Partnerships, Infrastructure Development, Sustainable Energy Solutions, Hardware-Software Integration, Customer-Centric Innovation, Smart Charging Solutions, Electric Mobility Ecosystem, Sales &amp; Marketing, Operations Management, Entrepreneurship, Technology Implementation
</t>
  </si>
  <si>
    <t>https://www.linkedin.com/in/deepesh-shrinath-7916a112</t>
  </si>
  <si>
    <t>Product Development || Prototyping &amp; Testing || Product Development || Prototyping &amp; Testing || Product Development || Prototyping &amp; Testing || Product Development || Prototyping &amp; Testing || Business Model Development</t>
  </si>
  <si>
    <t>Automobiles &amp; Auto Components || Automobiles &amp; Auto Components || Energy &amp; Renewable Resources || Energy &amp; Renewable Resources || Automobiles &amp; Auto Components || Automobiles &amp; Auto Components || Energy &amp; Renewable Resources || Energy &amp; Renewable Resources || Automotive &amp; Auto Components</t>
  </si>
  <si>
    <t>Dr. Preet Deep Singh</t>
  </si>
  <si>
    <t>apna</t>
  </si>
  <si>
    <t xml:space="preserve">Summary:
Dr. Preet Deep Singh is a senior leader at the intersection of technology, public policy, and startups. Currently Vice President at Apna.Co, he brings deep experience from his earlier role at Invest India, where he led national efforts on Artificial Intelligence adoption for the Government of India. His work spans AI-driven governance, startup ecosystem building, and large-scale capacity building.
Core Expertise:
 Artificial Intelligence and Generative AI adoption, public policy and governance, startup ecosystem development, analytics and data science, blockchain applications, investment and innovation policy, and workforce skilling. Strong exposure to government, startups, and digital platforms.
Problem-Solving Approach:
 Applies a data-driven and policy-first approach to complex systemic challenges. Leverages AI, machine learning, and blockchain to design scalable solutions, improve trust and transparency, and enable evidence-based decision-making across government and industry stakeholders.
Impactful Projects:
 Led AI adoption initiatives for the Government of India, training over 50,000 central government officers including teams from the Prime Minister’s Office. Headed the One District One Product (ODOP) initiative to globalize district-level products. As Startup India lead, worked on resolving the Angel Tax issue, defining startups, and implementing blockchain-based certification systems. Ranked in the top 5 percent of researchers globally on SSRN, with a PhD in Finance from IIM Ahmedabad and recipient of the Chaudhary–Padmanabhan–Pant Gold Medal.
Consultation Style:
 Highly collaborative and mentor-led, with a strong focus on knowledge transfer and practical application. Known for engaging deeply with founders, policymakers, and students, and tailoring guidance through teaching, structured mentoring, and hands-on advisory roles at leading academic institutions and incubators.
</t>
  </si>
  <si>
    <t>https://www.linkedin.com/in/dr-preet-deep-singh/</t>
  </si>
  <si>
    <t>preet.singh@apna.co</t>
  </si>
  <si>
    <t>Information Technology &amp; Innovation</t>
  </si>
  <si>
    <t xml:space="preserve">Jyoti Sudhir </t>
  </si>
  <si>
    <t>Co-Founder and CEO</t>
  </si>
  <si>
    <t>Inventindia Innovations Pvt. Ltd.</t>
  </si>
  <si>
    <t xml:space="preserve">Summary:
 Jyoti Sudhir is an entrepreneur and co-founder focused on driving product innovation and strategic growth. She leads strategy, operations, and corporate governance at InventIndia Innovations and plays a key role at On2Cook India, building companies that bridge design, technology, and market relevance. Her work reflects a deep commitment to systematic product development and creating teams that execute with purpose.
Core Expertise:
 Product design and innovation, business strategy, operations leadership, corporate governance, team building, startup scaling, and customer-centered design processes. Jyoti has experience guiding hardware and technology development across multiple industries with an emphasis on reliability and real-world impact. 
Problem-Solving Approach:
 She champions a disciplined, end-to-end approach to problem solving that marries analytical rigor with user insights. This includes validating ideas early, building robust processes, and fostering autonomous teams rather than creating dependency on founders for every decision. 
Impactful Projects:
 Under her leadership, InventIndia has executed numerous projects in industrial design and product development. Her efforts have helped position Indian-designed products on the global stage and won multiple awards for design excellence. She has also shared insights as a speaker and mentor, contributing to broader conversations on innovation and leadership. 
Consultation Style:
 Jyoti’s guidance is grounded in clarity, empathy, and empowerment. She focuses on building confidence within teams, enabling ownership, and encouraging leaders to think independently. Her approach is collaborative and rooted in real execution experience rather than theoretical frameworks. </t>
  </si>
  <si>
    <t>https://www.linkedin.com/in/jyotisudhir/</t>
  </si>
  <si>
    <t>Jyoti@inventindia.com</t>
  </si>
  <si>
    <t>Marketing &amp; Branding || Training &amp; Development</t>
  </si>
  <si>
    <t>Shweta Thakur Nanda</t>
  </si>
  <si>
    <t>Morning Sprout Consulting Pvt Ltd</t>
  </si>
  <si>
    <t>Summary:
A senior media and communication professional with over 20 years of experience across leading media houses including The Times of India, Press Trust of India, and The Week. Founder of Morning Sprout Consulting Pvt Ltd, focused on bridging business strategy with communication for government and private sector organizations across multiple domains.
Core Expertise:
Management consulting, integrated marketing communication (IMC) strategy, leadership and CXO branding, communication strategy, capacity building, sustainability communication and events. Strong grounding in digital marketing, marketing analytics, content strategy, social media, and AI-led marketing applications.
Problem-Solving Approach:
Combines journalistic rigor with strategic thinking to solve complex communication and positioning challenges. Focuses on clarity of narrative, stakeholder alignment, and measurable impact, ensuring communication strategies are tightly linked to business and policy objectives.
Impactful Projects:
Built and scaled Morning Sprout Consulting to serve both government and private sector clients. Contributed to national-level communication through membership in the IEC Sub Committee of the Commission for Air Quality Management under the Ministry of Environment, Forest and Climate Change. Recognized with prestigious awards including the Ramnath Goenka Award for Excellence in Journalism and the IIMC Alumni Award.
Consultation Style:
Highly collaborative and mentor-driven. Engages closely with leaders, teams, and institutions to build communication capability from within. Known for practical, hands-on guidance tailored to leadership needs, institutional context, and audience realities, drawing on extensive teaching and mentoring experience across academic and incubation platforms</t>
  </si>
  <si>
    <t>https://www.linkedin.com/in/shweta-thakur-nanda/</t>
  </si>
  <si>
    <t>shwetatnanda@gmail.com</t>
  </si>
  <si>
    <t>Mukul Agarwal2</t>
  </si>
  <si>
    <t>Summary
A senior IT and digital transformation leader with over 20 years of experience across BFSI, NBFCs, and housing finance companies. Currently heading IT and Enterprise Applications, with a strong focus on building secure, scalable, and compliant technology ecosystems. Brings deep domain understanding of financial services combined with hands-on leadership in enterprise systems, cloud, cybersecurity, and regulatory technology.
Core Expertise
BFSI IT Leadership and Enterprise Applications
Digital Transformation for NBFCs and HFCs
Loan Origination Systems (LOS) and Loan Management Systems (LMS)
Cloud Infrastructure and Cybersecurity
IT Compliance aligned with RBI and NHB guidelines
Fintech API and Credit Bureau Integrations
IT Infrastructure Management and Active Directory
Real-time MIS and Analytics Dashboards
Problem-Solving Approach
Takes a business-first approach to technology challenges by aligning IT strategy with regulatory needs, operational efficiency, and growth goals. Focuses on automating manual processes, modernizing legacy systems, strengthening security posture, and ensuring compliance without slowing business velocity. Known for practical execution and stakeholder alignment across business and tech teams.
Impactful Projects
Led enterprise-wide digital transformation across loan origination, servicing, collections, and compliance platforms
Implemented LOS and LMS systems to improve turnaround time, reporting accuracy, and scalability
Modernized cloud infrastructure and enforced cybersecurity frameworks across organizations
Integrated fintech APIs and credit bureau services to strengthen underwriting and decision-making
Built real-time dashboards enabling leadership teams to track performance and risk metrics
Consultation Style
Engages in a structured and collaborative manner, starting with a clear understanding of business priorities and regulatory constraints. Provides practical, implementation-focused guidance rather than theoretical advice. Adapts recommendations based on organizational maturity, risk appetite, and scale, ensuring solutions are both realistic and future-ready.</t>
  </si>
  <si>
    <t>https://linkedin.com/in/mukulag</t>
  </si>
  <si>
    <t>Muthukumar Vemban</t>
  </si>
  <si>
    <t>Partner Supply Chain Practice</t>
  </si>
  <si>
    <t xml:space="preserve">Flipcarbon: Strategy, Change, Consulting and Fractional CHRO </t>
  </si>
  <si>
    <t>Summary:
Muthukumar Vemban is a senior supply chain and operations leader with over three decades of experience across manufacturing, engineering, and end-to-end supply chain roles. Currently leading the Supply Chain Practice at Flipcarbon Integrated Solution, he focuses on scaling the practice rapidly while driving client acquisition, service delivery, pricing strategy, and portfolio design. His career spans large, complex organizations where he has consistently delivered cost, quality, and reliability improvements. 
Core Expertise:
Supply chain strategy, manufacturing operations, cost optimization, quality and reliability, Total Productive Maintenance (TPM), Six Sigma Black Belt execution, engineering leadership, sustainability in operations, budget control, and large-scale organizational capability building across FMCG, beverages, and industrial manufacturing. 
Problem-Solving Approach:
Takes a structured, data-led approach rooted in continuous improvement and cross-functional collaboration. Focuses on building fit-for-purpose organization structures, maturing sales and operations planning processes, and embedding cost discipline and operational excellence to deliver sustained bottom-line impact. 
Impactful Projects:
Led cost, quality, safety, and reliability transformations across multiple company-owned and contract manufacturing sites at SABMiller India, including end-to-end supply chain leadership for contract manufacturing. At Britannia Industries, drove performance across 13 owned manufacturing units. As Operations Director at Bacardi, strengthened manufacturing and supply chain outcomes. Earlier, delivered greenfield and brownfield plant projects at Coca-Cola India and EID Parry, contributing to ISO 9000 certification and large-scale operational upgrades. 
Consultation Style:
Pragmatic, hands-on, and outcome-oriented. Engages closely with client leadership teams to co-create solutions that are practical and scalable. Known for building strong cross-functional alignment, mentoring teams, and translating strategy into disciplined execution that delivers measurable results.</t>
  </si>
  <si>
    <t>https://www.linkedin.com/in/muthukumarvemban/</t>
  </si>
  <si>
    <t>Bengaluru,</t>
  </si>
  <si>
    <t>vemban.muthukumar@gmail.com</t>
  </si>
  <si>
    <t>Pramod Harith R</t>
  </si>
  <si>
    <t>Venture Catalyst &amp; Strategic Marketing Leader</t>
  </si>
  <si>
    <t>Aspire venture catalysts</t>
  </si>
  <si>
    <t>Summary:
Pramod Harith R is an entrepreneur, growth leader, and go-to-market strategy expert who helps startups and businesses build market fit and scale their offerings. With experience as a venture catalyst, mentor, and speaker, he works with founders and teams to clarify their value proposition and drive sustainable growth.
Core Expertise:
Go-to-market strategy, growth marketing, business transformation, startup enablement, market opportunity discovery, demand generation, and founder mentoring. He also brings experience in brand positioning and strategic communications that help early-stage ventures find traction.
Problem-Solving Approach:
Pramod takes a founder-centric, practical approach. He focuses on understanding core customer needs, aligning product characteristics with market demand, and building actionable frameworks that teams can execute against. His methods blend strategic insight with hands-on tactics that improve market entry and early adoption success.
Impactful Projects:
He leads and facilitates go-to-market bootcamps and startup support programs, including sessions on Market Opportunity Discovery and Go-to-Market Strategy that equip founders with frameworks to assess product-market fit and scale effectively.
Consultation Style:
Collaborative and outcome-oriented. Pramod engages with founders and leadership teams through interactive workshops, mentor-led sessions, and tailored strategic guidance. His style emphasizes practical tools, real-world examples, and actionable next steps that help teams move from concept to execution.</t>
  </si>
  <si>
    <t>https://www.linkedin.com/in/pramodharith/</t>
  </si>
  <si>
    <t>Tamil Nadu</t>
  </si>
  <si>
    <t>pramodharithr@gmail.com</t>
  </si>
  <si>
    <t>99406 75246</t>
  </si>
  <si>
    <t>Manik Koul</t>
  </si>
  <si>
    <t>DoorMonk</t>
  </si>
  <si>
    <r>
      <t xml:space="preserve">Summary:
Manik Koul is a senior leadership professional with extensive experience in strategy, business transformation, and operational excellence across sectors. He has a strong track record of leading growth initiatives, driving organizational change, and building high-performance teams.
Core Expertise:
Strategic planning, business development, operational leadership, performance management, portfolio optimization, and cross-functional collaboration. He has worked across multiple industries with a focus on aligning organizational goals with actionable execution plans to deliver measurable results.
Problem-Solving Approach:
Manik applies a structured, insight-driven approach to strategic challenges. He combines analytical rigor with stakeholder alignment to identify root causes, design practical solutions, and mobilize teams toward agreed outcomes. His methodology emphasizes clarity, agility, and continuous learning to navigate complexity and deliver on strategic priorities.
Impactful Projects:
He has led transformational programs that span business strategy realignment, operational restructuring, and performance improvement. Through these initiatives, he has helped organizations sharpen their competitive positioning, improve efficiency, and strengthen execution discipline. His work often bridges strategic intent with tangible outcomes across business functions.
</t>
    </r>
    <r>
      <rPr>
        <b/>
        <sz val="11"/>
        <color rgb="FF000000"/>
        <rFont val="Aptos Narrow"/>
        <family val="2"/>
        <scheme val="minor"/>
      </rPr>
      <t xml:space="preserve">Consultation Style:
</t>
    </r>
    <r>
      <rPr>
        <sz val="11"/>
        <color rgb="FF000000"/>
        <rFont val="Aptos Narrow"/>
        <family val="2"/>
        <scheme val="minor"/>
      </rPr>
      <t>Collaborative, pragmatic, and outcome-focused. Manik engages closely with leaders and teams to co-create strategies that are feasible and impactful. His style emphasizes clear communication, accountability, and a balance between long-term vision and near-term execution, ensuring sustained performance improvement.</t>
    </r>
  </si>
  <si>
    <t>http://linkedin.com/in/manik-koul/</t>
  </si>
  <si>
    <t>manik@doormonk.in</t>
  </si>
  <si>
    <t>95038 17768</t>
  </si>
  <si>
    <t>Dhruv Nath</t>
  </si>
  <si>
    <t>Lead Angels Network</t>
  </si>
  <si>
    <t>Summary
Dhruv Nath is a seasoned startup mentor, angel investor, author, and academic with deep involvement in India’s entrepreneurial ecosystem. With leadership experience across academia and corporate roles, he bridges theory with real-world startup execution. His work focuses on helping founders understand funding realities, sharpen business focus, and build sustainable ventures. Through mentoring, investing, writing, and public discourse, Dhruv consistently simplifies complex startup challenges and offers pragmatic guidance. His impact spans classrooms, boardrooms, and founder communities, making him a trusted voice for early-stage entrepreneurs seeking clarity, discipline, and long-term value creation.
Key Areas of Expertise
Angel investing and startup funding dynamics
Early-stage founder mentoring and ecosystem building
Startup strategy, focus, and scalability
Entrepreneurship education and academic leadership
Authoring practical books on startup funding and growth
Strategic Contributions
Guided startups on fundraising readiness and investor expectations
Contributed thought leadership on startup focus, valuation, and execution
Invested in and supported multiple early-stage ventures
Built bridges between academic learning and startup realities
Enabled founders to make informed strategic and financial decisions
Mentorship Philosophy
Strong belief in practical execution over theoretical perfection
Encourages founders to focus, simplify, and prioritize market realities
Advocates resilience, adaptability, and disciplined thinking
Supports founders from diverse backgrounds, regardless of pedigree
Mentorship centered on honesty, clarity, and long-term sustainability
Success Stories
Mentored and influenced hundreds of founders across sectors
Helped startups refine business models and funding strategies
Books and insights widely used by entrepreneurs and investors
Recognized as a credible, no-nonsense mentor in the startup ecosystem</t>
  </si>
  <si>
    <t>https://www.linkedin.com/in/dhruvnathprof</t>
  </si>
  <si>
    <t>dhruvn55@gmail.com</t>
  </si>
  <si>
    <t xml:space="preserve">Archana </t>
  </si>
  <si>
    <t>Accelerate, Liftoff</t>
  </si>
  <si>
    <t>Dr. Rakesh Malhotra</t>
  </si>
  <si>
    <t>Innovations in Development and Empowerment Alternatives (IDEA)</t>
  </si>
  <si>
    <t xml:space="preserve">Summary:
Dr. Rakesh Malhotra is an experienced medical professional and healthcare leader with over three decades of clinical practice and healthcare engagement. He serves as a senior physician and director at Neo Hospital and has been associated with multiple healthcare and medical service initiatives in the region. 
Core Expertise:
Internal medicine and general physician practice with deep experience in diagnosing and managing a wide range of health conditions. Skilled in internal medicine, infectious disease management, patient diagnosis, health administration, and clinical care coordination. 
Problem-Solving Approach:
Dr. Malhotra takes a patient-first approach grounded in meticulous clinical assessment and diagnosis. He integrates evidence-based medicine with empathetic care to tailor treatment plans to individual patient needs, with a strong focus on prevention as well as acute and chronic condition management. 
Impactful Projects:
Over 30 years of practice in the Noida and Delhi NCR healthcare ecosystem. He has provided medical consultation and treatment through his long-standing role at Neo Hospital, Sector 50, treating a wide range of internal medicine and general health conditions while building a trusted patient care practice. 
Consultation Style:
Calm, thorough, and patient-centric. Known for taking time to understand patient health concerns, explain diagnoses clearly, and involve patients in their care plans. Focuses on building trust and long-term health outcomes through attentive clinical engagement. 
</t>
  </si>
  <si>
    <t>https://www.linkedin.com/in/dr-rakesh-malhotra-36713552/</t>
  </si>
  <si>
    <t>rakesh.malhotra@trustidea.org</t>
  </si>
  <si>
    <t>Strategic Planning</t>
  </si>
  <si>
    <t>no</t>
  </si>
  <si>
    <t>Simi Mishra</t>
  </si>
  <si>
    <t>Director and Chief Sustainability Officer</t>
  </si>
  <si>
    <t>3R ZeroWaste Private Limited</t>
  </si>
  <si>
    <t>Summary:
Simi Mishra is an experienced development sector and communications professional with a strong focus on institutional capacity building, sustainability, and behavior change strategy. She has worked across public policy, sustainable development, and complex systems strengthening initiatives, often engaging with cross-sector partners to design and drive impact-oriented programs.
Core Expertise:
Institutional strengthening, behavior change communications, sustainability strategy, systems architecture, public sector engagement, evidence-based policy communication, and multi-stakeholder program leadership. She also works on resource recovery, circular economy, and sustainability discussions in areas such as waste management and environmental inclusion.
Problem-Solving Approach:
Simi takes a human-centered approach to complex development challenges. She blends behavior insights with strategic communications to influence systems and stakeholders toward sustainable outcomes. Her methodology emphasizes research-informed interventions and collaborative design with public, private, and civil society actors.
Impactful Projects:
She has served as a consultant on global development assignments including work with the World Bank, focusing on behavior change communication and institutional systems improvement. She regularly contributes to thought leadership on sustainability topics such as e-waste and urban mining, advocating for inclusive, equitable approaches that integrate informal sector actors into formal value chains.
Consultation Style:
Her style is participatory and strategic. She engages stakeholders through clear frameworks, evidence-based insights, and a focus on building local capacity. Whether working with government bodies, development partners, or industry groups, she emphasizes co-creation, practical implementation, and systems alignment to achieve sustainable impact.</t>
  </si>
  <si>
    <t>https://www.linkedin.com/in/simi-mishra/</t>
  </si>
  <si>
    <t>simi.mishra.sm@gmail.com</t>
  </si>
  <si>
    <t>Ashish Jain</t>
  </si>
  <si>
    <t>Program Manager</t>
  </si>
  <si>
    <t>AMDOCS</t>
  </si>
  <si>
    <t>Summary Ashish is a seasoned management professional from the telecom and communications industry with over 19 years of diversified experience across techno-managerial roles. He brings deep expertise in OSS/BSS, NMS, Billing Mediation, and large-scale digital transformation programs. With a strong blend of technical depth, business acumen, and entrepreneurial thinking, Ashish has consistently driven complex telecom transformations from strategy to production at global scale. Core Expertise Telecom OSS/BSS, NMS &amp; Billing Mediation Systems Service Assurance &amp; Service Fulfilment Large-scale Program &amp; Delivery Management IT Operations &amp; Managed Services (L1/L2/L3) Architecture, Engineering, Scalability &amp; Resiliency RPA, AI &amp; ML applications for ITSM and Ticket Automation Global Delivery Model &amp; Offshore Program Management Vendor &amp; Stakeholder Management Problem-Solving Approach Ashish adopts a customer-centric and execution-driven approach, combining strong engineering practices with operational excellence. He works closely with customers and internal stakeholders to design scalable, resilient solutions, define clear governance models, and ensure predictable delivery across complex, mission-critical environments. His focus remains on aligning technology outcomes with business value. Impactful Projects Led multi-million-dollar OSS/BSS programs for leading telecom operators across the US, Europe, APAC, and managed services markets. Built and scaled managed services operations and Centers of Excellence for automation using RPA, AI, and ML, improving productivity and service reliability. Played a key role in legacy stack modernization, production operations for 24x7x365 environments, and large-scale system integration programs. Supported pre-sales and business teams by contributing to SOWs, RFP responses, solution design, and executive-level presentations and demos. Consultation Style Ashish follows a collaborative, transparent, and mentorship-driven engagement style. He partners closely with customers, leadership teams, and delivery managers to co-create solutions, build high-performing teams, and enable long-term capability development. Known for strong people leadership, he has successfully managed and mentored 80+ geographically distributed professionals, fostering ownership, accountability, and continuous improvement.</t>
  </si>
  <si>
    <t>https://www.linkedin.com/in/ashish-jain-1131283/</t>
  </si>
  <si>
    <t>asjain75@gmail.com</t>
  </si>
  <si>
    <t>Sameer Bhat</t>
  </si>
  <si>
    <t xml:space="preserve">Ergo Healthcare Pvt Ltd </t>
  </si>
  <si>
    <t>Summary:
Sameer Bhat is a strategic leader with extensive experience in envisioning, energizing, and driving teams toward performance and growth. He has worked across business strategy, people leadership, and operational excellence in diverse institutional settings, including academia and industry roles.
Core Expertise:
Team leadership, strategic planning, business transformation, operational execution, stakeholder engagement, and performance management. His work spans building and strengthening teams, streamlining processes, and aligning execution with organizational goals.
Problem-Solving Approach:
Sameer adopts a collaborative approach that focuses on clear vision setting and collective execution. He emphasizes energizing teams through shared purpose, structured planning, and continuous improvement to solve complex organizational and performance challenges.
Impactful Projects:
His leadership roles include significant contributions at SVKM’s Narsee Monjee Institute of Management Studies, where he has been known to guide teams toward strategic goals and performance outcomes. His work also touches operational and strategic initiatives across domains that require team alignment and execution discipline.
Consultation Style:
Engages with a people-centric and practical mindset. Known for building trust, clarity of communication, and empowering teams to translate strategy into measurable results. Prioritizes simplicity and collaboration in driving organizational improvements and people engagement.</t>
  </si>
  <si>
    <t>https://www.linkedin.com/in/bhatsameer/</t>
  </si>
  <si>
    <t>profsameerbhat@gmail.com</t>
  </si>
  <si>
    <t>77386 55566</t>
  </si>
  <si>
    <t>Sunil B</t>
  </si>
  <si>
    <t>Regional Manager</t>
  </si>
  <si>
    <t>ElasticRun</t>
  </si>
  <si>
    <t>Sunil B is an operations leader with 10+ years of experience across Electric Vehicles (EVs), logistics, and high-growth startups. His profile highlights a strong commitment to building scalable, tech-enabled, and sustainable operational systems, driven by people-first leadership and long-term impact.
Core Expertise
Large-scale EV fleet operations (2W &amp; 3W)
Last-mile logistics optimization
Operations scaling for high-growth environments
HR and operational framework development
SOP creation and process standardization
Vendor management ecosystems
Cross-functional leadership
Tech-integrated operations (IoT, robotics, PCB design)
UAV piloting and electronics background
Problem Solving Approach
Sunil B adopts a structured, execution-oriented approach:
Aligns people strategy (HR) with operational goals
Uses standardized processes and SOPs for consistency
Focuses on measurable KPIs such as uptime and retention
Leverages technology and engineering knowledge to solve operational challenges
Designs scalable systems that support rapid expansion
Impactful Projects
Managed EV fleets of 6000+ two-wheelers and 350+ three-wheelers across India with ~98% uptime
Built HR and operational frameworks at Gigforce and I Voltage, improving retention and delivery efficiency by ~30%
Led last-mile logistics optimization initiatives
Established vendor networks and operational workflows for large-scale operations</t>
  </si>
  <si>
    <t>https://www.linkedin.com/in/sunilb8/</t>
  </si>
  <si>
    <t>sunilb8@live.com</t>
  </si>
  <si>
    <t>Gowtham Injamuri</t>
  </si>
  <si>
    <t>VP - Product</t>
  </si>
  <si>
    <t>Pulse Energy</t>
  </si>
  <si>
    <t>Summary
Gowtham Injamuri is a Product Manager and multidisciplinary generalist driven by curiosity and first-principles thinking. His journey began with hands-on engineering projects at BITS Pilani Goa, including leading the development of the campus’s first all-terrain vehicle. He transitioned into the automotive industry with Tata Motors, managing large-scale programs and cost-reduction initiatives. At Ather Energy, he delivered critical electric mobility infrastructure and vehicle components, contributing to landmark EV products. Later, at Log9 Materials, he led charging infrastructure products and partnerships, expanding fast-charging networks. Beyond work, he is an avid trek leader, adventure enthusiast, and travel blogger who enjoys building, exploring, and sharing experiences.
Key Areas of Expertise
Product Management and Program Management
Electric Vehicle (EV) ecosystem and charging infrastructure
End-to-end product development
Automotive engineering and mobility solutions
Cost optimization and large-scale program execution
Partnership development and network scaling
First-principles thinking and rapid prototyping
Strategic Contributions
Led a 22-member engineering team to build the first all-terrain vehicle at BITS Goa
Delivered major cost-reduction initiatives at Tata Motors with significant annual savings
Played a key role in developing India’s largest two-wheeler charging network (Ather Grid)
Delivered multiple generations of charging infrastructure programs at Ather Energy
Contributed to chassis and electronics development for Ather 450 and 450X
Built InstaCharge On Demand mobile DC fast charging solution at Log9 Materials
Expanded fast-charging network through partnerships with 11+ operators to 200+ points
Mentorship Philosophy
Learn by building and experimenting hands-on
Embrace curiosity and cross-disciplinary exploration
Apply first-principles thinking to solve complex problems
Treat failures as learning opportunities (e.g., experimental projects)
Encourage initiative, ownership, and end-to-end responsibility
Balance technical depth with business understanding
Success Stories
Converting a Tata Motors internship into a full-time program management role
Delivering national-scale EV charging infrastructure at Ather Energy
Contributing to flagship electric scooter programs (Ather 450 &amp; 450X)
Scaling DC fast-charging networks through strategic partnerships at Log9
Leading complex engineering builds from concept to deployment
Sustaining a parallel identity as a trek leader, blogger, and outdoor adventurer</t>
  </si>
  <si>
    <t>https://www.linkedin.com/in/gowthaminjamuri/</t>
  </si>
  <si>
    <t>igowtham.kumar@gmail.com</t>
  </si>
  <si>
    <t>Mridul Tiwari</t>
  </si>
  <si>
    <t>Strategic Business Consultant</t>
  </si>
  <si>
    <t>MT Strategic Mobility Advisors</t>
  </si>
  <si>
    <t>Mridul Tiwari is a strategic business consultant specializing in driving growth and digital transformation across automotive networks in both emerging and mature markets.
With extensive experience in sales, network development, operations, and strategic planning, he delivers measurable commercial and operational success. He has a strong track record of leading large teams, increasing revenue, reducing costs, and optimizing sales channels to enhance customer satisfaction and sustainable growth.
Academically accomplished, he holds a PGDM from SPJIMR, advanced credentials in business analytics, and project management certification from Stanford University. His expertise in Mobility and EV ecosystems positions him as a forward-thinking leader committed to innovation and organizational excellence worldwide.
Key Areas of Expertise -
Automotive network growth and digital transformation
Sales leadership and revenue expansion
Network strategy and business operations
Mobility and Electric Vehicle (EV) domain expertise
Customer experience optimization
Supply chain and channel management
Strategic planning and program management
Business development and pricing strategy
Strategic Contributions -
Delivered consistent commercial and operational success across diverse markets
Scaled topline growth while significantly reducing operational costs
Optimized sales channels and network efficiency for sustainable performance
Led large, cross-functional teams toward measurable business outcomes
Strengthened customer satisfaction through process and service improvements
Enabled digital transformation initiatives within automotive ecosystems
Mentorship Philosophy
Leads by example through data-driven decision-making and strategic clarity
Encourages team empowerment, capability building, and accountability
Promotes innovation and continuous improvement culture
Focuses on aligning individual performance with organizational goals
Values collaboration, resilience, and long-term sustainable growth
Success Stories
Successfully expanded automotive networks across emerging and mature markets
Achieved significant revenue growth alongside cost optimization
Improved operational efficiency and customer satisfaction simultaneously
Guided organizations through digital transformation journeys
Built and led high-performing teams delivering sustained business impact</t>
  </si>
  <si>
    <t>https://www.linkedin.com/in/mridultiwari/</t>
  </si>
  <si>
    <t>Haryana</t>
  </si>
  <si>
    <t>tiwari.mridul@live.in</t>
  </si>
  <si>
    <t>Sudheer Kumar</t>
  </si>
  <si>
    <t>Chief of Practice</t>
  </si>
  <si>
    <t>Mapping Metrics</t>
  </si>
  <si>
    <t>Summary
Sudheer Kumar is a seasoned professional with over 20 years of industry and domain experience leading high-impact initiatives in project management, business development, and corporate restructuring. He excels at converting strategy into executable plans, aligning cross-functional stakeholders, and delivering measurable value across complex, multi-stakeholder programs. Trusted by senior leadership for operational excellence, he consistently drives results, manages international projects, and builds strong B2B relationships. His background in corporate law and new business development strengthens governance and growth outcomes. Known for disciplined execution and collaboration, Sudheer enables organizations to navigate change, optimize performance, and achieve sustainable expansion in competitive markets today.
Key Areas of Expertise
Project Management (including International Projects)
Business Development &amp; New Business Development
Corporate Restructuring
Corporate Law
B2B (Business-to-Business) Strategy
Cross-functional Stakeholder Alignment
Operational Excellence
Strategic Contributions
Translating high-level strategy into actionable execution plans
Driving measurable business value across complex programs
Aligning diverse stakeholders toward common organizational goals
Supporting leadership with data-driven, results-oriented delivery
Enabling organizational transformation through restructuring initiatives
Mentorship Philosophy
Leads by example through disciplined execution and accountability
Encourages collaboration across functions and geographies
Focuses on building strategic thinking alongside operational skills
Promotes stakeholder awareness and business value orientation
Supports professional growth through real-world program exposure
Success Stories
Delivery of high-impact, multi-stakeholder programs with measurable outcomes
Trusted advisor to leadership teams on critical initiatives
Successful execution of international and cross-border projects
Strengthened B2B partnerships and new business pipelines
Contributions to corporate restructuring efforts that improved performance and alignment</t>
  </si>
  <si>
    <t>https://www.linkedin.com/in/connectwithsudheer/</t>
  </si>
  <si>
    <t>sudheerkumar369@outlook.com</t>
  </si>
  <si>
    <t>Mahima Jinah Kim</t>
  </si>
  <si>
    <t>Founder, Managing Partner</t>
  </si>
  <si>
    <t>Unicorn Incubator</t>
  </si>
  <si>
    <t xml:space="preserve">Mahima J Kim is a sustainability and innovation professional with experience in driving impact across strategy, product development, and ecosystem engagement. She works at the intersection of sustainability, design thinking, and business strategy, helping organisations and initiatives build purpose-led models that create social and environmental value.
Core Expertise:
Sustainability strategy, design thinking, innovation frameworks, circular economy solutions, stakeholder engagement, and impact measurement. She has experience guiding cross-functional teams and building strategic approaches that align sustainable outcomes with business and community goals.
Problem-Solving Approach:
Mahima takes a human-centred, systems-oriented approach to complex challenges. She blends design thinking with sustainability principles to define problems holistically, co-create solutions with stakeholders, and prototype scalable interventions. Her work roots in evidence-based insights and iterative testing.
Impactful Projects:
She has been involved in sustainability initiatives and impact programmes that focus on circularity, inclusive models, and strategic stakeholder alignment. Through her roles, she has contributed to shaping programmes that connect innovation with measurable impact in social and environmental domains.
Consultation Style:
Collaborative and insight-driven. Mahima works closely with teams to uncover underlying challenges, align on shared goals, and develop actionable strategies. Her style emphasises co-creation, clarity of purpose, and building capability within organisations to sustain long-term impact.
</t>
  </si>
  <si>
    <t>https://www.linkedin.com/in/mahimajkim/</t>
  </si>
  <si>
    <t>South Korea</t>
  </si>
  <si>
    <t>Seoul</t>
  </si>
  <si>
    <t>mahima@unicornincubator.net</t>
  </si>
  <si>
    <t>+82 10-7750-7480</t>
  </si>
  <si>
    <t>Ajay Batra</t>
  </si>
  <si>
    <t>Uniqorn Growth Partners</t>
  </si>
  <si>
    <t>Summary Ajay is a seasoned entrepreneur, mentor, and startup ecosystem leader with over 25 years of experience across technology, consulting, and venture development. As the Founder &amp; CEO of Uniqorn Growth Partners, he works closely with early-stage founders to help them transform bold ideas into sustainable and impactful ventures. Over the years, Ajay has mentored hundreds of entrepreneurs, led incubator programs, and contributed to shaping India’s startup ecosystem through national industry bodies and academic institutions. Core Expertise Startup Mentorship &amp; Venture Building Early-stage Investing &amp; Angel Networks Founder Training &amp; Startup Education Incubation and Accelerator Program Design Startup Ecosystem Development Innovation &amp; Entrepreneurship Programs Strategic Advisory for Early-stage Ventures Problem-Solving Approach Ajay takes a hands-on, action-oriented approach to mentoring founders. He focuses on helping entrepreneurs clarify their vision, build strong execution frameworks, and make practical decisions that move their ventures forward. By combining strategic thinking with real-world startup experience, he guides founders through the complexities of building and scaling businesses. Impactful Projects Founder &amp; CEO, Uniqorn Growth Partners: Supporting early-stage founders through mentorship, angel investing, and practical startup tools. Creator of Startly.in: Building a startup success platform that connects founders with co-founders, mentors, and investors. Executive Vice President – Venture Fastrack, Wadhwani Foundation: Led initiatives focused on accelerating startup growth and venture development. Founding Director – Center for Innovation and Entrepreneurship, Bennett University: Established entrepreneurship programs and incubation initiatives to support student startups. Founding Director (IAA) &amp; Advisor – Azim Premji Foundation: Contributed to leadership development and innovation initiatives. Founding Partner – QAI Global: Played a key role in building consulting and training programs in quality and process improvement. Conducted 400+ startup workshops and actively contributed to national startup initiatives through CII, FICCI, and other platforms. Consultation Style Ajay follows a founder-first and collaborative mentoring style, working closely with entrepreneurs to help them stay focused, resilient, and execution-driven. His mentoring emphasizes practical guidance, structured learning, and consistent support to help founders navigate challenges and build long-term, impactful ventures.</t>
  </si>
  <si>
    <t>https://www.linkedin.com/in/ajaybatra1?originalSubdomain=in</t>
  </si>
  <si>
    <t>ajaybatra1@gmail.com</t>
  </si>
  <si>
    <t>Vinay Goel</t>
  </si>
  <si>
    <t xml:space="preserve">Instavans </t>
  </si>
  <si>
    <t xml:space="preserve">**Summary:**
Vinay Goyal is a seasoned entrepreneur, investor, and innovation leader with a strong track record of founding and scaling ventures across digital products, marketplaces, and technology platforms. He combines strategic insight with hands-on execution to build companies that solve real business challenges, with experience spanning venture incubation, investment advisory, and tech-enabled growth.
**Core Expertise:**
Startup building and scaling, product strategy, go-to-market design, fundraising and venture investing, digital transformation, marketplace economics, and corporate innovation. Core sectors include technology, digital services, e-commerce, and platforms that bridge business and consumer needs.
**Problem-Solving Approach:**
Vinay takes a founder-first, market-driven approach. He brings clarity to problem framing by anchoring solutions in customer insights and business viability. He then works collaboratively with teams to design lean experiments, measure outcomes, and pivot strategically to sustain growth and operational performance.
**Impactful Projects:**
Founder of multiple ventures and ecosystem initiatives that have driven measurable growth and strategic partnerships. Known for helping early- and growth-stage startups refine product-market fit, secure investment, and scale revenue. He also plays an active role in mentoring and advising companies on building strong business models and sustainable growth pathways.
**Consultation Style:**
Practical and strategic with a focus on actionable frameworks. Vinay engages with founders and leaders through structured mentorship, clarity in decision-making, and alignment on growth priorities. He emphasizes measurable outcomes, accountability, and leveraging data to guide business choices.
</t>
  </si>
  <si>
    <t>https://www.linkedin.com/in/vinaygoyal/</t>
  </si>
  <si>
    <t>vinay.goyal@instavans.com</t>
  </si>
  <si>
    <t>97319 15522</t>
  </si>
  <si>
    <t>Dr. Ati Priye</t>
  </si>
  <si>
    <t>CGC University</t>
  </si>
  <si>
    <t xml:space="preserve">Summary
Dr. Ati Priye is a distinguished startup strategist, incubation leader, and innovation ecosystem builder with extensive experience in bridging the gap between academia, industry, and entrepreneurship. As a CEO of an incubation ecosystem and a TEDx speaker, he focuses on nurturing early-stage startups, strengthening deal flow pipelines, and enabling innovation-driven enterprises. His work centers on empowering students and entrepreneurs through mentorship, incubation programs, and strategic industry collaborations. Dr. Priye actively promotes entrepreneurial leadership, digital transformation, and startup valuation expertise while fostering real-world learning environments that prepare future founders and professionals to thrive in dynamic global markets and emerging innovation ecosystems.
Key Areas of Expertise
Startup Strategy &amp; Ecosystem Development
Venture Capital &amp; Investment Strategy
Startup Valuation &amp; Deal Flow Management
Innovation &amp; Digital Transformation
Industry–Academia Collaboration
Incubation &amp; Entrepreneurship Development
Leadership Development &amp; Youth Entrepreneurship
Strategic Partnerships and Ecosystem Building
Strategic Contributions
Leads incubation and startup ecosystem initiatives that support early-stage entrepreneurs and innovators.
Strengthens industry–academia collaboration by creating practical learning environments aligned with real enterprise workflows.
Develops platforms and initiatives that help students gain exposure to startup ecosystems and innovation-driven careers.
Facilitates strategic partnerships between universities, industry leaders, and startup communities to drive innovation and employability.
Encourages innovation-led growth through mentorship programs, startup pitch platforms, and entrepreneurship development initiatives.
Mentorship Philosophy
Dr. Ati Priye believes mentorship should go beyond theoretical learning by exposing students and founders to real-world entrepreneurial challenges. His philosophy focuses on experiential learning, industry exposure, and practical problem solving. By building environments where individuals collaborate, experiment, and innovate, he encourages young entrepreneurs to develop leadership capabilities, strategic thinking, and resilience needed to navigate the startup ecosystem successfully.
Success Stories
Spearheading incubation initiatives that empower student entrepreneurs and early-stage startups.
Contributing to entrepreneurship development through university innovation ecosystems and startup mentoring platforms.
Delivering thought leadership as a TEDx speaker, inspiring aspiring founders and innovators.
Supporting entrepreneurship events and startup pitch platforms that nurture emerging founders and innovative ideas. </t>
  </si>
  <si>
    <t>https://www.linkedin.com/in/atipriye/?utm_source=share&amp;utm_campaign=share_via&amp;utm_content=profile&amp;utm_medium=android_app</t>
  </si>
  <si>
    <t>Mohali</t>
  </si>
  <si>
    <t>atipriye@gmail.com</t>
  </si>
  <si>
    <t>99998 91188</t>
  </si>
  <si>
    <t>Sudhakar Sagi</t>
  </si>
  <si>
    <t>Business head</t>
  </si>
  <si>
    <t>SowandReap</t>
  </si>
  <si>
    <t>Summary
A sustainability and climate change professional with nearly two decades of experience in renewable energy, carbon management, and sustainable technology development. The individual specializes in biomass pyrolysis and biochar production, contributing to climate change mitigation through innovative waste-to-energy and carbon sequestration solutions. With experience across global research institutes, consulting firms, and climate-tech organizations, they have led projects focused on sustainable resource utilization, bioenergy systems, and environmental impact reduction. Their work bridges research, industry implementation, and climate innovation. Currently leading the Biochar vertical at SowandReap, they continue to drive scalable carbon removal solutions and sustainable ecosystem development through strategic consulting and climate-focused initiatives.
Key Areas of Expertise
Sustainability Consulting
Climate Change Mitigation
Biomass Pyrolysis Technology
Biochar Production &amp; Carbon Sequestration
Waste-to-Energy Solutions
Renewable Energy Systems
Sustainability Reporting
Climate Tech Strategy
Environmental Impact Assessment
Carbon Removal Technologies
Strategic Contributions
Leading biochar initiatives that contribute to carbon sequestration and climate mitigation.
Developing waste-to-energy and biomass conversion technologies for sustainable resource utilization.
Supporting organizations with sustainability consulting and reporting frameworks.
Contributing to global climate innovation through collaborations with research institutes, startups, and climate-tech ventures.
Driving strategic initiatives within climate-tech startups and sustainability-focused organizations.
Mentorship Philosophy
The professional believes in translating scientific research into scalable climate solutions that create real environmental impact. Their mentorship approach focuses on guiding entrepreneurs and innovators to develop sustainable technologies, integrate climate responsibility into business strategies, and build commercially viable climate-tech ventures. By combining academic research experience with industry consulting insights, they encourage problem-solving approaches that address environmental challenges through innovation, collaboration, and sustainable entrepreneurship.
Success Stories
Leading research on biomass conversion to energy and bioproducts at the Energy &amp; Bioproducts Research Institute, Aston University for over a decade.
Contributing to international climate change mitigation projects involving biomass and renewable energy technologies.
Supporting climate-tech initiatives and carbon removal solutions through roles in organizations such as Alt Carbon, Thryve.Earth, and Solais Ventures.
Driving the Biochar vertical at SowandReap, focusing on scalable carbon sequestration and sustainable agricultural solutions.</t>
  </si>
  <si>
    <t>https://www.linkedin.com/in/sudhakar-sagi-a71649229/</t>
  </si>
  <si>
    <t>sudhakarsagi@hotmail.com</t>
  </si>
  <si>
    <t>Kanchan Chanana</t>
  </si>
  <si>
    <t>GTM Leader</t>
  </si>
  <si>
    <t>B2B Scale-up</t>
  </si>
  <si>
    <t>Summary
Kanchan Chanana is a strategic consultant with over 14 years of experience helping organisations navigate complex business challenges and translate strategy into effective execution. She has worked across multiple industries including consumer products, pharmaceuticals, telecom, manufacturing, healthcare, and medical devices. Her expertise lies in bringing clarity to ambiguous situations by aligning stakeholders, structuring priorities, and building practical operating models that enable organizations to move forward. Kanchan brings Fortune-100 level execution rigor while ensuring internal teams develop the capability to sustain improvements independently. She is particularly passionate about supporting sustainability-focused startups, SMBs, and mission-driven organizations that require strong strategic and operational foundations to scale.
Key Areas of Expertise
Business Strategy &amp; Execution
Problem Solving in Complex Environments
Project &amp; Program Management
Strategic Sourcing
Innovation Management
Operational Transformation
EBITDA Improvement &amp; Business Performance
Cross-functional Leadership
Stakeholder Alignment
Sustainability-Driven Business Strategy
Strategic Contributions
Helps organizations translate strategic vision into structured execution frameworks.
Leads cross-functional global programs that drive operational improvements and measurable business outcomes.
Supports leadership teams in aligning priorities, building operating models, and accelerating execution.
Brings Fortune-100 consulting rigor into scaling companies and mission-driven ventures.
Guides organizations through regulatory, sustainability, and transformation-driven changes while strengthening internal capabilities.
Mentorship Philosophy
Kanchan Chanana believes mentorship should focus on empowering teams to solve complex problems independently rather than relying continuously on external advisors. Her approach emphasizes structured thinking, clarity in priorities, stakeholder alignment, and disciplined execution. She encourages founders and leaders to build strong internal systems that sustain growth while navigating uncertainty. By combining strategic insight with operational rigor, she supports organizations in developing resilient execution capabilities that allow them to adapt, innovate, and thrive in rapidly evolving markets.
Success Stories
Led multiple high-impact cross-functional global programs improving operational performance and enterprise value.
Supported organizations across CPG, pharma, telecom, manufacturing, healthcare, and medical devices sectors.
Delivered strategic initiatives focused on growth, innovation, and EBITDA improvement.
Helped leadership teams move from strategic intent to structured execution in complex and ambiguous business environments.
Actively contributes to purpose-driven ventures and sustainability-focused organizations.</t>
  </si>
  <si>
    <t>https://www.linkedin.com/in/chananakanchan/</t>
  </si>
  <si>
    <t>kanchan.chanana@gmail.com</t>
  </si>
  <si>
    <t>Vikram G</t>
  </si>
  <si>
    <t>Director for Products, Marketing, L&amp;D</t>
  </si>
  <si>
    <t>Maxbyte Technologies</t>
  </si>
  <si>
    <t>Summary
A seasoned Industry 4.0 and manufacturing transformation leader focused on helping organizations digitally evolve through advanced technologies and Manufacturing IT initiatives. With strong expertise in bridging business strategy, technology implementation, and change management, this professional enables manufacturers to unlock efficiency, innovation, and competitive advantage. They are deeply involved in building strategic relationships, driving customer success, and shaping go-to-market strategies. As a thought leader, they actively contribute through writing, speaking, and industry engagement to promote the future of smart manufacturing. Their work centers on empowering organizations, mentoring teams, and leveraging emerging technologies to transform traditional manufacturing ecosystems into digitally driven enterprises.
Key Areas of Expertise
Industry 4.0 &amp; Smart Manufacturing
Digital Transformation in Manufacturing
Manufacturing IT Systems
Big Data &amp; Industrial Analytics
Business Strategy &amp; Go-to-Market Strategy
Change Management
Leadership &amp; Team Building
Customer Success &amp; Relationship Management
Sales Enablement Strategies
Technology Evangelism
Strategic Contributions
Drives digital transformation initiatives for manufacturing organizations using Industry 4.0 technologies.
Bridges the gap between business strategy, industry trends, and technology implementation.
Develops and executes go-to-market and customer success strategies for manufacturing solutions.
Acts as a technology evangelist and industry influencer, promoting innovation and digital adoption.
Builds and mentors high-performing teams to deliver impactful transformation outcomes.
Helps organizations leverage emerging technologies to gain competitive advantage and operational efficiency.
Mentorship Philosophy
This professional believes in empowering individuals and organizations by combining technical knowledge with strategic thinking and real-world application. Their mentorship focuses on fostering innovation, encouraging continuous learning, and helping teams adapt to rapidly evolving technologies. By promoting collaboration, challenging conventional approaches, and building strong leadership capabilities, they guide professionals to become future-ready in the era of digital manufacturing and Industry 4.0.
Success Stories
Successfully contributed to digital transformation journeys of manufacturing organizations.
Recognized as a thought leader and industry influencer in Industry 4.0 and smart manufacturing.
Built strong ecosystems through client, partner, and industry collaborations.
Delivered impact through content creation, speaking engagements, and knowledge sharing.
Mentored and developed high-performance teams in manufacturing and technology domains.</t>
  </si>
  <si>
    <t>https://www.linkedin.com/in/g-vikram-40130914b/</t>
  </si>
  <si>
    <t>vik_brlee@yahoo.com</t>
  </si>
  <si>
    <t>Satinder Singh Bajwa</t>
  </si>
  <si>
    <t>Independent strategy consultant ( Automotive )</t>
  </si>
  <si>
    <t>Summary 
Satinder Singh Bajwa is a senior automotive industry leader with over three decades of experience in sales, marketing, network expansion, and business strategy. He has held leadership roles across top organizations including Maruti Suzuki, Hyundai, Nissan, Mahindra &amp; Mahindra, and MG Motor India. Known for driving large-scale transformations, he has successfully built and restructured business models, expanded dealer networks, and improved market share across regions. His expertise spans electric vehicles, customer experience, and go-to-market strategy. A strategic thinker and execution-driven leader, he has consistently delivered revenue growth, innovation, and operational excellence in highly competitive automotive markets.
Key Areas of Expertise
Automotive Industry Leadership
Sales &amp; Marketing Strategy
Dealer Network Expansion &amp; Management
Go-To-Market Strategy
Customer Experience (CX) &amp; Customer Satisfaction
Electric Vehicles (EV) &amp; NEV Strategy
Business Transformation &amp; P&amp;L Management
Market Share Growth &amp; Revenue Scaling
Strategic Planning &amp; Operations
Product Launch &amp; Brand Positioning
Strategic Contributions
Led complete business model transformation at MG Motor and Mahindra &amp; Mahindra.
Built and expanded large-scale dealer and distribution networks across India.
Introduced innovative ownership model (BaaS – Battery-as-a-Service) in EV segment.
Established and scaled Small Commercial Vehicle and EV businesses.
Strengthened market share, revenue growth, and customer satisfaction metrics across multiple organizations.
Played a key role in JV setup (SAIC + JSW for MG Motor India) and strategic expansion.
Mentorship Philosophy
Satinder Singh Bajwa believes in combining strategic vision with strong execution discipline. His mentorship approach focuses on building scalable systems, empowering teams, and driving performance through structured processes and market understanding. With deep experience in competitive industries, he emphasizes practical learning, leadership development, and customer-centric thinking. He encourages professionals to think long-term, adapt to market shifts like electrification, and build strong operational foundations that sustain growth and innovation.
Success Stories
Increased NEV contribution at MG Motor from 24% to 40%.
Played a key role in successful launch of Windsor EV with industry-leading bookings.
Led market share growth in passenger and commercial vehicle segments at Mahindra &amp; Mahindra.
Successfully launched major products like Thar, XUV700, Scorpio-N.
Expanded Nissan network from 170 to 300 outlets and led GTR launch in India.
Consistently recognized for leadership excellence, including global programs (Wharton, Nissan, Hyundai).</t>
  </si>
  <si>
    <t>https://www.linkedin.com/in/satinder-singh-bajwa-387b0126/</t>
  </si>
  <si>
    <t>satinder11bajwa@gmail.com</t>
  </si>
  <si>
    <t>9811000818
9999000818</t>
  </si>
  <si>
    <t>Sanjay Kulkarni</t>
  </si>
  <si>
    <t>Fintelligence Consultants</t>
  </si>
  <si>
    <t xml:space="preserve">Summary
Sanjay Kulkarni is a seasoned Strategy and Finance Consultant with over 25 years of experience supporting Indian SMEs and growth-stage companies in achieving scale and profitability. His expertise lies in strategic planning, financial modeling, and data-driven decision-making, enabling startups to build sustainable and scalable business models. With strong cross-industry exposure and international experience, he helps founders formalize strategies, improve financial discipline, and access new markets. As a mentor in accelerator and incubation programs, Sanjay combines analytical rigor with practical execution frameworks. His advanced valuation expertise further supports startups, investors, and family offices in making informed financial and growth decisions.
Key Areas of Expertise
Business Strategy &amp; Strategic Foresight
Financial Modeling &amp; Analysis
Startup Valuation (Advanced Valuation Modeling)
Data Analytics for Decision Making
SME Growth &amp; Scaling Strategy
Market Expansion Strategy
Financial Discipline &amp; Profitability Optimization
Investment Readiness &amp; Fundraising Support
Strategic Contributions
Helps startups formalize business strategy and growth roadmaps.
Guides founders in financial planning, modeling, and valuation.
Supports SMEs in achieving profitability and scalable operations.
Brings global exposure and frameworks into Indian startup ecosystems.
Mentors startups in market expansion and investment readiness.
Mentorship Philosophy
Sanjay Kulkarni believes in combining analytical depth with practical execution. His mentorship focuses on helping founders make informed, data-driven decisions while building strong financial foundations. He emphasizes clarity in strategy, disciplined financial management, and long-term sustainability. By leveraging structured frameworks and real-world insights, he enables entrepreneurs to navigate growth challenges confidently and build resilient businesses that can scale effectively in competitive markets.
Success Stories
Mentored multiple SMEs and startups toward profitability and scale.
Contributed to accelerator and incubation programs supporting early-stage ventures.
Applied advanced valuation techniques (inspired by Aswath Damodaran frameworks).
Helped founders improve financial discipline and investor readiness.
Enabled businesses to expand into new markets using structured strategies. </t>
  </si>
  <si>
    <t>https://www.linkedin.com/in/sanjayukulkarni/?originalSubdomain=in</t>
  </si>
  <si>
    <t>sanjay.kulkarni@thefintelligence.com</t>
  </si>
  <si>
    <t>Sandesh Mestry</t>
  </si>
  <si>
    <t>Sandesh Vasant Mestry</t>
  </si>
  <si>
    <t>Summary
Sandesh is an experienced Family Business Consultant with over 35 years of professional experience, including 25 years dedicated to advising promoter-led enterprises. He specializes in helping family businesses grow, professionalize operations, and establish strong governance frameworks while ensuring smooth generational transitions. Working with businesses ranging from ₹50 Cr to ₹5,000 Cr, he aligns family values with business strategy to create sustainable and scalable enterprises. Known as a trusted confidant, he supports both senior leaders and next-generation members in building clarity, trust, and structure. His work focuses on preserving legacy while enabling long-term business continuity and harmonious family relationships.
Key Areas of Expertise
Family Business Consulting
Governance &amp; Succession Planning
Business Professionalization
Leadership Alignment (Promoters &amp; Next Gen)
Organizational Structuring
Conflict Resolution
Legacy Building &amp; Continuity Planning
SME &amp; Mid-Market Business Growth
Strategic Contributions
Helps family businesses transition from informal to professionally managed structures.
Designs and implements governance frameworks for clarity and accountability.
Facilitates smooth succession planning between generations.
Aligns family values with business strategy for long-term sustainability.
Acts as a trusted advisor/confidant during complex family and business decisions.
Supports businesses in scaling while maintaining harmony and trust within the family.
Mentorship Philosophy
Sandesh believes that successful businesses are built not only on strategy but also on strong relationships and trust within families. His mentorship focuses on balancing emotional dynamics with structured business practices. He emphasizes clarity, communication, and mutual respect between generations while guiding families to adopt professional systems. His approach ensures that businesses grow sustainably without compromising family harmony, enabling both legacy preservation and future readiness.
Success Stories
Advised multiple promoter-led businesses (₹50 Cr – ₹5,000 Cr) on growth and transformation.
Successfully guided family businesses through generational transitions.
Helped organizations implement governance and professional management structures.
Built long-term relationships as a trusted advisor and confidant to business families.
Enabled businesses to sustain legacy while scaling operations effectively.</t>
  </si>
  <si>
    <t>https://www.linkedin.com/in/family-business/details/experience/</t>
  </si>
  <si>
    <t>sandesh@mestry.in</t>
  </si>
  <si>
    <t>Mayank Tiwari</t>
  </si>
  <si>
    <t>Global Network | Lead – Automotive Sales, Marketing Consulting | APAC Lead – Automotive Consulting</t>
  </si>
  <si>
    <t>Accenture Strategy and Consulting</t>
  </si>
  <si>
    <t>Summary 
Mayank is a high-impact global consulting leader specializing in automotive strategy, growth, and customer experience. Currently leading APAC for Accenture’s Global Network Automotive Consulting and serving as Global Lead for Sales, Marketing, and CX, he brings deep expertise in scaling businesses and driving zero-to-one growth. With a strong track record in corporate and startup environments, he has successfully expanded consulting operations, led innovation initiatives within Fortune 500 organizations, and built commercial foundations for startups. As a mentor, he helps founders bridge lean startup methodologies with enterprise-scale execution, enabling sustainable growth, market expansion, and customer-centric transformation in competitive global markets.
Key Areas of Expertise
Sales &amp; Marketing Strategy
Customer Experience (CX)
Business Scaling &amp; Growth (0 → 1 and 1 → Scale)
Automotive Consulting
Go-To-Market Strategy
Innovation &amp; Lean Startup Integration
Corporate Strategy &amp; Transformation
Commercial Operations
Enterprise Consulting
Strategic Contributions
Scaled a consulting business unit from $450K to $4.5M, demonstrating strong growth leadership.
Led APAC automotive consulting operations at Accenture, driving regional strategy and execution.
Spearheaded innovation initiatives in Fortune 500 environments, integrating Lean Startup methodologies.
Built commercial strategy and market presence for an automotive startup from scratch.
Mentors founders on bridging startup agility with enterprise-level scalability.
Mentorship Philosophy
Mayank believes in combining lean startup thinking with structured enterprise execution. His mentorship focuses on helping founders move from experimentation to scalable business models by building strong sales, marketing, and customer experience foundations. He emphasizes practical growth strategies, customer-centricity, and disciplined execution. By leveraging his experience across startups and large organizations, he guides entrepreneurs to scale efficiently while maintaining innovation and agility in competitive and rapidly evolving markets.
Success Stories
Successfully scaled a consulting business 10x in revenue and team size.
Led global automotive sales, marketing, and CX capabilities at Accenture.
Enabled corporate innovation through Lean Startup integration in Fortune 500 organizations.
Built and scaled commercial operations for an automotive startup.
Mentored founders through Wadhwani NEN programs, focusing on growth and scalability.</t>
  </si>
  <si>
    <t>https://www.linkedin.com/in/mynktiwari/</t>
  </si>
  <si>
    <t>mynktiwari@gmail.com</t>
  </si>
  <si>
    <t>Sunil Telkar</t>
  </si>
  <si>
    <t>Aspiro Consulting LLP</t>
  </si>
  <si>
    <t>Summary
Sunil Telkar is a seasoned management consultant and entrepreneur with over two decades of experience in business development, project management, and corporate strategy. He has worked across industries including engineering, oil &amp; gas, shipbuilding, and industrial gases, delivering complex projects in India and the Middle East. His expertise lies in process optimization, system standardization, and building scalable, performance-driven organizations. As the leader of consulting ventures like Aspiro Consulting LLP and WiseOwl Consulting LLP, he supports MSMEs in achieving structured growth. An active industry contributor, he mentors startups and plays a key role in MSME development through his leadership at BCIC.
Key Areas of Expertise
Business Development &amp; Growth Strategy
Project Management
Corporate Strategy
Process Mapping &amp; Standardization
Operations Optimization
Performance Management (KRAs/KPIs)
Organizational Structuring
Sales &amp; Marketing Strategy
MSME Consulting &amp; Scaling
Strategic Contributions
Helps MSMEs build scalable, process-driven business models.
Implements standardized systems and operational frameworks for efficiency.
Guides organizations in performance management using KPIs/KRAs.
Brings cross-industry expertise from engineering, oil &amp; gas, and industrial sectors.
Leads consulting firms focused on business transformation and structured growth.
Contributes to MSME ecosystem development through BCIC leadership and mentoring initiatives.
Mentorship Philosophy
Sunil Telkar believes in building strong operational foundations as the backbone of business success. His mentorship focuses on creating structured systems, improving efficiency, and enabling organizations to scale sustainably. He emphasizes practical implementation over theory, guiding entrepreneurs to adopt disciplined processes, measurable performance metrics, and clear organizational structures. His approach ensures that businesses move from informal setups to professionally managed, growth-oriented enterprises.
Success Stories
Successfully supported MSMEs in scaling through structured consulting frameworks.
Led consulting initiatives across India and Middle East in complex industrial sectors.
Built and scaled Aspiro Consulting LLP and WiseOwl Consulting LLP.
Played a leadership role in BCIC MSME Expert Committee, driving ecosystem impact.
Mentored startups and entrepreneurs in operations, growth, and business structuring.</t>
  </si>
  <si>
    <t>https://www.linkedin.com/in/suniltelkar/</t>
  </si>
  <si>
    <t>sunil@aspiro.in</t>
  </si>
  <si>
    <t>Vigneshwaran T</t>
  </si>
  <si>
    <t>Nandha Infotech</t>
  </si>
  <si>
    <t>Summary
A dynamic tech entrepreneur, deeptech educator, and innovator from Tier-2 India, this founder is building impactful ventures across education, technology, and agriculture. As the founder of SkillRadar, Nandha Infotech, and SenseLuto, they have trained over 100,000 learners in emerging technologies like GenAI, full stack development, and data science while also developing scalable digital and IoT solutions. Their work bridges the gap between learning and execution, enabling real-world innovation. Through AgriTech solutions like AI-powered soil testing, they are driving rural transformation. Their vision focuses on inclusive growth, empowering talent, and building globally relevant products from grassroots ecosystems.
Key Areas of Expertise
DeepTech Education (GenAI, Data Science, Full Stack)
Startup Building &amp; Entrepreneurship
AI, IoT &amp; Product Development
AgriTech Innovation
Web &amp; Mobile Application Development
Digital Marketing &amp; Brand Strategy
MVP Development &amp; Tech Consulting
Skill Development &amp; Training Ecosystems
Strategic Contributions
Trained 1,00,000+ learners in emerging technologies through SkillRadar.
Built multiple ventures across EdTech, IT services, and AgriTech.
Developed AI-powered soil testing solutions (SenseLuto) for farmers.
Enabled startups and businesses with custom tech solutions (apps, IoT, AI).
Bridged the gap between education and real-world execution.
Promotes Tier-2 innovation and inclusive tech-driven growth.
Mentorship Philosophy
This entrepreneur believes in “learning by building” and focuses on execution-driven education. Their mentorship emphasizes practical skills, real-world problem solving, and creating tangible outcomes rather than theoretical knowledge. They encourage founders and learners to experiment, build MVPs, and scale solutions that create real impact. By combining technology with grassroots understanding, they guide individuals to innovate with purpose and build sustainable, inclusive ventures.
Success Stories
Trained over 100,000 learners globally in tech skills.
Built and scaled multiple ventures (SkillRadar, Nandha Infotech, SenseLuto).
Developed award-winning AgriTech innovation for soil testing.
Delivered end-to-end tech solutions (AI, IoT, apps, digital platforms).
Enabled startups and institutions through collaborations, workshops, and product development.</t>
  </si>
  <si>
    <t>https://www.linkedin.com/in/vigneshwaran-t/</t>
  </si>
  <si>
    <t>Vignesh@nandhainfotech.com</t>
  </si>
  <si>
    <t>Dr. Kanishka Jha</t>
  </si>
  <si>
    <t>dev Bhoomi Innivation and Incubation</t>
  </si>
  <si>
    <t>Summary
Mr. Kanishka is the Associate Professor and Assistant Dean, as well as Head of the Department of Entrepreneurship at LPU, where he is building one of the largest startup ecosystems. With a proven track record, he has mentored over 200 funded startups, helped generate six-figure revenues for six startups, and served as Chief Guest at the Punjab Startup Conclave. His expertise spans policy innovation, startup mentoring, and driving entrepreneurial growth, fostering collaboration between startups, investors, and industry leaders. He is passionate about enabling innovation, creating impactful policies, and cultivating a thriving startup ecosystem.
Key Areas of Expertise
Entrepreneurship
Startup Mentoring
Policy Innovation
Growth Catalyst
Leadership
Cross-functional Team Leadership
Strategic Negotiations
Product Management
Strategic Contributions
Mentored 200+ startups, resulting in six-figure revenue generation
Contributed to the growth of 15+ university spinouts
Spearheaded the Punjab Startup Conclave as Chief Guest, shaping entrepreneurial policies
Mentorship Philosophy
Focuses on fostering innovation, strategic guidance, and instilling a growth mindset in startups
Believes in collaboration and knowledge-sharing to bridge gaps between startups, investors, and experts</t>
  </si>
  <si>
    <t>https://www.linkedin.com/in/dr-kanishka-jha/</t>
  </si>
  <si>
    <t>Uttarakhand</t>
  </si>
  <si>
    <t>DrKanishkaSalwan@gmail.com</t>
  </si>
  <si>
    <t>Ajith Singh</t>
  </si>
  <si>
    <t>Bizruntime IT Services Pvt Ltd</t>
  </si>
  <si>
    <t xml:space="preserve">Summary
A visionary technology leader with over 23 years of global experience in building enterprise-grade AI platforms and robotics systems across multiple industries, including energy, healthcare, finance, and industrial automation. This professional specializes in architecting scalable, multi-tenant platforms and deploying advanced solutions such as SaaS, RaaS, and autonomous robotics systems. With strong expertise in aligning technology with business transformation, they have led large-scale innovation programs, managed P&amp;L, and delivered global digital transformation initiatives. Their work spans AI, cloud, data platforms, and robotics, enabling organizations to achieve operational excellence, scalability, and innovation-driven growth in complex, technology-intensive environments.
Key Areas of Expertise
Enterprise AI Platform Architecture
Robotics &amp; Autonomous Systems (AMR/AGV, RaaS)
SaaS / PaaS / Cloud (AWS, Azure)
Digital Transformation &amp; IT Strategy
Data Platforms, ML/DL, AI Ops &amp; ML Ops
Cybersecurity &amp; DevSecOps
Product &amp; Platform Engineering
Multi-tenant Architecture
AR/VR/XR &amp; Digital Twins
Industrial Automation &amp; Smart Systems
Strategic Contributions
Architected multi-tenant AI platforms across domains like GRC, ERP, healthcare, and supply chain.
Led development of robotics and autonomous mobility solutions (RaaS, AMR, AGV).
Delivered enterprise digital transformation initiatives across global industries.
Built and scaled SaaS and platform-based products with strong product-market fit.
Aligned technology strategy with business goals, driving innovation and operational efficiency.
Led cross-functional global teams and managed P&amp;L for large-scale programs.
Mentorship Philosophy
This leader believes in leveraging cutting-edge technology to solve real-world, large-scale problems. Their mentorship focuses on helping founders and teams build scalable, enterprise-grade solutions by combining deep technical expertise with strong business alignment. They emphasize product-market fit, platform thinking, and execution discipline. By guiding innovators in AI, robotics, and deeptech domains, they encourage building future-ready solutions that are robust, secure, and capable of transforming industries at scale.
Success Stories
Successfully delivered enterprise AI and data platforms across multiple industries.
Built scalable SaaS, RaaS, and robotics solutions with global deployments.
Led large-scale digital transformation and platform engineering initiatives.
Developed advanced AI-driven systems including EHR, ERP, GRC, and supply chain platforms.
Contributed to innovation in autonomous systems and next-gen technologies. </t>
  </si>
  <si>
    <t>https://www.linkedin.com/in/ajitkumarsingh76/</t>
  </si>
  <si>
    <t>ajit@ilogibot.com</t>
  </si>
  <si>
    <t>Sri Sabari Nathan Devarajan</t>
  </si>
  <si>
    <t>Director - Strategy and Innovation</t>
  </si>
  <si>
    <t>Summary 
Sri Sabari Nathan is a digital transformation leader with over 17 years of experience in Industry 4.0, product strategy, and innovation. As Director of Strategy and Innovation at Maxbyte Technologies, he leads company-wide strategy and drives the development of advanced digital manufacturing solutions for global clients. With a strong background in product management and platform development, he has played a key role in building Industry 4.0 solutions aligned with market needs. His expertise spans data analytics, augmented reality, and digital consulting. Passionate about innovation, he focuses on helping organizations achieve operational excellence, customer satisfaction, and competitive advantage through technology-driven transformation.
Key Areas of Expertise
Digital Transformation Strategy
Industry 4.0 &amp; Smart Manufacturing
Product Management &amp; Platform Development
Innovation Strategy
Augmented Reality (AR) Applications
Data Analytics &amp; Insights
Solution Architecture
Digital Manufacturing Solutions
Strategic Contributions
Leads strategy and innovation practice at Maxbyte Technologies.
Drives development of Industry 4.0 solutions for global clients.
Built and scaled digital manufacturing platforms and products.
Aligns product vision and roadmap with market and customer needs.
Provides digital transformation consulting and solution architecture expertise.
Enables organizations to achieve operational excellence through advanced technologies.
Mentorship Philosophy
Sri Sabari Nathan believes in leveraging technology to create measurable business impact. His mentorship focuses on helping founders and organizations adopt Industry 4.0 technologies strategically while aligning them with business goals. He emphasizes product thinking, innovation, and customer-centric design. By combining technical expertise with practical execution, he guides teams to build scalable, efficient, and future-ready solutions that deliver real value in industrial and enterprise environments.
Success Stories
Led innovation and strategy for Industry 4.0 solutions at Maxbyte Technologies.
Successfully developed and managed digital manufacturing platforms.
Delivered global digital transformation projects across industries.
Played a key role as Chief Product Officer, defining product vision and roadmap.
Enabled enterprises to adopt AR, analytics, and smart manufacturing technologies.</t>
  </si>
  <si>
    <t>https://www.linkedin.com/in/srisabarinathan-d/</t>
  </si>
  <si>
    <t>srisabari_d@outlook.com</t>
  </si>
  <si>
    <t>Varsha Agarwal</t>
  </si>
  <si>
    <t>Product Leader</t>
  </si>
  <si>
    <t>Independent Practice</t>
  </si>
  <si>
    <t>Summary 
A seasoned technology leader and AI transformation expert with over 20 years of experience across enterprise platforms, digital transformation, and startup ecosystems. With a strong foundation from leadership roles at VMware and Publicis Sapient, this professional has built and scaled global engineering systems supporting multi-billion-dollar businesses. Currently Co-Founder &amp; CEO of BodhIQ, they focus on AI consulting and capability building while mentoring startups on product strategy, go-to-market execution, and investor readiness. With extensive mentoring experience across accelerators, universities, and grassroots communities, they specialize in translating complex technology into practical, scalable solutions that drive real business impact and sustainable growth.
Key Areas of Expertise
AI Transformation &amp; Applied AI
Product Strategy &amp; Product-Market Fit
Go-To-Market (GTM) Strategy
Enterprise Platform Engineering
Digital Transformation
Investor Pitching &amp; Business Storytelling
Customer Segmentation &amp; Pricing Strategy
MVP Design &amp; Product Positioning
Strategic Contributions
Built and led global engineering platforms at VMware supporting a $12B+ business.
Improved quote accuracy (90%) and reduced time-to-quote by 34% using AI systems.
Delivered enterprise digital transformation for Fortune 500 companies.
Founded BodhIQ, focusing on AI consulting and capability building.
Mentored startups across HealthTech, RetailTech, and AI domains.
Enabled founders to translate complex tech into scalable, market-ready products.
Mentorship Philosophy
This mentor believes that technology alone does not create success — clarity, positioning, and execution do. Their approach focuses on helping founders simplify complex ideas into products the market truly needs. They emphasize strong problem definition, customer understanding, and building compelling narratives for both customers and investors. By combining deep technical expertise with practical business strategy, they guide startups to achieve product-market fit, traction, and scalable growth without over-engineering solutions.
Success Stories
Delivered AI-led enterprise transformations at VMware and Publicis Sapient.
Mentored startups through Attvaran Accelerator, Kerala Startup Mission, and MIDAS.
Contributed 10,000+ hours of mentoring and training, including grassroots and women entrepreneurs.
Recognized with industry awards (VMware, IIBA, Women Leaders recognition).
Keynote speaker at IITs, NASSCOM, and global tech forums.</t>
  </si>
  <si>
    <t>https://www.linkedin.com/in/varsha-agarwal-change-maker/</t>
  </si>
  <si>
    <t>varsha.agarwal@bodhiq.com</t>
  </si>
  <si>
    <t>Sai prasad somayajula</t>
  </si>
  <si>
    <t>Samunnati</t>
  </si>
  <si>
    <t xml:space="preserve">Summary
A seasoned banking and financial services leader with over 35 years of experience, this professional specializes in driving growth, revenue, and ecosystem development in the agricultural sector. Currently serving as Chief Growth and Revenue Officer at Samunnati, they focus on building innovative revenue streams, expanding financial product access, and strengthening farmer networks through FPOs. With deep expertise in go-to-market strategy and agri-value chain financing, they have played a key role in enabling rural entrepreneurship, market linkages, and financial inclusion. Their work is centered on empowering smallholder farmers, enhancing agricultural ecosystems, and driving sustainable growth through strategic innovation and inclusive financial models.
Key Areas of Expertise
Growth &amp; Revenue Strategy
Go-To-Market (GTM) Strategy
Agri-Finance &amp; Value Chain Financing
Rural Ecosystem Development
Financial Product Distribution
Farmer Producer Organizations (FPOs)
Business Strategy &amp; Expansion
Digital Strategy in Financial Services
Strategic Contributions
Driving new revenue streams and growth initiatives at Samunnati.
Expanding financial inclusion through FPO networks and agri-financing models.
Built rural franchisee networks and agri-entrepreneur ecosystems.
Enabled market linkages and value chain financing for smallholder farmers.
Supported third-party product distribution and NPS services in rural markets.
Contributed to strategic execution of founder’s vision and innovation initiatives.
Mentorship Philosophy
This leader believes in creating sustainable impact through inclusive growth and ecosystem-driven strategies. Their mentorship focuses on helping founders build scalable business models that integrate financial access, market linkages, and grassroots empowerment. They emphasize practical go-to-market execution, value chain thinking, and long-term sustainability. By combining financial expertise with deep understanding of rural markets, they guide entrepreneurs to create solutions that are both commercially viable and socially impactful.
Success Stories
Enabled growth and expansion of Samunnati’s agri-finance ecosystem.
Developed FPO-driven financial and distribution models for rural India.
Built agri-entrepreneur and rural franchisee networks.
Strengthened value chain financing and market access for farmers.
Contributed to financial inclusion and sustainable rural development initiatives. 
</t>
  </si>
  <si>
    <t>https://www.linkedin.com/in/saiprasadsomayajula/details/experience/</t>
  </si>
  <si>
    <t>info@shriyam.co.in</t>
  </si>
  <si>
    <t>Mobile: +917358037245
Whatsapp:+14167078290</t>
  </si>
  <si>
    <t>Umesh Pandya</t>
  </si>
  <si>
    <t>Partner &amp; Practice Lead Coscale</t>
  </si>
  <si>
    <t>Advisor</t>
  </si>
  <si>
    <t>Summary
A seasoned business leader with over 26 years of experience across sales, business development, and organizational transformation, this professional has consistently driven revenue growth, market expansion, and operational excellence across industries including D2C, telecom, consumer durables, and building materials. With strong expertise in P&amp;L management and go-to-market strategies, they have successfully scaled businesses, launched new categories, and built high-performance teams. Currently leading consulting initiatives for SMEs and startups, they focus on driving growth through structured GTM execution and sales optimization. Their leadership combines strategic foresight with execution discipline to build sustainable, scalable, and customer-centric organizations.
Key Areas of Expertise
Go-To-Market (GTM) Strategy
Sales &amp; Revenue Growth
Business Transformation &amp; Scaling
P&amp;L Management
Channel Development &amp; Distribution Strategy
Market Expansion (Domestic &amp; International)
Product Launch &amp; Category Creation
Sales Operations &amp; MarTech Optimization
Team Building &amp; Leadership Development
Strategic Contributions
Delivered 45% YoY growth as CRO at Bonito Designs through strategic expansion.
Scaled businesses to ₹350 Cr ARR with consistent CAGR growth.
Expanded into international markets (South Asia) and built new revenue streams.
Built and optimized multi-layered distribution and channel partner ecosystems.
Launched new product categories and verticals across industries.
Currently driving SME/MSME transformation through consulting and GTM execution models.
Mentorship Philosophy
This leader believes that growth is driven by execution excellence, not just strategy. Their mentorship focuses on helping founders build strong go-to-market foundations, optimize sales funnels, and create scalable revenue engines. They emphasize disciplined execution, customer-centric thinking, and empowering teams to take ownership. By combining strategic clarity with operational rigor, they guide businesses to achieve sustainable growth, profitability, and market leadership in competitive environments.
Success Stories
Achieved double-digit CAGR growth across multiple organizations.
Successfully led business turnarounds and profitability transformations.
Built and mentored large sales teams (100+ members).
Created high-impact GTM strategies across industries.
Delivered market expansion and category leadership in competitive sectors.
Enabled SMEs and startups through consulting-led transformation initiatives.</t>
  </si>
  <si>
    <t>https://www.linkedin.com/in/umesh-pandya-1596b05/</t>
  </si>
  <si>
    <t>umesh_pandya@rediffmail.com</t>
  </si>
  <si>
    <t>Rashmin PN Thakeria</t>
  </si>
  <si>
    <t>Mentor</t>
  </si>
  <si>
    <t xml:space="preserve">Summary 
A seasoned business leader with strong experience in building and scaling organizations across diverse industries, this professional brings expertise in strategic planning, financial management, and brand development. With a global and cross-sector background, they have successfully led business growth initiatives, developed sophisticated strategies, and driven organizational transformation. Known for ethical, value-based leadership and a collaborative approach, they excel in motivating teams and navigating change. Their experience spans retail, e-commerce, and global marketing, with a strong foundation in finance and analytics. They focus on creating sustainable, high-integrity organizations that combine strategic vision with execution excellence to achieve long-term success.
Key Areas of Expertise
Strategic Planning &amp; Business Growth
Entrepreneurship &amp; Startup Development
Financial Strategy &amp; Management
Brand Management &amp; E-commerce
Retail (India &amp; Global Markets)
Organizational Development &amp; Leadership
Change Management
Strategic Finance &amp; Business Structuring
Strategic Contributions
Built and scaled organizations across multiple sectors and markets.
Developed and implemented strategic business plans for growth and transformation.
Led brand building and e-commerce expansion initiatives.
Strengthened organizations through financial discipline and strategic structuring.
Promoted ethical, value-driven leadership and high-integrity practices.
Enabled teams to adapt, grow, and perform in dynamic business environments.
Mentorship Philosophy
This leader believes that sustainable success comes from a balance of strong strategy, financial discipline, and ethical leadership. Their mentorship focuses on helping founders build resilient organizations with clear vision, structured planning, and strong values. They emphasize analytical thinking, intuitive problem-solving, and empowering teams to take ownership. By fostering collaboration and integrity, they guide entrepreneurs to create businesses that are not only profitable but also purpose-driven and adaptable to changing market conditions.
Success Stories
Successfully built and scaled multiple organizations across sectors.
Led strategic transformation and growth initiatives.
Delivered impact in retail, e-commerce, and global marketing domains.
Strengthened financial and operational foundations of businesses.
Recognized for ethical leadership and team development.
</t>
  </si>
  <si>
    <t>https://www.linkedin.com/in/rashmin-p-0697192a/</t>
  </si>
  <si>
    <t>rnthakeria@gmail.com</t>
  </si>
  <si>
    <t>Dhoundiyal TC</t>
  </si>
  <si>
    <t>SheMade</t>
  </si>
  <si>
    <t>Summary
A seasoned MSME Growth Strategist with over 25 years of experience across corporate leadership and entrepreneurship, this professional specializes in helping women-led businesses and small enterprises scale sustainably. With a strong foundation built through roles at organizations like Tata, Airtel, and Reliance, they bring structured thinking into unorganized businesses. Their work focuses on building strong foundations, clear positioning, scalable revenue models, and growth systems. As the founder of Shemade, they also combine traditional craftsmanship with global markets. Passionate about empowering women entrepreneurs, they actively support communities in transforming small businesses into structured, scalable, and globally competitive ventures.
Key Areas of Expertise
MSME Growth &amp; Scaling Strategy
Women Entrepreneurship Development
Business Structuring &amp; Foundations
Market Positioning &amp; Brand Strategy
Revenue Model Design &amp; Pricing Strategy
Business Systems &amp; Process Building
MSME Schemes &amp; Ecosystem Enablement
Strategic Partnerships &amp; Community Growth
Strategic Contributions
Helps MSMEs scale from small businesses to ₹1Cr+ structured ventures.
Enables women entrepreneurs to build scalable and sustainable business models.
Bridges gap between unstructured businesses and formal growth systems.
Facilitates access to government schemes and MSME ecosystem opportunities.
Builds global market linkages (Europe, Middle East, Canada) through ventures like Shemade.
Strengthens entrepreneur communities through mentorship and ecosystem collaboration.
Mentorship Philosophy
This mentor believes that growth comes from structure, clarity, and the right systems—not just hard work. Their approach focuses on helping founders build strong foundations, define clear positioning, and create scalable models. They emphasize empowering women entrepreneurs and community-driven growth. By combining corporate-level discipline with grassroots understanding, they guide businesses to move from survival mode to structured, profitable, and scalable enterprises that create long-term impact.
Success Stories
Supported women-led businesses in scaling toward ₹1Cr+ growth.
Built and scaled Shemade, connecting traditional products to global markets.
Mentored MSME founders and first-generation entrepreneurs.
Enabled businesses to access government schemes and ecosystem opportunities.
Contributed to entrepreneurship development and community building initiatives.</t>
  </si>
  <si>
    <t>https://www.linkedin.com/in/tarachanddhoundiyal/</t>
  </si>
  <si>
    <t>tarachand.dhoundiyal@gmail.com</t>
  </si>
  <si>
    <t>Venkatesan Ellappan</t>
  </si>
  <si>
    <t>Advisor - Brand, Growth &amp; Partnerships</t>
  </si>
  <si>
    <t>XooG</t>
  </si>
  <si>
    <t>Summary
A global enterprise advisor with over two decades of C-level leadership experience across organizations like HCL, NIIT, and EMURGO, this professional specializes in driving revenue growth, digital transformation, and AI-enabled business architectures. With expertise spanning Web3, enterprise sales, and business transformation, they have built and scaled multiple ventures across consulting, blockchain, and AI platforms. Through initiatives like ZenZ Solutions and CipherNode, they enable organizations to adopt emerging technologies and transform legacy systems. Their work focuses on simplifying complex digital adoption, building scalable revenue models, and guiding enterprises and founders toward sustainable growth, innovation, and long-term legacy creation.
Key Areas of Expertise
Enterprise Strategy &amp; Digital Transformation
Web3 &amp; Blockchain Adoption
AI-Driven Business Architecture
Revenue Growth &amp; GTM Strategy
Enterprise Sales &amp; Scaling
Business Transformation &amp; Consulting
Family Office Advisory &amp; Succession Planning
Leadership Development
Strategic Contributions
Built and scaled multiple ventures across Web3, AI, and consulting domains.
Developed enterprise Web2 → Web3 integration solutions.
Driving AI-powered productivity platforms for professionals (DaaS Pro).
Enabled organizations with GTM strategy, revenue models, and exit planning.
Supports family offices in succession planning and digital transformation.
Simplifies complex technology adoption through modular tools and advisory frameworks.
Mentorship Philosophy
This leader believes in simplifying complexity and driving outcomes through structured execution. Their mentorship focuses on helping founders and enterprises align technology with business value, ensuring that innovation translates into revenue and scalability. They emphasize strategic clarity, modular thinking, and execution discipline. By combining deep enterprise experience with emerging technologies like AI and Web3, they guide entrepreneurs to build future-ready businesses that are both innovative and sustainable.
Success Stories
Successfully led C-level roles across global organizations (HCL, NIIT, EMURGO).
Built revenue-generating Web3 enterprise products.
Launched and scaled consulting and transformation practices.
Driving innovation through AI-powered productivity platforms.
Enabled enterprises in digital transformation and legacy modernization.</t>
  </si>
  <si>
    <t>https://www.linkedin.com/in/venkatesan-ellappan-3106189/</t>
  </si>
  <si>
    <t>ev@zenz.tech</t>
  </si>
  <si>
    <t>Vidya Ravichandran</t>
  </si>
  <si>
    <t>LadderMinds</t>
  </si>
  <si>
    <t>Summary 
A dynamic operations leader and entrepreneur with a strong background in managing business operations and building creative ventures. Currently a Partner at LadderMinds, she oversees operations across multiple brands, driving execution and growth. Alongside, she works as an Operations Specialist at Sikich India, managing a large Regulatory, Quality, and Compliance team. With an engineering background from BITS Pilani and prior experience in IT, she combines technical knowledge with operational expertise. As a mompreneur and founder of Aydiv Crafts, she brings creativity into entrepreneurship, focusing on personalized, eco-friendly products while inspiring innovation and practical execution across business and learning environments.
Key Areas of Expertise
Operations Management &amp; Execution
Startup Operations &amp; Multi-brand Management
Compliance &amp; Regulatory Operations
Process Optimization &amp; Team Management
Entrepreneurship &amp; Small Business Building
Creative Product Development
E-commerce &amp; Custom Product Businesses
Leadership &amp; Team Coordination
Strategic Contributions
Managing operations across multiple startup brands under LadderMinds.
Leading a 50-member compliance and operations team at Sikich India.
Building and scaling Aydiv Crafts as a creative, eco-friendly brand.
Driving operational efficiency and structured execution in startups.
Bridging corporate operations expertise with entrepreneurial ventures.
Promoting creative learning and innovation through business initiatives.
Mentorship Philosophy
She believes that strong execution and creativity together drive successful businesses. Her mentorship focuses on helping founders build structured operations while maintaining innovation and uniqueness. She emphasizes practical implementation, team management, and consistency. By combining corporate discipline with entrepreneurial creativity, she guides founders—especially women and small business owners—to build sustainable, efficient, and impactful ventures.
Success Stories
Successfully managing multi-brand startup operations at LadderMinds.
Leading large-scale compliance operations in a corporate environment.
Built Aydiv Crafts, a personalized eco-friendly product brand.
Transitioned from software engineering to operations leadership and entrepreneurship.
Supporting creative and small-scale businesses with practical execution insights.</t>
  </si>
  <si>
    <t>https://www.linkedin.com/in/vidyaravichandran/</t>
  </si>
  <si>
    <t>vidya.ravichandran@ladderminds.com</t>
  </si>
  <si>
    <t>Swapnil Kshirsagar</t>
  </si>
  <si>
    <t>Entrepreneurs Arch</t>
  </si>
  <si>
    <t>Summary
A business growth consultant, coach, and behavioral trainer with over 16 years of experience, this professional specializes in building organizational capabilities and enabling sustainable growth for SMEs and startups. With a unique blend of engineering and HR expertise, they focus on aligning strategy, people, and processes to create scalable and efficient organizations. Through ventures like OrgEvo Consulting, Vindaan Consulting, Life Incredible, and Catalytics, they provide consulting, fractional leadership, and data-driven solutions. Their work emphasizes organizational structuring, HR transformation, and capability building. Driven by a mission to help businesses achieve IPO readiness, they guide organizations toward long-term success and operational excellence.
Key Areas of Expertise
Organizational Development &amp; Structuring
HR Strategy &amp; Human Capital Development
Business Growth Consulting (SME &amp; Startups)
Change Management
Process Design &amp; Optimization
People-Process Alignment
Behavioral Training &amp; Leadership Development
Data-Driven Decision Making (Analytics)
ERP &amp; HRMS Implementation
Strategic Contributions
Helps businesses align people, processes, and strategy for scalable growth.
Provides fractional CHRO/COO services for startups and SMEs.
Builds structured organizational frameworks and operating models.
Enables data-driven decision-making through analytics platforms.
Delivers behavioral and corporate training programs to improve productivity.
Supports companies in achieving IPO readiness through structured transformation.
Mentorship Philosophy
This mentor believes that sustainable growth comes from strong internal alignment. Their mentorship focuses on building organizations from the inside out—ensuring clarity in structure, roles, processes, and strategy. They emphasize people-centric leadership, continuous learning, and data-driven decision-making. By combining HR expertise with business strategy, they guide founders to create resilient, high-performing organizations capable of scaling efficiently and adapting to changing business environments.
Success Stories
Supported SMEs and startups in building structured, scalable organizations.
Delivered behavioral training and leadership development programs.
Enabled businesses to adopt HRMS, ERP, and process-driven systems.
Provided fractional leadership roles (CHRO/COO) to drive transformation.
Helped organizations move toward IPO readiness and long-term sustainability.</t>
  </si>
  <si>
    <t>https://www.linkedin.com/in/swapnil-kshirsagar-organization-development/</t>
  </si>
  <si>
    <t>Swapnil@vindaan.com</t>
  </si>
  <si>
    <t>Yuvaraju Atmakuri</t>
  </si>
  <si>
    <t>Navariti Innovation</t>
  </si>
  <si>
    <t>Summary
Yuvaraju Atmakuri is a technology management and innovation leader with over 14 years of experience across startup incubation, corporate innovation, social impact, and finance. Currently serving as COO at Navariti Innovation, he drives IoT-based solutions in agriculture and sustainability. He has played a key role in leading large-scale innovation programs at T-Hub and MANAGE-CIA, supporting over 330 startups and 1,000+ entrepreneurs while enabling significant funding and ecosystem development. With a strong background in corporate finance and entrepreneurship, he combines execution excellence with strategic vision to build impactful innovation ecosystems across agriculture, education, and sustainability sectors.
Key Areas of Expertise
Startup Incubation &amp; Acceleration
Innovation Management &amp; Ecosystem Building
AgriTech &amp; Sustainability
Program Design &amp; Execution
Corporate–Startup Collaboration
Social Impact &amp; Development Programs
Corporate Finance &amp; Funding Strategy
Entrepreneurship Development
Strategic Contributions
Supported 330+ startups and 1,000+ entrepreneurs through national innovation programs.
Facilitated ₹60+ crore in startup funding and evaluated 5,000+ applications.
Led large-scale incubation and accelerator programs across Agri, Health, and Education sectors.
Built corporate-startup collaboration models at T-Hub.
Delivered international projects with GIZ, UNDP, and global organizations.
Co-founded EdTech platforms reaching 20 lakh+ students and 15,000+ schools.
Mentorship Philosophy
Yuvaraju believes in enabling innovation at scale by combining structured program execution with entrepreneurial thinking. His mentorship focuses on helping startups navigate ecosystem opportunities, access funding, and build scalable impact-driven solutions. He emphasizes practical execution, strong program design, and collaboration between startups, corporates, and institutions. By leveraging his experience across government, corporate, and startup ecosystems, he guides founders to build sustainable ventures that create real-world impact.
Success Stories
Led one of India’s largest agri-innovation programs (MANAGE-CIA).
Enabled ₹60 crore+ funding support for startups.
Successfully mentored and supported hundreds of startups and entrepreneurs.
Built and exited EdTech ventures with 10x investor returns.
Delivered global innovation and development programs with international organizations.</t>
  </si>
  <si>
    <t>https://www.linkedin.com/in/yuvaraju-atmakuri-3b1b2614/</t>
  </si>
  <si>
    <t>yuvaraj256@gmail.com</t>
  </si>
  <si>
    <t>Hemang Pandya</t>
  </si>
  <si>
    <t>Sales, Operation Management Consultant</t>
  </si>
  <si>
    <t>HP Consulting</t>
  </si>
  <si>
    <t>Summary:
Hemang Pandya is the Founder of HP Consulting, with over 25 years of cross-functional experience across sales, customer experience (CX), and operations. Based in Ahmedabad, he has spent the last 6+ years as a consultant specializing in Sales, CXM &amp; Business process reengineering, helping MSMEs streamline operations and scale efficiently. His corporate experience with brands like Symphony, Varuna, and Jaquar brings strong implementation depth to his advisory work.
Core Expertise:
B2B sales, customer experience (CX) management, lean business systems, process optimization (streamline–standardize–scale), ERP implementation, SOP design, and digital transformation. Strong focus on MSME growth and operational excellence. 
Problem-Solving Approach:
Adopts a structured, system-driven approach combining lean principles with practical execution. Focuses on identifying inefficiencies, standardizing processes, and building scalable systems that improve sales performance, customer experience, and operational efficiency.
Impactful Projects:
Executed 35+ consulting projects across sales transformation, BPR, ERP implementation, and SOP development for MSMEs across cities like Ahmedabad, Mumbai, and Roorkee. Delivered 1,000+ hours of corporate training on CX and ERP systems. Conducted CXM programs as visiting faculty at Ahmedabad Management Association, contributing to capability building in organizations.
Consultation Style:
Hands-on, execution-focused, and highly practical. Works closely with business owners and teams to implement systems rather than just recommend strategies. Emphasizes measurable outcomes, process discipline, and sustainable scaling.
Education &amp; Certifications:
Senior Management CXO Program – IIM Ranchi
PG Diploma in Business Management – Ahmedabad Management Association
B.E. Mechanical Engineering – L.D. College of Engineering
Certifications include Advanced Digital Transformation, ISO 2015 Lead Auditor (Bureau Veritas), Train the Trainer, and Lean Management.</t>
  </si>
  <si>
    <t>https://www.linkedin.com/in/hemang-pandya/</t>
  </si>
  <si>
    <t>Ahemdabad</t>
  </si>
  <si>
    <t>hemang@hpconsulting.co.in</t>
  </si>
  <si>
    <t>Ignite, Liftoff, Accelerate</t>
  </si>
  <si>
    <t>Summary
Katya Bajpai is a seasoned public health leader with over 20 years of experience in program management, health policy advocacy, and health systems strengthening across India and the APAC region. She specializes in designing and implementing large-scale, equity-focused health interventions for underserved populations. With leadership roles at organizations like Johnson &amp; Johnson and Novartis, she has driven multi-stakeholder collaborations with governments, NGOs, and donor agencies. Her expertise spans managing donor-funded programs, influencing national health policies, and improving healthcare access. Passionate about impact, she focuses on creating sustainable, scalable public health solutions aligned with long-term development goals.
Key Areas of Expertise
Public Health Program Management
Health Policy &amp; Advocacy
Health Systems Strengthening
Stakeholder Engagement (Govt, NGOs, Donors)
Social Behavior Change Communication (SBCC)
Healthcare Access &amp; Equity
Donor-Funded Program Management
Community Health Interventions
Strategic Contributions
Led 20+ public health initiatives addressing TB, HIV, and NCDs.
Built strong partnerships with Ministry of Health &amp; national stakeholders.
Improved access to diagnostics and treatment for underserved populations.
Managed large-scale donor-funded programs (USAID, Gates Foundation, etc.).
Spearheaded COVID-19 response initiatives across 75 districts in Uttar Pradesh.
Designed high-impact communication campaigns driving behavior change.
Mentorship Philosophy
Katya believes that impactful change comes from combining strong systems, community engagement, and policy alignment. Her mentorship focuses on helping founders and organizations design scalable, inclusive solutions that address real-world health challenges. She emphasizes collaboration, data-driven decision-making, and behavior change strategies. By leveraging her deep experience in public health ecosystems, she guides innovators to create sustainable interventions that improve access, equity, and long-term health outcomes.
Success Stories
Successfully implemented large-scale public health programs across India.
Played a key role in improving TB, HIV, and healthcare delivery systems.
Led COVID-19 response initiatives impacting multiple districts.
Influenced policy-level decisions and healthcare access strategies.
Delivered impactful SBCC campaigns reaching diverse communities.</t>
  </si>
  <si>
    <t>Katya Bajpai</t>
  </si>
  <si>
    <t>Regional Access Lead</t>
  </si>
  <si>
    <t>Novartis</t>
  </si>
  <si>
    <t>https://www.linkedin.com/in/katya-bajpai-b558a517/</t>
  </si>
  <si>
    <t>katyabajpai@gmail.com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</si>
</sst>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2" x14ac:knownFonts="1">
    <font>
      <sz val="11"/>
      <color theme="1"/>
      <name val="Aptos Narrow"/>
      <family val="2"/>
      <scheme val="minor"/>
    </font>
    <font>
      <sz val="11"/>
      <color theme="1"/>
      <name val="Aptos Narrow"/>
      <family val="2"/>
    </font>
    <font>
      <sz val="11"/>
      <name val="Aptos Narrow"/>
      <family val="2"/>
    </font>
    <font>
      <sz val="11"/>
      <name val="Aptos Narrow"/>
      <family val="2"/>
    </font>
    <font>
      <sz val="11"/>
      <name val="Aptos Narrow"/>
      <family val="2"/>
      <scheme val="minor"/>
    </font>
    <font>
      <sz val="8"/>
      <name val="Aptos Narrow"/>
      <family val="2"/>
      <scheme val="minor"/>
    </font>
    <font>
      <sz val="11"/>
      <color rgb="FF000000"/>
      <name val="Times New Roman"/>
      <family val="1"/>
    </font>
    <font>
      <u/>
      <sz val="11"/>
      <color theme="10"/>
      <name val="Aptos Narrow"/>
      <family val="2"/>
      <scheme val="minor"/>
    </font>
    <font>
      <sz val="11"/>
      <color rgb="FF000000"/>
      <name val="Aptos Narrow"/>
      <family val="2"/>
      <scheme val="minor"/>
    </font>
    <font>
      <b/>
      <sz val="11"/>
      <color rgb="FF000000"/>
      <name val="Aptos Narrow"/>
      <family val="2"/>
      <scheme val="minor"/>
    </font>
    <font>
      <sz val="11"/>
      <color rgb="FF000000"/>
      <name val="Aptos Narrow"/>
      <family val="2"/>
    </font>
    <font>
      <u/>
      <sz val="11"/>
      <color theme="10"/>
      <name val="Aptos Narrow"/>
      <family val="2"/>
    </font>
  </fonts>
  <fills count="5">
    <fill>
      <patternFill patternType="none"/>
    </fill>
    <fill>
      <patternFill patternType="gray125"/>
    </fill>
    <fill>
      <patternFill patternType="solid">
        <fgColor rgb="FFFFC000"/>
        <bgColor indexed="64"/>
      </patternFill>
    </fill>
    <fill>
      <patternFill patternType="solid">
        <fgColor rgb="FF0070C0"/>
        <bgColor indexed="64"/>
      </patternFill>
    </fill>
    <fill>
      <patternFill patternType="solid">
        <fgColor rgb="FFCC00CC"/>
        <bgColor indexed="64"/>
      </patternFill>
    </fill>
  </fills>
  <borders count="4">
    <border>
      <left/>
      <right/>
      <top/>
      <bottom/>
      <diagonal/>
    </border>
    <border>
      <left/>
      <right/>
      <top style="thin">
        <color theme="6"/>
      </top>
      <bottom/>
      <diagonal/>
    </border>
    <border>
      <left/>
      <right/>
      <top style="thin">
        <color theme="4"/>
      </top>
      <bottom/>
      <diagonal/>
    </border>
    <border>
      <left/>
      <right/>
      <top style="thin">
        <color theme="4"/>
      </top>
      <bottom style="thin">
        <color theme="4"/>
      </bottom>
      <diagonal/>
    </border>
  </borders>
  <cellStyleXfs count="4">
    <xf numFmtId="0" fontId="0" fillId="0" borderId="0"/>
    <xf numFmtId="0" fontId="2" fillId="0" borderId="0"/>
    <xf numFmtId="0" fontId="3" fillId="0" borderId="0"/>
    <xf numFmtId="0" fontId="7" fillId="0" borderId="0" applyNumberFormat="0" applyFill="0" applyBorder="0" applyAlignment="0" applyProtection="0"/>
  </cellStyleXfs>
  <cellXfs count="27">
    <xf numFmtId="0" fontId="0" fillId="0" borderId="0" xfId="0"/>
    <xf numFmtId="0" fontId="4" fillId="2" borderId="0" xfId="0" applyFont="1" applyFill="1"/>
    <xf numFmtId="0" fontId="0" fillId="3" borderId="0" xfId="0" applyFill="1"/>
    <xf numFmtId="0" fontId="0" fillId="4" borderId="0" xfId="0" applyFill="1"/>
    <xf numFmtId="0" fontId="0" fillId="0" borderId="0" xfId="0" applyAlignment="1">
      <alignment wrapText="1"/>
    </xf>
    <xf numFmtId="0" fontId="0" fillId="0" borderId="1" xfId="0" applyBorder="1"/>
    <xf numFmtId="0" fontId="6" fillId="0" borderId="0" xfId="0" applyFont="1" applyAlignment="1">
      <alignment wrapText="1"/>
    </xf>
    <xf numFmtId="0" fontId="7" fillId="0" borderId="0" xfId="3"/>
    <xf numFmtId="0" fontId="0" fillId="3" borderId="0" xfId="0" applyFill="1" applyAlignment="1">
      <alignment wrapText="1"/>
    </xf>
    <xf numFmtId="0" fontId="0" fillId="0" borderId="0" xfId="0" applyAlignment="1">
      <alignment vertical="top" wrapText="1"/>
    </xf>
    <xf numFmtId="0" fontId="7" fillId="0" borderId="0" xfId="3" applyAlignment="1">
      <alignment wrapText="1"/>
    </xf>
    <xf numFmtId="0" fontId="1" fillId="0" borderId="2" xfId="0" applyFont="1" applyBorder="1"/>
    <xf numFmtId="0" fontId="1" fillId="0" borderId="3" xfId="0" applyFont="1" applyBorder="1"/>
    <xf numFmtId="0" fontId="1" fillId="0" borderId="3" xfId="0" applyFont="1" applyBorder="1" applyAlignment="1">
      <alignment wrapText="1"/>
    </xf>
    <xf numFmtId="0" fontId="1" fillId="0" borderId="3" xfId="0" applyFont="1" applyBorder="1" applyAlignment="1">
      <alignment horizontal="left"/>
    </xf>
    <xf numFmtId="0" fontId="10" fillId="0" borderId="0" xfId="0" applyFont="1"/>
    <xf numFmtId="0" fontId="4" fillId="2" borderId="0" xfId="0" applyFont="1" applyFill="1" applyAlignment="1">
      <alignment horizontal="right"/>
    </xf>
    <xf numFmtId="0" fontId="0" fillId="0" borderId="0" xfId="0" applyAlignment="1">
      <alignment horizontal="right"/>
    </xf>
    <xf numFmtId="0" fontId="0" fillId="0" borderId="0" xfId="0" applyAlignment="1">
      <alignment horizontal="right" wrapText="1"/>
    </xf>
    <xf numFmtId="164" fontId="0" fillId="0" borderId="0" xfId="0" applyNumberFormat="1"/>
    <xf numFmtId="0" fontId="0" fillId="0" borderId="0" xfId="0" applyAlignment="1">
      <alignment horizontal="center"/>
    </xf>
    <xf numFmtId="0" fontId="11" fillId="0" borderId="3" xfId="3" applyFont="1" applyBorder="1" applyAlignment="1">
      <alignment horizontal="left" vertical="top"/>
    </xf>
    <xf numFmtId="0" fontId="7" fillId="0" borderId="0" xfId="3" applyBorder="1" applyAlignment="1">
      <alignment wrapText="1"/>
    </xf>
    <xf numFmtId="0" fontId="10" fillId="0" borderId="0" xfId="0" applyFont="1" applyAlignment="1">
      <alignment wrapText="1"/>
    </xf>
    <xf numFmtId="0" fontId="0" fillId="0" borderId="0" xfId="0" applyAlignment="1">
      <alignment vertical="top"/>
    </xf>
    <xf numFmtId="0" fontId="8" fillId="0" borderId="0" xfId="0" applyFont="1" applyAlignment="1">
      <alignment vertical="top" wrapText="1"/>
    </xf>
    <xf numFmtId="0" fontId="0" fillId="0" borderId="0" xfId="0" applyNumberFormat="1"/>
  </cellXfs>
  <cellStyles count="4">
    <cellStyle name="Hyperlink" xfId="3" builtinId="8"/>
    <cellStyle name="Normal" xfId="0" builtinId="0"/>
    <cellStyle name="Normal 2" xfId="1" xr:uid="{B8ACF3FA-94B1-47D1-9A6C-98E4B57B6409}"/>
    <cellStyle name="Normal 3" xfId="2" xr:uid="{1E29A781-5F65-48F8-A79C-B91CFC4B226B}"/>
  </cellStyles>
  <dxfs count="11">
    <dxf>
      <numFmt numFmtId="164" formatCode="dd/m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m/yyyy"/>
    </dxf>
    <dxf>
      <alignment horizontal="right" vertical="bottom" textRotation="0" indent="0" justifyLastLine="0" shrinkToFit="0" readingOrder="0"/>
    </dxf>
    <dxf>
      <numFmt numFmtId="0" formatCode="General"/>
    </dxf>
    <dxf>
      <numFmt numFmtId="0" formatCode="General"/>
    </dxf>
  </dxfs>
  <tableStyles count="0" defaultTableStyle="TableStyleMedium2" defaultPivotStyle="PivotStyleLight16"/>
  <colors>
    <mruColors>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D784E6-030E-42A0-BEE7-D0D99A65E39F}" name="Mentors" displayName="Mentors" ref="A1:AN688" totalsRowShown="0">
  <autoFilter ref="A1:AN688" xr:uid="{5BD784E6-030E-42A0-BEE7-D0D99A65E39F}"/>
  <tableColumns count="40">
    <tableColumn id="1" xr3:uid="{104D462C-4677-432E-AECB-0C8181B21355}" name="Name"/>
    <tableColumn id="2" xr3:uid="{0CAA9D19-52C2-4DEE-979C-5BD0674D74B7}" name="Job Title"/>
    <tableColumn id="3" xr3:uid="{21792DCA-4C4F-4B63-8A23-24AC0C091FBF}" name="Current Company"/>
    <tableColumn id="4" xr3:uid="{FEC6A814-78D7-4754-BF64-94D99D87184E}" name="Bio"/>
    <tableColumn id="5" xr3:uid="{A638D4CB-31FD-422E-8C5D-6666B61B6CA5}" name="LinkedIn Profile"/>
    <tableColumn id="16" xr3:uid="{FA7DBD7D-A55E-49E0-A13A-DB6BFD42A801}" name="Career Start Year"/>
    <tableColumn id="17" xr3:uid="{FF01F186-6933-439F-9AD6-5F792C991BFD}" name="Years of Experience" dataDxfId="10">
      <calculatedColumnFormula>IF(OR(Mentors[[#This Row],[Career Start Year]]="NA",ISBLANK(Mentors[[#This Row],[Career Start Year]])),"",2026 - Mentors[[#This Row],[Career Start Year]])</calculatedColumnFormula>
    </tableColumn>
    <tableColumn id="18" xr3:uid="{023FC8FD-71A4-47CE-83CE-9F6F03E21082}" name="Experience Category" dataDxfId="9">
      <calculatedColumnFormula>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calculatedColumnFormula>
    </tableColumn>
    <tableColumn id="19" xr3:uid="{0239660F-05E7-42A1-95DA-3696EEFDB81B}" name="Country"/>
    <tableColumn id="20" xr3:uid="{0E64A5E4-E7EE-4EDF-AE0A-1640843D62E8}" name="Current Location"/>
    <tableColumn id="27" xr3:uid="{2061CE5E-9EA3-465F-831D-C3951CDF29C8}" name="Email ID"/>
    <tableColumn id="28" xr3:uid="{F090FD6C-A8C8-47EC-93B0-A8C3006A3DD6}" name="Phone No. " dataDxfId="8"/>
    <tableColumn id="33" xr3:uid="{8C4EFD8D-515D-456E-B15D-E5C4360845EB}" name="Onboarded Date" dataDxfId="7"/>
    <tableColumn id="9" xr3:uid="{AAA34206-B617-4665-AF90-1ACC8F8064B1}" name="OWNER"/>
    <tableColumn id="31" xr3:uid="{0D73F58F-9562-4CEB-9E81-A6E579EC2445}" name="Update Status"/>
    <tableColumn id="32" xr3:uid="{6D9B2010-8EB3-4331-A267-835914211781}" name="Remarks"/>
    <tableColumn id="6" xr3:uid="{DCA3559E-298A-4406-AA0C-06C6C07F53A9}" name="Angel Investor"/>
    <tableColumn id="7" xr3:uid="{2C3FD362-3E80-4DB3-8A42-B4272474AA20}" name="Serial Entrepreneur"/>
    <tableColumn id="8" xr3:uid="{594C5108-C391-4425-A596-7897CDB68F5A}" name="Founder/Co-Founder"/>
    <tableColumn id="34" xr3:uid="{7983D056-BEA7-41F4-9038-D5D9DF07C90B}" name="Primary Expertise"/>
    <tableColumn id="35" xr3:uid="{1D1F3B89-5910-4256-A647-0748E7DDC354}" name="Secondary Expertise"/>
    <tableColumn id="14" xr3:uid="{27F3765F-B810-40F6-9F9C-C0E63926786A}" name="Primary Sector"/>
    <tableColumn id="15" xr3:uid="{0B13C673-8426-4EF9-A398-9F0FBE081AF0}" name="Secondary Sector"/>
    <tableColumn id="36" xr3:uid="{F1BAD658-C819-41C4-89B8-DE6EDF6EEDAA}" name="Primary Venture Idea" dataDxfId="6"/>
    <tableColumn id="37" xr3:uid="{2327C715-7FEC-49D8-AE32-C8B72932F160}" name="Secondary Venture Idea" dataDxfId="5"/>
    <tableColumn id="22" xr3:uid="{0A9BBE45-992A-4B09-B1EF-0E67B0399DA9}" name="Program Suitability (Ignite, Startups)"/>
    <tableColumn id="38" xr3:uid="{8D786E90-D45B-4DD4-8EC7-1B39FA9B9A30}" name="Paid/Probono/Both"/>
    <tableColumn id="21" xr3:uid="{9A93643D-BD2B-4B27-B053-C9D451EDA5A4}" name="Hours of Commitment (Per Month)"/>
    <tableColumn id="39" xr3:uid="{A9026817-D99B-4BEC-BFB5-3E09BBA0186A}" name="Nature of Engagement"/>
    <tableColumn id="23" xr3:uid="{A0C8CC1A-7D32-4B57-A440-CBCE962A5AE2}" name="SMB mentor?"/>
    <tableColumn id="24" xr3:uid="{2BFE51FE-AB45-478A-9537-BBADA5754AB1}" name="Is a Founder?"/>
    <tableColumn id="25" xr3:uid="{E2D0FCED-7F4C-4F2B-A2D6-AA813BDD2B32}" name="Is suitable for WIN/WGDT"/>
    <tableColumn id="26" xr3:uid="{3009F367-4F58-4A73-91B2-6D30B6512709}" name="Currently working in an Incubator"/>
    <tableColumn id="29" xr3:uid="{0BB99E8B-C3D9-4EC1-8A7E-17DD0E3C7038}" name="Job Title Category"/>
    <tableColumn id="30" xr3:uid="{85360956-200E-4C2B-8092-FAA69D92D6D6}" name="Function"/>
    <tableColumn id="13" xr3:uid="{D019B30D-7554-43AA-94C3-8BBEE222C225}" name="Working in Venture Firm(PE/VC)" dataDxfId="4"/>
    <tableColumn id="10" xr3:uid="{C5D3A4B6-ABD8-4EF7-BE7B-C37DDAB0BCA0}" name="Backup Expertise" dataDxfId="3"/>
    <tableColumn id="11" xr3:uid="{0F7F8B79-D775-4DC0-9FB3-A8B19378AEF0}" name="Backup Industries" dataDxfId="2"/>
    <tableColumn id="12" xr3:uid="{A866177B-3A2F-433F-8F92-E532B633AD2A}" name="Accelerate Core Status" dataDxfId="1"/>
    <tableColumn id="40" xr3:uid="{E739CFEF-5776-42F1-AC0A-88B4A91C5D36}" name="Start of Week" dataDxfId="0">
      <calculatedColumnFormula>IF(ISBLANK(Mentors[[#This Row],[Onboarded Date]]),"",Mentors[[#This Row],[Onboarded Date]]-WEEKDAY(Mentors[[#This Row],[Onboarded Date]],2)+1)</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linkedin.com/in/dheeresh-manrai-315b2216/" TargetMode="External"/><Relationship Id="rId21" Type="http://schemas.openxmlformats.org/officeDocument/2006/relationships/hyperlink" Target="mailto:sunilb8@live.com" TargetMode="External"/><Relationship Id="rId42" Type="http://schemas.openxmlformats.org/officeDocument/2006/relationships/hyperlink" Target="mailto:ajaybatra1@gmail.com" TargetMode="External"/><Relationship Id="rId63" Type="http://schemas.openxmlformats.org/officeDocument/2006/relationships/hyperlink" Target="mailto:krishnadorai@gmail.com" TargetMode="External"/><Relationship Id="rId84" Type="http://schemas.openxmlformats.org/officeDocument/2006/relationships/hyperlink" Target="https://www.linkedin.com/in/karuna-sharma-50b4217/" TargetMode="External"/><Relationship Id="rId138" Type="http://schemas.openxmlformats.org/officeDocument/2006/relationships/hyperlink" Target="mailto:dutta.arjun@gmail.com" TargetMode="External"/><Relationship Id="rId159" Type="http://schemas.openxmlformats.org/officeDocument/2006/relationships/hyperlink" Target="mailto:avinashrgtu2011@gmail.com" TargetMode="External"/><Relationship Id="rId170" Type="http://schemas.openxmlformats.org/officeDocument/2006/relationships/hyperlink" Target="https://www.linkedin.com/in/venkatesan-ellappan-3106189/" TargetMode="External"/><Relationship Id="rId107" Type="http://schemas.openxmlformats.org/officeDocument/2006/relationships/hyperlink" Target="https://www.linkedin.com/in/shridhar-n-upadhye-35588916/?utm_source=share&amp;utm_campaign=share_via&amp;utm_content=profile&amp;utm_medium=android_app" TargetMode="External"/><Relationship Id="rId11" Type="http://schemas.openxmlformats.org/officeDocument/2006/relationships/hyperlink" Target="https://www.linkedin.com/in/imvivekshah/" TargetMode="External"/><Relationship Id="rId32" Type="http://schemas.openxmlformats.org/officeDocument/2006/relationships/hyperlink" Target="https://www.linkedin.com/in/connectwithsudheer/" TargetMode="External"/><Relationship Id="rId53" Type="http://schemas.openxmlformats.org/officeDocument/2006/relationships/hyperlink" Target="mailto:shridharnu@gmail.com" TargetMode="External"/><Relationship Id="rId74" Type="http://schemas.openxmlformats.org/officeDocument/2006/relationships/hyperlink" Target="mailto:sandesh@mestry.in" TargetMode="External"/><Relationship Id="rId128" Type="http://schemas.openxmlformats.org/officeDocument/2006/relationships/hyperlink" Target="https://www.linkedin.com/in/mukul-agarwal-6172a713/" TargetMode="External"/><Relationship Id="rId149" Type="http://schemas.openxmlformats.org/officeDocument/2006/relationships/hyperlink" Target="https://www.linkedin.com/in/ramkumar-subramanyam/" TargetMode="External"/><Relationship Id="rId5" Type="http://schemas.openxmlformats.org/officeDocument/2006/relationships/hyperlink" Target="mailto:yss_nk@yahoo.com" TargetMode="External"/><Relationship Id="rId95" Type="http://schemas.openxmlformats.org/officeDocument/2006/relationships/hyperlink" Target="https://www.linkedin.com/in/kushagrag86/" TargetMode="External"/><Relationship Id="rId160" Type="http://schemas.openxmlformats.org/officeDocument/2006/relationships/hyperlink" Target="mailto:sanjeevss@gmail.com" TargetMode="External"/><Relationship Id="rId181" Type="http://schemas.openxmlformats.org/officeDocument/2006/relationships/hyperlink" Target="https://www.linkedin.com/in/tkadvisors/?locale=ja_JP" TargetMode="External"/><Relationship Id="rId22" Type="http://schemas.openxmlformats.org/officeDocument/2006/relationships/hyperlink" Target="https://www.linkedin.com/in/gowthaminjamuri/" TargetMode="External"/><Relationship Id="rId43" Type="http://schemas.openxmlformats.org/officeDocument/2006/relationships/hyperlink" Target="https://www.linkedin.com/in/sudhakar-sagi-a71649229/" TargetMode="External"/><Relationship Id="rId64" Type="http://schemas.openxmlformats.org/officeDocument/2006/relationships/hyperlink" Target="https://www.linkedin.com/in/paruchuri-umashankar/" TargetMode="External"/><Relationship Id="rId118" Type="http://schemas.openxmlformats.org/officeDocument/2006/relationships/hyperlink" Target="https://in.linkedin.com/in/mittalashish" TargetMode="External"/><Relationship Id="rId139" Type="http://schemas.openxmlformats.org/officeDocument/2006/relationships/hyperlink" Target="https://www.linkedin.com/in/varsha-agarwal-change-maker/" TargetMode="External"/><Relationship Id="rId85" Type="http://schemas.openxmlformats.org/officeDocument/2006/relationships/hyperlink" Target="mailto:kushagra@brandscalers.in" TargetMode="External"/><Relationship Id="rId150" Type="http://schemas.openxmlformats.org/officeDocument/2006/relationships/hyperlink" Target="mailto:prashantmohanty187@gmwil.com" TargetMode="External"/><Relationship Id="rId171" Type="http://schemas.openxmlformats.org/officeDocument/2006/relationships/hyperlink" Target="mailto:ev@zenz.tech" TargetMode="External"/><Relationship Id="rId12" Type="http://schemas.openxmlformats.org/officeDocument/2006/relationships/hyperlink" Target="mailto:vikas@panaceafinserve.in" TargetMode="External"/><Relationship Id="rId33" Type="http://schemas.openxmlformats.org/officeDocument/2006/relationships/hyperlink" Target="mailto:sudheerkumar369@outlook.com" TargetMode="External"/><Relationship Id="rId108" Type="http://schemas.openxmlformats.org/officeDocument/2006/relationships/hyperlink" Target="https://www.linkedin.com/in/gauravbansal2/" TargetMode="External"/><Relationship Id="rId129" Type="http://schemas.openxmlformats.org/officeDocument/2006/relationships/hyperlink" Target="https://www.linkedin.com/in/suhasinibarman/" TargetMode="External"/><Relationship Id="rId54" Type="http://schemas.openxmlformats.org/officeDocument/2006/relationships/hyperlink" Target="https://www.linkedin.com/in/hemendra333/" TargetMode="External"/><Relationship Id="rId75" Type="http://schemas.openxmlformats.org/officeDocument/2006/relationships/hyperlink" Target="https://www.linkedin.com/in/devangraja2001/" TargetMode="External"/><Relationship Id="rId96" Type="http://schemas.openxmlformats.org/officeDocument/2006/relationships/hyperlink" Target="https://www.linkedin.com/in/asheshdshah-aiadvisor/" TargetMode="External"/><Relationship Id="rId140" Type="http://schemas.openxmlformats.org/officeDocument/2006/relationships/hyperlink" Target="mailto:varsha.agarwal@bodhiq.com" TargetMode="External"/><Relationship Id="rId161" Type="http://schemas.openxmlformats.org/officeDocument/2006/relationships/hyperlink" Target="mailto:aman.singh2011@hotmail.com" TargetMode="External"/><Relationship Id="rId182" Type="http://schemas.openxmlformats.org/officeDocument/2006/relationships/hyperlink" Target="https://www.linkedin.com/in/katya-bajpai-b558a517/" TargetMode="External"/><Relationship Id="rId6" Type="http://schemas.openxmlformats.org/officeDocument/2006/relationships/hyperlink" Target="https://www.linkedin.com/in/kavya-d-8973875/" TargetMode="External"/><Relationship Id="rId23" Type="http://schemas.openxmlformats.org/officeDocument/2006/relationships/hyperlink" Target="mailto:igowtham.kumar@gmail.com" TargetMode="External"/><Relationship Id="rId119" Type="http://schemas.openxmlformats.org/officeDocument/2006/relationships/hyperlink" Target="https://www.linkedin.com/in/ramkumarsubramanian/?originalSubdomain=in" TargetMode="External"/><Relationship Id="rId44" Type="http://schemas.openxmlformats.org/officeDocument/2006/relationships/hyperlink" Target="mailto:sudhakarsagi@hotmail.com" TargetMode="External"/><Relationship Id="rId65" Type="http://schemas.openxmlformats.org/officeDocument/2006/relationships/hyperlink" Target="https://www.linkedin.com/in/achalrangaswamy/" TargetMode="External"/><Relationship Id="rId86" Type="http://schemas.openxmlformats.org/officeDocument/2006/relationships/hyperlink" Target="https://www.linkedin.com/in/vigneshwaran-t/" TargetMode="External"/><Relationship Id="rId130" Type="http://schemas.openxmlformats.org/officeDocument/2006/relationships/hyperlink" Target="https://www.linkedin.com/in/srisabarinathan-d/" TargetMode="External"/><Relationship Id="rId151" Type="http://schemas.openxmlformats.org/officeDocument/2006/relationships/hyperlink" Target="mailto:dheeresh@alliancehealthcare.net.in" TargetMode="External"/><Relationship Id="rId172" Type="http://schemas.openxmlformats.org/officeDocument/2006/relationships/hyperlink" Target="https://www.linkedin.com/in/vidyaravichandran/" TargetMode="External"/><Relationship Id="rId13" Type="http://schemas.openxmlformats.org/officeDocument/2006/relationships/hyperlink" Target="https://www.linkedin.com/in/bhatsameer/" TargetMode="External"/><Relationship Id="rId18" Type="http://schemas.openxmlformats.org/officeDocument/2006/relationships/hyperlink" Target="mailto:amiya_srivastava@hotmail.co.uk" TargetMode="External"/><Relationship Id="rId39" Type="http://schemas.openxmlformats.org/officeDocument/2006/relationships/hyperlink" Target="https://www.linkedin.com/in/atipriye/?utm_source=share&amp;utm_campaign=share_via&amp;utm_content=profile&amp;utm_medium=android_app" TargetMode="External"/><Relationship Id="rId109" Type="http://schemas.openxmlformats.org/officeDocument/2006/relationships/hyperlink" Target="https://www.linkedin.com/in/sandeep-gupta-81078" TargetMode="External"/><Relationship Id="rId34" Type="http://schemas.openxmlformats.org/officeDocument/2006/relationships/hyperlink" Target="https://www.linkedin.com/in/sarita-kansal-46b02b124" TargetMode="External"/><Relationship Id="rId50" Type="http://schemas.openxmlformats.org/officeDocument/2006/relationships/hyperlink" Target="mailto:bksumit.thakur@gmail.com" TargetMode="External"/><Relationship Id="rId55" Type="http://schemas.openxmlformats.org/officeDocument/2006/relationships/hyperlink" Target="https://www.linkedin.com/in/g-vikram-40130914b/" TargetMode="External"/><Relationship Id="rId76" Type="http://schemas.openxmlformats.org/officeDocument/2006/relationships/hyperlink" Target="https://www.linkedin.com/in/mynktiwari/" TargetMode="External"/><Relationship Id="rId97" Type="http://schemas.openxmlformats.org/officeDocument/2006/relationships/hyperlink" Target="https://www.linkedin.com/in/abhimanyu-gargesh-9907336/" TargetMode="External"/><Relationship Id="rId104" Type="http://schemas.openxmlformats.org/officeDocument/2006/relationships/hyperlink" Target="https://www.linkedin.com/in/prashantmandke/" TargetMode="External"/><Relationship Id="rId120" Type="http://schemas.openxmlformats.org/officeDocument/2006/relationships/hyperlink" Target="https://www.linkedin.com/in/bgk/" TargetMode="External"/><Relationship Id="rId125" Type="http://schemas.openxmlformats.org/officeDocument/2006/relationships/hyperlink" Target="https://www.linkedin.com/in/kumaresh69" TargetMode="External"/><Relationship Id="rId141" Type="http://schemas.openxmlformats.org/officeDocument/2006/relationships/hyperlink" Target="https://www.linkedin.com/in/satishchandranair/" TargetMode="External"/><Relationship Id="rId146" Type="http://schemas.openxmlformats.org/officeDocument/2006/relationships/hyperlink" Target="https://www.linkedin.com/in/ashwin-palo-55a6a123" TargetMode="External"/><Relationship Id="rId167" Type="http://schemas.openxmlformats.org/officeDocument/2006/relationships/hyperlink" Target="mailto:rnthakeria@gmail.com" TargetMode="External"/><Relationship Id="rId7" Type="http://schemas.openxmlformats.org/officeDocument/2006/relationships/hyperlink" Target="mailto:starnelceo@gmail.com" TargetMode="External"/><Relationship Id="rId71" Type="http://schemas.openxmlformats.org/officeDocument/2006/relationships/hyperlink" Target="https://www.linkedin.com/in/sanjayukulkarni/?originalSubdomain=in" TargetMode="External"/><Relationship Id="rId92" Type="http://schemas.openxmlformats.org/officeDocument/2006/relationships/hyperlink" Target="https://www.linkedin.com/in/shalin-wadhwa-a0215853/" TargetMode="External"/><Relationship Id="rId162" Type="http://schemas.openxmlformats.org/officeDocument/2006/relationships/hyperlink" Target="https://www.linkedin.com/in/saiprasadsomayajula/details/experience/" TargetMode="External"/><Relationship Id="rId183" Type="http://schemas.openxmlformats.org/officeDocument/2006/relationships/hyperlink" Target="mailto:katyabajpai@gmail.com" TargetMode="External"/><Relationship Id="rId2" Type="http://schemas.openxmlformats.org/officeDocument/2006/relationships/hyperlink" Target="mailto:growthbynitesh@gmail.com" TargetMode="External"/><Relationship Id="rId29" Type="http://schemas.openxmlformats.org/officeDocument/2006/relationships/hyperlink" Target="mailto:manik@doormonk.in" TargetMode="External"/><Relationship Id="rId24" Type="http://schemas.openxmlformats.org/officeDocument/2006/relationships/hyperlink" Target="https://www.linkedin.com/in/mridultiwari/" TargetMode="External"/><Relationship Id="rId40" Type="http://schemas.openxmlformats.org/officeDocument/2006/relationships/hyperlink" Target="mailto:atipriye@gmail.com" TargetMode="External"/><Relationship Id="rId45" Type="http://schemas.openxmlformats.org/officeDocument/2006/relationships/hyperlink" Target="https://www.linkedin.com/in/sanjaykumar-patel-excelonip" TargetMode="External"/><Relationship Id="rId66" Type="http://schemas.openxmlformats.org/officeDocument/2006/relationships/hyperlink" Target="https://www.linkedin.com/in/amitsaluja/" TargetMode="External"/><Relationship Id="rId87" Type="http://schemas.openxmlformats.org/officeDocument/2006/relationships/hyperlink" Target="mailto:Vignesh@nandhainfotech.com" TargetMode="External"/><Relationship Id="rId110" Type="http://schemas.openxmlformats.org/officeDocument/2006/relationships/hyperlink" Target="https://www.linkedin.com/in/sriramchidambaram/" TargetMode="External"/><Relationship Id="rId115" Type="http://schemas.openxmlformats.org/officeDocument/2006/relationships/hyperlink" Target="https://www.linkedin.com/in/amiysriv/" TargetMode="External"/><Relationship Id="rId131" Type="http://schemas.openxmlformats.org/officeDocument/2006/relationships/hyperlink" Target="mailto:srisabari_d@outlook.com" TargetMode="External"/><Relationship Id="rId136" Type="http://schemas.openxmlformats.org/officeDocument/2006/relationships/hyperlink" Target="https://www.linkedin.com/in/dr-gyanendra-kr-attri-364b6130/" TargetMode="External"/><Relationship Id="rId157" Type="http://schemas.openxmlformats.org/officeDocument/2006/relationships/hyperlink" Target="mailto:satishfca@gmail.com" TargetMode="External"/><Relationship Id="rId178" Type="http://schemas.openxmlformats.org/officeDocument/2006/relationships/hyperlink" Target="https://www.linkedin.com/in/hemang-pandya/" TargetMode="External"/><Relationship Id="rId61" Type="http://schemas.openxmlformats.org/officeDocument/2006/relationships/hyperlink" Target="https://www.linkedin.com/in/tryambakchatterjee/" TargetMode="External"/><Relationship Id="rId82" Type="http://schemas.openxmlformats.org/officeDocument/2006/relationships/hyperlink" Target="https://www.linkedin.com/in/nikhil-parmar-445420105/" TargetMode="External"/><Relationship Id="rId152" Type="http://schemas.openxmlformats.org/officeDocument/2006/relationships/hyperlink" Target="mailto:saxena.sandeep@gmail.com" TargetMode="External"/><Relationship Id="rId173" Type="http://schemas.openxmlformats.org/officeDocument/2006/relationships/hyperlink" Target="mailto:vidya.ravichandran@ladderminds.com" TargetMode="External"/><Relationship Id="rId19" Type="http://schemas.openxmlformats.org/officeDocument/2006/relationships/hyperlink" Target="mailto:abhideep53@yahoo.com" TargetMode="External"/><Relationship Id="rId14" Type="http://schemas.openxmlformats.org/officeDocument/2006/relationships/hyperlink" Target="mailto:profsameerbhat@gmail.com" TargetMode="External"/><Relationship Id="rId30" Type="http://schemas.openxmlformats.org/officeDocument/2006/relationships/hyperlink" Target="https://www.linkedin.com/in/mahimajkim/" TargetMode="External"/><Relationship Id="rId35" Type="http://schemas.openxmlformats.org/officeDocument/2006/relationships/hyperlink" Target="https://www.linkedin.com/in/caagarwalaashish/" TargetMode="External"/><Relationship Id="rId56" Type="http://schemas.openxmlformats.org/officeDocument/2006/relationships/hyperlink" Target="mailto:vik_brlee@yahoo.com" TargetMode="External"/><Relationship Id="rId77" Type="http://schemas.openxmlformats.org/officeDocument/2006/relationships/hyperlink" Target="mailto:mynktiwari@gmail.com" TargetMode="External"/><Relationship Id="rId100" Type="http://schemas.openxmlformats.org/officeDocument/2006/relationships/hyperlink" Target="https://www.linkedin.com/in/manuk/" TargetMode="External"/><Relationship Id="rId105" Type="http://schemas.openxmlformats.org/officeDocument/2006/relationships/hyperlink" Target="https://www.linkedin.com/in/amitsabale/" TargetMode="External"/><Relationship Id="rId126" Type="http://schemas.openxmlformats.org/officeDocument/2006/relationships/hyperlink" Target="https://www.linkedin.com/in/maheshnatarajan2017/" TargetMode="External"/><Relationship Id="rId147" Type="http://schemas.openxmlformats.org/officeDocument/2006/relationships/hyperlink" Target="https://www.linkedin.com/in/drmanishbillore/" TargetMode="External"/><Relationship Id="rId168" Type="http://schemas.openxmlformats.org/officeDocument/2006/relationships/hyperlink" Target="https://www.linkedin.com/in/tarachanddhoundiyal/" TargetMode="External"/><Relationship Id="rId8" Type="http://schemas.openxmlformats.org/officeDocument/2006/relationships/hyperlink" Target="https://www.linkedin.com/in/pranob-kumar-mishra-585a2b339/" TargetMode="External"/><Relationship Id="rId51" Type="http://schemas.openxmlformats.org/officeDocument/2006/relationships/hyperlink" Target="https://www.linkedin.com/in/abhishek-kapahi-92b41b182/" TargetMode="External"/><Relationship Id="rId72" Type="http://schemas.openxmlformats.org/officeDocument/2006/relationships/hyperlink" Target="mailto:sanjay.kulkarni@thefintelligence.com" TargetMode="External"/><Relationship Id="rId93" Type="http://schemas.openxmlformats.org/officeDocument/2006/relationships/hyperlink" Target="https://www.linkedin.com/in/raj-gulia-6458b850" TargetMode="External"/><Relationship Id="rId98" Type="http://schemas.openxmlformats.org/officeDocument/2006/relationships/hyperlink" Target="https://www.linkedin.com/in/crispino-santamaria/" TargetMode="External"/><Relationship Id="rId121" Type="http://schemas.openxmlformats.org/officeDocument/2006/relationships/hyperlink" Target="https://www.linkedin.com/in/vigneshnar/" TargetMode="External"/><Relationship Id="rId142" Type="http://schemas.openxmlformats.org/officeDocument/2006/relationships/hyperlink" Target="https://www.linkedin.com/in/ashutoshtewari/" TargetMode="External"/><Relationship Id="rId163" Type="http://schemas.openxmlformats.org/officeDocument/2006/relationships/hyperlink" Target="mailto:info@shriyam.co.in" TargetMode="External"/><Relationship Id="rId184" Type="http://schemas.openxmlformats.org/officeDocument/2006/relationships/table" Target="../tables/table1.xml"/><Relationship Id="rId3" Type="http://schemas.openxmlformats.org/officeDocument/2006/relationships/hyperlink" Target="mailto:amit.sabale@gmail.com" TargetMode="External"/><Relationship Id="rId25" Type="http://schemas.openxmlformats.org/officeDocument/2006/relationships/hyperlink" Target="mailto:tiwari.mridul@live.in" TargetMode="External"/><Relationship Id="rId46" Type="http://schemas.openxmlformats.org/officeDocument/2006/relationships/hyperlink" Target="https://in.linkedin.com/in/siddesh-biyani-08b320b1" TargetMode="External"/><Relationship Id="rId67" Type="http://schemas.openxmlformats.org/officeDocument/2006/relationships/hyperlink" Target="https://www.linkedin.com/in/anandraj73/" TargetMode="External"/><Relationship Id="rId116" Type="http://schemas.openxmlformats.org/officeDocument/2006/relationships/hyperlink" Target="https://www.linkedin.com/in/bharat-moossaddee-57329a2" TargetMode="External"/><Relationship Id="rId137" Type="http://schemas.openxmlformats.org/officeDocument/2006/relationships/hyperlink" Target="https://www.linkedin.com/in/reena-ahuja-248543/?original_referer=https%3A%2F%2Fwww%2Egoogle%2Ecom%2F&amp;originalSubdomain=in" TargetMode="External"/><Relationship Id="rId158" Type="http://schemas.openxmlformats.org/officeDocument/2006/relationships/hyperlink" Target="mailto:abhilash.puljal@gmail.com" TargetMode="External"/><Relationship Id="rId20" Type="http://schemas.openxmlformats.org/officeDocument/2006/relationships/hyperlink" Target="https://www.linkedin.com/in/sunilb8/" TargetMode="External"/><Relationship Id="rId41" Type="http://schemas.openxmlformats.org/officeDocument/2006/relationships/hyperlink" Target="https://www.linkedin.com/in/ajaybatra1?originalSubdomain=in" TargetMode="External"/><Relationship Id="rId62" Type="http://schemas.openxmlformats.org/officeDocument/2006/relationships/hyperlink" Target="https://www.linkedin.com/in/satyamahapatra/" TargetMode="External"/><Relationship Id="rId83" Type="http://schemas.openxmlformats.org/officeDocument/2006/relationships/hyperlink" Target="https://www.linkedin.com/in/prakadesh-subramanian-37475b48" TargetMode="External"/><Relationship Id="rId88" Type="http://schemas.openxmlformats.org/officeDocument/2006/relationships/hyperlink" Target="https://www.linkedin.com/in/dr-kanishka-jha/" TargetMode="External"/><Relationship Id="rId111" Type="http://schemas.openxmlformats.org/officeDocument/2006/relationships/hyperlink" Target="https://www.linkedin.com/in/vaibhavtewari/" TargetMode="External"/><Relationship Id="rId132" Type="http://schemas.openxmlformats.org/officeDocument/2006/relationships/hyperlink" Target="mailto:garima@treelife.in" TargetMode="External"/><Relationship Id="rId153" Type="http://schemas.openxmlformats.org/officeDocument/2006/relationships/hyperlink" Target="mailto:renukadudeja@gmail.com" TargetMode="External"/><Relationship Id="rId174" Type="http://schemas.openxmlformats.org/officeDocument/2006/relationships/hyperlink" Target="https://www.linkedin.com/in/swapnil-kshirsagar-organization-development/" TargetMode="External"/><Relationship Id="rId179" Type="http://schemas.openxmlformats.org/officeDocument/2006/relationships/hyperlink" Target="mailto:hemang@hpconsulting.co.in" TargetMode="External"/><Relationship Id="rId15" Type="http://schemas.openxmlformats.org/officeDocument/2006/relationships/hyperlink" Target="https://www.linkedin.com/in/goyal-rahul" TargetMode="External"/><Relationship Id="rId36" Type="http://schemas.openxmlformats.org/officeDocument/2006/relationships/hyperlink" Target="mailto:caagarwalaashish@gmail.com" TargetMode="External"/><Relationship Id="rId57" Type="http://schemas.openxmlformats.org/officeDocument/2006/relationships/hyperlink" Target="https://www.linkedin.com/in/harshdeodhar/" TargetMode="External"/><Relationship Id="rId106" Type="http://schemas.openxmlformats.org/officeDocument/2006/relationships/hyperlink" Target="https://www.linkedin.com/in/pramodharith/" TargetMode="External"/><Relationship Id="rId127" Type="http://schemas.openxmlformats.org/officeDocument/2006/relationships/hyperlink" Target="https://www.linkedin.com/in/srinivas-yanamandra/" TargetMode="External"/><Relationship Id="rId10" Type="http://schemas.openxmlformats.org/officeDocument/2006/relationships/hyperlink" Target="https://www.linkedin.com/in/vinodchacko/" TargetMode="External"/><Relationship Id="rId31" Type="http://schemas.openxmlformats.org/officeDocument/2006/relationships/hyperlink" Target="mailto:mahima@unicornincubator.net" TargetMode="External"/><Relationship Id="rId52" Type="http://schemas.openxmlformats.org/officeDocument/2006/relationships/hyperlink" Target="mailto:bansalg56@yahoo.com" TargetMode="External"/><Relationship Id="rId73" Type="http://schemas.openxmlformats.org/officeDocument/2006/relationships/hyperlink" Target="https://www.linkedin.com/in/family-business/details/experience/" TargetMode="External"/><Relationship Id="rId78" Type="http://schemas.openxmlformats.org/officeDocument/2006/relationships/hyperlink" Target="https://www.linkedin.com/in/suniltelkar/" TargetMode="External"/><Relationship Id="rId94" Type="http://schemas.openxmlformats.org/officeDocument/2006/relationships/hyperlink" Target="https://www.linkedin.com/in/sneh-soni-/" TargetMode="External"/><Relationship Id="rId99" Type="http://schemas.openxmlformats.org/officeDocument/2006/relationships/hyperlink" Target="https://www.linkedin.com/in/jignesh1409/" TargetMode="External"/><Relationship Id="rId101" Type="http://schemas.openxmlformats.org/officeDocument/2006/relationships/hyperlink" Target="https://www.linkedin.com/in/muthukumarvemban/" TargetMode="External"/><Relationship Id="rId122" Type="http://schemas.openxmlformats.org/officeDocument/2006/relationships/hyperlink" Target="https://www.linkedin.com/in/krishnadorai/" TargetMode="External"/><Relationship Id="rId143" Type="http://schemas.openxmlformats.org/officeDocument/2006/relationships/hyperlink" Target="https://www.linkedin.com/in/sunil-srivastava-55a4a62" TargetMode="External"/><Relationship Id="rId148" Type="http://schemas.openxmlformats.org/officeDocument/2006/relationships/hyperlink" Target="https://www.linkedin.com/in/hari-shahi/" TargetMode="External"/><Relationship Id="rId164" Type="http://schemas.openxmlformats.org/officeDocument/2006/relationships/hyperlink" Target="https://www.linkedin.com/in/umesh-pandya-1596b05/" TargetMode="External"/><Relationship Id="rId169" Type="http://schemas.openxmlformats.org/officeDocument/2006/relationships/hyperlink" Target="mailto:tarachand.dhoundiyal@gmail.com" TargetMode="External"/><Relationship Id="rId185" Type="http://schemas.microsoft.com/office/2019/04/relationships/namedSheetView" Target="../namedSheetViews/namedSheetView1.xml"/><Relationship Id="rId4" Type="http://schemas.openxmlformats.org/officeDocument/2006/relationships/hyperlink" Target="https://www.linkedin.com/in/drnandeesh-hiremath-789a5045/" TargetMode="External"/><Relationship Id="rId9" Type="http://schemas.openxmlformats.org/officeDocument/2006/relationships/hyperlink" Target="mailto:goswami_sum@yahoo.com" TargetMode="External"/><Relationship Id="rId180" Type="http://schemas.openxmlformats.org/officeDocument/2006/relationships/hyperlink" Target="mailto:ctckohli@outlook.com" TargetMode="External"/><Relationship Id="rId26" Type="http://schemas.openxmlformats.org/officeDocument/2006/relationships/hyperlink" Target="https://www.linkedin.com/in/vinaygoyal/" TargetMode="External"/><Relationship Id="rId47" Type="http://schemas.openxmlformats.org/officeDocument/2006/relationships/hyperlink" Target="https://www.linkedin.com/in/raghavendrab/" TargetMode="External"/><Relationship Id="rId68" Type="http://schemas.openxmlformats.org/officeDocument/2006/relationships/hyperlink" Target="https://www.linkedin.com/in/vibhu-dixit/" TargetMode="External"/><Relationship Id="rId89" Type="http://schemas.openxmlformats.org/officeDocument/2006/relationships/hyperlink" Target="mailto:DrKanishkaSalwan@gmail.com" TargetMode="External"/><Relationship Id="rId112" Type="http://schemas.openxmlformats.org/officeDocument/2006/relationships/hyperlink" Target="https://www.linkedin.com/in/ajayrungta/" TargetMode="External"/><Relationship Id="rId133" Type="http://schemas.openxmlformats.org/officeDocument/2006/relationships/hyperlink" Target="https://vidwan.inflibnet.ac.in/profile/499809" TargetMode="External"/><Relationship Id="rId154" Type="http://schemas.openxmlformats.org/officeDocument/2006/relationships/hyperlink" Target="mailto:gunjan@copylove.in" TargetMode="External"/><Relationship Id="rId175" Type="http://schemas.openxmlformats.org/officeDocument/2006/relationships/hyperlink" Target="mailto:Swapnil@vindaan.com" TargetMode="External"/><Relationship Id="rId16" Type="http://schemas.openxmlformats.org/officeDocument/2006/relationships/hyperlink" Target="https://www.linkedin.com/in/mohit-monga/" TargetMode="External"/><Relationship Id="rId37" Type="http://schemas.openxmlformats.org/officeDocument/2006/relationships/hyperlink" Target="mailto:shailenfoodtech@gmail.com" TargetMode="External"/><Relationship Id="rId58" Type="http://schemas.openxmlformats.org/officeDocument/2006/relationships/hyperlink" Target="https://www.linkedin.com/in/devanshlakhani-financial-services/" TargetMode="External"/><Relationship Id="rId79" Type="http://schemas.openxmlformats.org/officeDocument/2006/relationships/hyperlink" Target="mailto:sunil@aspiro.in" TargetMode="External"/><Relationship Id="rId102" Type="http://schemas.openxmlformats.org/officeDocument/2006/relationships/hyperlink" Target="https://www.linkedin.com/in/nirmallyaroychowdhury/" TargetMode="External"/><Relationship Id="rId123" Type="http://schemas.openxmlformats.org/officeDocument/2006/relationships/hyperlink" Target="https://www.linkedin.com/in/abhayjaju/" TargetMode="External"/><Relationship Id="rId144" Type="http://schemas.openxmlformats.org/officeDocument/2006/relationships/hyperlink" Target="https://www.linkedin.com/in/tinmathur/" TargetMode="External"/><Relationship Id="rId90" Type="http://schemas.openxmlformats.org/officeDocument/2006/relationships/hyperlink" Target="https://www.linkedin.com/in/ajitkumarsingh76/" TargetMode="External"/><Relationship Id="rId165" Type="http://schemas.openxmlformats.org/officeDocument/2006/relationships/hyperlink" Target="mailto:umesh_pandya@rediffmail.com" TargetMode="External"/><Relationship Id="rId27" Type="http://schemas.openxmlformats.org/officeDocument/2006/relationships/hyperlink" Target="mailto:vinay.goyal@instavans.com" TargetMode="External"/><Relationship Id="rId48" Type="http://schemas.openxmlformats.org/officeDocument/2006/relationships/hyperlink" Target="https://www.linkedin.com/in/chananakanchan/" TargetMode="External"/><Relationship Id="rId69" Type="http://schemas.openxmlformats.org/officeDocument/2006/relationships/hyperlink" Target="mailto:satinder11bajwa@gmail.com" TargetMode="External"/><Relationship Id="rId113" Type="http://schemas.openxmlformats.org/officeDocument/2006/relationships/hyperlink" Target="https://www.linkedin.com/in/gokulrajgk?utm_source=share&amp;utm_campaign=share_via&amp;utm_content=profile&amp;utm_medium=android_app" TargetMode="External"/><Relationship Id="rId134" Type="http://schemas.openxmlformats.org/officeDocument/2006/relationships/hyperlink" Target="https://www.linkedin.com/in/sundaramurthy-t-k-72a10382/" TargetMode="External"/><Relationship Id="rId80" Type="http://schemas.openxmlformats.org/officeDocument/2006/relationships/hyperlink" Target="https://www.linkedin.com/in/anandmbharadwaj" TargetMode="External"/><Relationship Id="rId155" Type="http://schemas.openxmlformats.org/officeDocument/2006/relationships/hyperlink" Target="mailto:manoj@bridgelabz.com" TargetMode="External"/><Relationship Id="rId176" Type="http://schemas.openxmlformats.org/officeDocument/2006/relationships/hyperlink" Target="https://www.linkedin.com/in/yuvaraju-atmakuri-3b1b2614/" TargetMode="External"/><Relationship Id="rId17" Type="http://schemas.openxmlformats.org/officeDocument/2006/relationships/hyperlink" Target="mailto:siddhartha@ProductManagementmarketing.co.in" TargetMode="External"/><Relationship Id="rId38" Type="http://schemas.openxmlformats.org/officeDocument/2006/relationships/hyperlink" Target="https://linkedin.com/in/mukulag" TargetMode="External"/><Relationship Id="rId59" Type="http://schemas.openxmlformats.org/officeDocument/2006/relationships/hyperlink" Target="https://www.linkedin.com/in/tarun-goel-9279031a" TargetMode="External"/><Relationship Id="rId103" Type="http://schemas.openxmlformats.org/officeDocument/2006/relationships/hyperlink" Target="https://www.linkedin.com/in/pradeepgidwani/" TargetMode="External"/><Relationship Id="rId124" Type="http://schemas.openxmlformats.org/officeDocument/2006/relationships/hyperlink" Target="https://www.linkedin.com/in/gopal-kalra-3a301794" TargetMode="External"/><Relationship Id="rId70" Type="http://schemas.openxmlformats.org/officeDocument/2006/relationships/hyperlink" Target="https://www.linkedin.com/in/satinder-singh-bajwa-387b0126/" TargetMode="External"/><Relationship Id="rId91" Type="http://schemas.openxmlformats.org/officeDocument/2006/relationships/hyperlink" Target="mailto:ajit@ilogibot.com" TargetMode="External"/><Relationship Id="rId145" Type="http://schemas.openxmlformats.org/officeDocument/2006/relationships/hyperlink" Target="https://www.linkedin.com/in/sandeepohri/" TargetMode="External"/><Relationship Id="rId166" Type="http://schemas.openxmlformats.org/officeDocument/2006/relationships/hyperlink" Target="https://www.linkedin.com/in/rashmin-p-0697192a/" TargetMode="External"/><Relationship Id="rId1" Type="http://schemas.openxmlformats.org/officeDocument/2006/relationships/hyperlink" Target="mailto:online.manu@gmail.com" TargetMode="External"/><Relationship Id="rId28" Type="http://schemas.openxmlformats.org/officeDocument/2006/relationships/hyperlink" Target="http://linkedin.com/in/manik-koul/" TargetMode="External"/><Relationship Id="rId49" Type="http://schemas.openxmlformats.org/officeDocument/2006/relationships/hyperlink" Target="mailto:kanchan.chanana@gmail.com" TargetMode="External"/><Relationship Id="rId114" Type="http://schemas.openxmlformats.org/officeDocument/2006/relationships/hyperlink" Target="https://www.linkedin.com/in/jgandla/" TargetMode="External"/><Relationship Id="rId60" Type="http://schemas.openxmlformats.org/officeDocument/2006/relationships/hyperlink" Target="https://www.linkedin.com/in/tarun-kumar-ecommerce-marketer/" TargetMode="External"/><Relationship Id="rId81" Type="http://schemas.openxmlformats.org/officeDocument/2006/relationships/hyperlink" Target="https://www.linkedin.com/in/mohammad-haseeb-4482039/" TargetMode="External"/><Relationship Id="rId135" Type="http://schemas.openxmlformats.org/officeDocument/2006/relationships/hyperlink" Target="https://www.linkedin.com/in/anirudh-chakrabarty-962175a/?original_referer=https%3A%2F%2Fwww%2Egoogle%2Ecom%2F&amp;originalSubdomain=in" TargetMode="External"/><Relationship Id="rId156" Type="http://schemas.openxmlformats.org/officeDocument/2006/relationships/hyperlink" Target="mailto:mahesh.shankar@cfobridge.com" TargetMode="External"/><Relationship Id="rId177" Type="http://schemas.openxmlformats.org/officeDocument/2006/relationships/hyperlink" Target="mailto:yuvaraj256@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3A443-03D6-407F-8D60-783E0D1B21ED}">
  <dimension ref="A1:AN688"/>
  <sheetViews>
    <sheetView tabSelected="1" workbookViewId="0">
      <pane xSplit="5" ySplit="1" topLeftCell="G2" activePane="bottomRight" state="frozen"/>
      <selection pane="topRight" activeCell="F1" sqref="F1"/>
      <selection pane="bottomLeft" activeCell="A2" sqref="A2"/>
      <selection pane="bottomRight" activeCell="D12" sqref="D12"/>
    </sheetView>
  </sheetViews>
  <sheetFormatPr defaultRowHeight="19.2" customHeight="1" x14ac:dyDescent="0.3"/>
  <cols>
    <col min="1" max="1" width="21.5546875" customWidth="1"/>
    <col min="2" max="2" width="20.6640625" customWidth="1"/>
    <col min="3" max="3" width="23.33203125" customWidth="1"/>
    <col min="4" max="4" width="36.5546875" bestFit="1" customWidth="1"/>
    <col min="5" max="5" width="30.6640625" customWidth="1"/>
    <col min="6" max="6" width="16.88671875" customWidth="1"/>
    <col min="7" max="7" width="18.88671875" customWidth="1"/>
    <col min="8" max="8" width="19.6640625" customWidth="1"/>
    <col min="9" max="9" width="10.33203125" customWidth="1"/>
    <col min="10" max="10" width="16.5546875" customWidth="1"/>
    <col min="11" max="11" width="33.33203125" customWidth="1"/>
    <col min="12" max="12" width="13.6640625" style="17" customWidth="1"/>
    <col min="13" max="13" width="13.6640625" customWidth="1"/>
    <col min="14" max="15" width="15.44140625" customWidth="1"/>
    <col min="16" max="16" width="37.5546875" customWidth="1"/>
    <col min="17" max="17" width="14.44140625" customWidth="1"/>
    <col min="18" max="18" width="18.88671875" customWidth="1"/>
    <col min="19" max="19" width="20" customWidth="1"/>
    <col min="20" max="21" width="36.5546875" customWidth="1"/>
    <col min="22" max="22" width="48.88671875" customWidth="1"/>
    <col min="23" max="23" width="36.5546875" bestFit="1" customWidth="1"/>
    <col min="24" max="25" width="36.5546875" customWidth="1"/>
    <col min="26" max="26" width="26.6640625" customWidth="1"/>
    <col min="27" max="27" width="18.33203125" customWidth="1"/>
    <col min="28" max="28" width="24.33203125" customWidth="1"/>
    <col min="29" max="29" width="26.6640625" customWidth="1"/>
    <col min="34" max="34" width="44.88671875" customWidth="1"/>
    <col min="36" max="36" width="31.109375" bestFit="1" customWidth="1"/>
    <col min="37" max="37" width="23.6640625" customWidth="1"/>
    <col min="38" max="38" width="29.88671875" customWidth="1"/>
    <col min="39" max="39" width="25.6640625" customWidth="1"/>
    <col min="40" max="40" width="11.5546875" customWidth="1"/>
    <col min="41" max="41" width="17.33203125" customWidth="1"/>
    <col min="42" max="42" width="10.109375" customWidth="1"/>
  </cols>
  <sheetData>
    <row r="1" spans="1:40" ht="29.4" customHeight="1" x14ac:dyDescent="0.3">
      <c r="A1" s="1" t="s">
        <v>1</v>
      </c>
      <c r="B1" s="1" t="s">
        <v>3</v>
      </c>
      <c r="C1" s="1" t="s">
        <v>5</v>
      </c>
      <c r="D1" s="1" t="s">
        <v>7</v>
      </c>
      <c r="E1" s="1" t="s">
        <v>9</v>
      </c>
      <c r="F1" s="1" t="s">
        <v>11</v>
      </c>
      <c r="G1" s="1" t="s">
        <v>12</v>
      </c>
      <c r="H1" s="1" t="s">
        <v>13</v>
      </c>
      <c r="I1" s="1" t="s">
        <v>14</v>
      </c>
      <c r="J1" s="1" t="s">
        <v>15</v>
      </c>
      <c r="K1" s="1" t="s">
        <v>16</v>
      </c>
      <c r="L1" s="16" t="s">
        <v>17</v>
      </c>
      <c r="M1" s="1" t="s">
        <v>38</v>
      </c>
      <c r="N1" s="2" t="s">
        <v>18</v>
      </c>
      <c r="O1" s="8" t="s">
        <v>19</v>
      </c>
      <c r="P1" s="2" t="s">
        <v>20</v>
      </c>
      <c r="Q1" t="s">
        <v>21</v>
      </c>
      <c r="R1" t="s">
        <v>22</v>
      </c>
      <c r="S1" t="s">
        <v>23</v>
      </c>
      <c r="T1" s="3" t="s">
        <v>24</v>
      </c>
      <c r="U1" s="3" t="s">
        <v>25</v>
      </c>
      <c r="V1" s="3" t="s">
        <v>26</v>
      </c>
      <c r="W1" s="3" t="s">
        <v>27</v>
      </c>
      <c r="X1" s="3" t="s">
        <v>37</v>
      </c>
      <c r="Y1" s="3" t="s">
        <v>39</v>
      </c>
      <c r="Z1" t="s">
        <v>28</v>
      </c>
      <c r="AA1" t="s">
        <v>40</v>
      </c>
      <c r="AB1" s="4" t="s">
        <v>41</v>
      </c>
      <c r="AC1" t="s">
        <v>42</v>
      </c>
      <c r="AD1" t="s">
        <v>29</v>
      </c>
      <c r="AE1" t="s">
        <v>30</v>
      </c>
      <c r="AF1" t="s">
        <v>31</v>
      </c>
      <c r="AG1" t="s">
        <v>32</v>
      </c>
      <c r="AH1" t="s">
        <v>33</v>
      </c>
      <c r="AI1" t="s">
        <v>34</v>
      </c>
      <c r="AJ1" t="s">
        <v>43</v>
      </c>
      <c r="AK1" t="s">
        <v>35</v>
      </c>
      <c r="AL1" t="s">
        <v>36</v>
      </c>
      <c r="AM1" t="s">
        <v>44</v>
      </c>
      <c r="AN1" t="s">
        <v>45</v>
      </c>
    </row>
    <row r="2" spans="1:40" ht="19.2" customHeight="1" x14ac:dyDescent="0.3">
      <c r="A2" t="s">
        <v>46</v>
      </c>
      <c r="B2" t="s">
        <v>47</v>
      </c>
      <c r="C2" t="s">
        <v>48</v>
      </c>
      <c r="D2" t="s">
        <v>49</v>
      </c>
      <c r="E2" s="7" t="s">
        <v>50</v>
      </c>
      <c r="F2">
        <v>2006</v>
      </c>
      <c r="G2">
        <f>IF(OR(Mentors[[#This Row],[Career Start Year]]="NA",ISBLANK(Mentors[[#This Row],[Career Start Year]])),"",2026 - Mentors[[#This Row],[Career Start Year]])</f>
        <v>20</v>
      </c>
      <c r="H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 t="s">
        <v>51</v>
      </c>
      <c r="J2" t="s">
        <v>52</v>
      </c>
      <c r="K2" t="s">
        <v>53</v>
      </c>
      <c r="L2" s="17">
        <v>9881900896</v>
      </c>
      <c r="M2" s="19">
        <v>45658</v>
      </c>
      <c r="N2" t="s">
        <v>2</v>
      </c>
      <c r="O2" t="s">
        <v>0</v>
      </c>
      <c r="Q2" t="s">
        <v>54</v>
      </c>
      <c r="R2" t="s">
        <v>54</v>
      </c>
      <c r="S2" t="s">
        <v>54</v>
      </c>
      <c r="T2" t="s">
        <v>55</v>
      </c>
      <c r="U2" t="s">
        <v>56</v>
      </c>
      <c r="V2" t="s">
        <v>57</v>
      </c>
      <c r="W2" s="4" t="s">
        <v>58</v>
      </c>
      <c r="X2" s="4" t="s">
        <v>59</v>
      </c>
      <c r="Y2" s="4" t="s">
        <v>60</v>
      </c>
      <c r="Z2" t="s">
        <v>61</v>
      </c>
      <c r="AA2" t="s">
        <v>62</v>
      </c>
      <c r="AB2">
        <v>1</v>
      </c>
      <c r="AD2" t="s">
        <v>63</v>
      </c>
      <c r="AE2" t="s">
        <v>54</v>
      </c>
      <c r="AF2" t="s">
        <v>64</v>
      </c>
      <c r="AG2" t="s">
        <v>54</v>
      </c>
      <c r="AH2" t="s">
        <v>65</v>
      </c>
      <c r="AI2" t="s">
        <v>66</v>
      </c>
      <c r="AJ2" t="s">
        <v>54</v>
      </c>
      <c r="AK2" t="s">
        <v>67</v>
      </c>
      <c r="AL2" t="s">
        <v>68</v>
      </c>
      <c r="AN2" s="19">
        <f>IF(ISBLANK(Mentors[[#This Row],[Onboarded Date]]),"",Mentors[[#This Row],[Onboarded Date]]-WEEKDAY(Mentors[[#This Row],[Onboarded Date]],2)+1)</f>
        <v>45656</v>
      </c>
    </row>
    <row r="3" spans="1:40" ht="19.2" customHeight="1" x14ac:dyDescent="0.3">
      <c r="A3" t="s">
        <v>69</v>
      </c>
      <c r="B3" t="s">
        <v>70</v>
      </c>
      <c r="C3" t="s">
        <v>71</v>
      </c>
      <c r="D3" t="s">
        <v>72</v>
      </c>
      <c r="E3" t="s">
        <v>73</v>
      </c>
      <c r="F3">
        <v>2002</v>
      </c>
      <c r="G3">
        <f>IF(OR(Mentors[[#This Row],[Career Start Year]]="NA",ISBLANK(Mentors[[#This Row],[Career Start Year]])),"",2026 - Mentors[[#This Row],[Career Start Year]])</f>
        <v>24</v>
      </c>
      <c r="H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 t="s">
        <v>51</v>
      </c>
      <c r="J3" t="s">
        <v>74</v>
      </c>
      <c r="K3" s="7" t="s">
        <v>75</v>
      </c>
      <c r="L3" s="17">
        <v>9871133726</v>
      </c>
      <c r="M3" s="19">
        <v>45658</v>
      </c>
      <c r="O3" t="s">
        <v>0</v>
      </c>
      <c r="Q3" t="s">
        <v>54</v>
      </c>
      <c r="R3" t="s">
        <v>54</v>
      </c>
      <c r="S3" t="s">
        <v>54</v>
      </c>
      <c r="T3" t="s">
        <v>76</v>
      </c>
      <c r="U3" t="s">
        <v>77</v>
      </c>
      <c r="V3" t="s">
        <v>78</v>
      </c>
      <c r="W3" t="s">
        <v>79</v>
      </c>
      <c r="X3" t="s">
        <v>80</v>
      </c>
      <c r="Z3" t="s">
        <v>81</v>
      </c>
      <c r="AA3" t="s">
        <v>62</v>
      </c>
      <c r="AB3">
        <v>1</v>
      </c>
      <c r="AD3" t="s">
        <v>63</v>
      </c>
      <c r="AE3" t="s">
        <v>54</v>
      </c>
      <c r="AF3" t="s">
        <v>64</v>
      </c>
      <c r="AG3" t="s">
        <v>54</v>
      </c>
      <c r="AH3" t="s">
        <v>65</v>
      </c>
      <c r="AI3" t="s">
        <v>76</v>
      </c>
      <c r="AJ3" t="s">
        <v>54</v>
      </c>
      <c r="AK3" t="s">
        <v>82</v>
      </c>
      <c r="AL3" t="s">
        <v>83</v>
      </c>
      <c r="AN3" s="19">
        <f>IF(ISBLANK(Mentors[[#This Row],[Onboarded Date]]),"",Mentors[[#This Row],[Onboarded Date]]-WEEKDAY(Mentors[[#This Row],[Onboarded Date]],2)+1)</f>
        <v>45656</v>
      </c>
    </row>
    <row r="4" spans="1:40" ht="19.2" customHeight="1" x14ac:dyDescent="0.3">
      <c r="A4" t="s">
        <v>84</v>
      </c>
      <c r="B4" t="s">
        <v>85</v>
      </c>
      <c r="D4" t="s">
        <v>86</v>
      </c>
      <c r="E4" t="s">
        <v>87</v>
      </c>
      <c r="F4">
        <v>2014</v>
      </c>
      <c r="G4">
        <f>IF(OR(Mentors[[#This Row],[Career Start Year]]="NA",ISBLANK(Mentors[[#This Row],[Career Start Year]])),"",2026 - Mentors[[#This Row],[Career Start Year]])</f>
        <v>12</v>
      </c>
      <c r="H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 t="s">
        <v>51</v>
      </c>
      <c r="J4" t="s">
        <v>88</v>
      </c>
      <c r="K4" t="s">
        <v>89</v>
      </c>
      <c r="L4" s="17">
        <v>9505604477</v>
      </c>
      <c r="M4" s="19">
        <v>45658</v>
      </c>
      <c r="O4" t="s">
        <v>0</v>
      </c>
      <c r="Q4" t="s">
        <v>54</v>
      </c>
      <c r="R4" t="s">
        <v>54</v>
      </c>
      <c r="S4" t="s">
        <v>63</v>
      </c>
      <c r="T4" s="4" t="s">
        <v>90</v>
      </c>
      <c r="U4" t="s">
        <v>79</v>
      </c>
      <c r="V4" t="s">
        <v>57</v>
      </c>
      <c r="W4" t="s">
        <v>79</v>
      </c>
      <c r="Z4" t="s">
        <v>61</v>
      </c>
      <c r="AA4" t="s">
        <v>62</v>
      </c>
      <c r="AB4">
        <v>1</v>
      </c>
      <c r="AD4" t="s">
        <v>54</v>
      </c>
      <c r="AE4" t="s">
        <v>63</v>
      </c>
      <c r="AG4" t="s">
        <v>54</v>
      </c>
      <c r="AH4" t="s">
        <v>65</v>
      </c>
      <c r="AI4" t="s">
        <v>66</v>
      </c>
      <c r="AJ4" t="s">
        <v>54</v>
      </c>
      <c r="AK4" t="s">
        <v>91</v>
      </c>
      <c r="AL4" t="s">
        <v>92</v>
      </c>
      <c r="AN4" s="19">
        <f>IF(ISBLANK(Mentors[[#This Row],[Onboarded Date]]),"",Mentors[[#This Row],[Onboarded Date]]-WEEKDAY(Mentors[[#This Row],[Onboarded Date]],2)+1)</f>
        <v>45656</v>
      </c>
    </row>
    <row r="5" spans="1:40" ht="19.2" customHeight="1" x14ac:dyDescent="0.3">
      <c r="A5" t="s">
        <v>93</v>
      </c>
      <c r="B5" t="s">
        <v>94</v>
      </c>
      <c r="C5" t="s">
        <v>95</v>
      </c>
      <c r="D5" s="4" t="s">
        <v>96</v>
      </c>
      <c r="E5" s="7" t="s">
        <v>97</v>
      </c>
      <c r="F5">
        <v>2020</v>
      </c>
      <c r="G5">
        <f>IF(OR(Mentors[[#This Row],[Career Start Year]]="NA",ISBLANK(Mentors[[#This Row],[Career Start Year]])),"",2026 - Mentors[[#This Row],[Career Start Year]])</f>
        <v>6</v>
      </c>
      <c r="H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5" t="s">
        <v>51</v>
      </c>
      <c r="J5" t="s">
        <v>74</v>
      </c>
      <c r="K5" t="s">
        <v>98</v>
      </c>
      <c r="L5" s="17">
        <v>8920761017</v>
      </c>
      <c r="M5" s="19">
        <v>45658</v>
      </c>
      <c r="O5" t="s">
        <v>0</v>
      </c>
      <c r="Q5" t="s">
        <v>63</v>
      </c>
      <c r="R5" t="s">
        <v>63</v>
      </c>
      <c r="S5" t="s">
        <v>63</v>
      </c>
      <c r="T5" t="s">
        <v>99</v>
      </c>
      <c r="U5" t="s">
        <v>100</v>
      </c>
      <c r="V5" t="s">
        <v>78</v>
      </c>
      <c r="W5" t="s">
        <v>79</v>
      </c>
      <c r="Z5" t="s">
        <v>101</v>
      </c>
      <c r="AA5" t="s">
        <v>62</v>
      </c>
      <c r="AB5">
        <v>1</v>
      </c>
      <c r="AD5" t="s">
        <v>54</v>
      </c>
      <c r="AE5" t="s">
        <v>63</v>
      </c>
      <c r="AF5" t="s">
        <v>64</v>
      </c>
      <c r="AG5" t="s">
        <v>54</v>
      </c>
      <c r="AH5" t="s">
        <v>94</v>
      </c>
      <c r="AI5" t="s">
        <v>66</v>
      </c>
      <c r="AJ5" t="s">
        <v>54</v>
      </c>
      <c r="AK5" t="s">
        <v>102</v>
      </c>
      <c r="AL5" t="s">
        <v>103</v>
      </c>
      <c r="AN5" s="19">
        <f>IF(ISBLANK(Mentors[[#This Row],[Onboarded Date]]),"",Mentors[[#This Row],[Onboarded Date]]-WEEKDAY(Mentors[[#This Row],[Onboarded Date]],2)+1)</f>
        <v>45656</v>
      </c>
    </row>
    <row r="6" spans="1:40" ht="19.2" customHeight="1" x14ac:dyDescent="0.3">
      <c r="A6" t="s">
        <v>104</v>
      </c>
      <c r="B6" t="s">
        <v>105</v>
      </c>
      <c r="C6" t="s">
        <v>106</v>
      </c>
      <c r="D6" t="s">
        <v>107</v>
      </c>
      <c r="E6" t="s">
        <v>108</v>
      </c>
      <c r="F6">
        <v>2007</v>
      </c>
      <c r="G6">
        <f>IF(OR(Mentors[[#This Row],[Career Start Year]]="NA",ISBLANK(Mentors[[#This Row],[Career Start Year]])),"",2026 - Mentors[[#This Row],[Career Start Year]])</f>
        <v>19</v>
      </c>
      <c r="H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 t="s">
        <v>51</v>
      </c>
      <c r="J6" t="s">
        <v>74</v>
      </c>
      <c r="K6" t="s">
        <v>109</v>
      </c>
      <c r="L6" s="17">
        <v>7620661732</v>
      </c>
      <c r="M6" s="19">
        <v>45658</v>
      </c>
      <c r="O6" t="s">
        <v>0</v>
      </c>
      <c r="Q6" t="s">
        <v>54</v>
      </c>
      <c r="R6" t="s">
        <v>54</v>
      </c>
      <c r="S6" t="s">
        <v>54</v>
      </c>
      <c r="T6" t="s">
        <v>110</v>
      </c>
      <c r="U6" t="s">
        <v>100</v>
      </c>
      <c r="V6" t="s">
        <v>78</v>
      </c>
      <c r="W6" t="s">
        <v>79</v>
      </c>
      <c r="X6" t="s">
        <v>59</v>
      </c>
      <c r="Z6" t="s">
        <v>61</v>
      </c>
      <c r="AA6" t="s">
        <v>62</v>
      </c>
      <c r="AB6">
        <v>1</v>
      </c>
      <c r="AD6" t="s">
        <v>63</v>
      </c>
      <c r="AE6" t="s">
        <v>54</v>
      </c>
      <c r="AF6" t="s">
        <v>64</v>
      </c>
      <c r="AG6" t="s">
        <v>54</v>
      </c>
      <c r="AH6" t="s">
        <v>65</v>
      </c>
      <c r="AI6" t="s">
        <v>66</v>
      </c>
      <c r="AJ6" t="s">
        <v>54</v>
      </c>
      <c r="AK6" t="s">
        <v>111</v>
      </c>
      <c r="AL6" t="s">
        <v>112</v>
      </c>
      <c r="AN6" s="19">
        <f>IF(ISBLANK(Mentors[[#This Row],[Onboarded Date]]),"",Mentors[[#This Row],[Onboarded Date]]-WEEKDAY(Mentors[[#This Row],[Onboarded Date]],2)+1)</f>
        <v>45656</v>
      </c>
    </row>
    <row r="7" spans="1:40" ht="19.2" customHeight="1" x14ac:dyDescent="0.3">
      <c r="A7" t="s">
        <v>113</v>
      </c>
      <c r="B7" t="s">
        <v>114</v>
      </c>
      <c r="C7" t="s">
        <v>115</v>
      </c>
      <c r="D7" t="s">
        <v>116</v>
      </c>
      <c r="E7" t="s">
        <v>117</v>
      </c>
      <c r="F7">
        <v>1985</v>
      </c>
      <c r="G7">
        <f>IF(OR(Mentors[[#This Row],[Career Start Year]]="NA",ISBLANK(Mentors[[#This Row],[Career Start Year]])),"",2026 - Mentors[[#This Row],[Career Start Year]])</f>
        <v>41</v>
      </c>
      <c r="H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7" t="s">
        <v>51</v>
      </c>
      <c r="J7" t="s">
        <v>118</v>
      </c>
      <c r="K7" t="s">
        <v>119</v>
      </c>
      <c r="L7" s="17">
        <v>9967049472</v>
      </c>
      <c r="M7" s="19">
        <v>45658</v>
      </c>
      <c r="O7" t="s">
        <v>0</v>
      </c>
      <c r="Q7" t="s">
        <v>54</v>
      </c>
      <c r="R7" t="s">
        <v>54</v>
      </c>
      <c r="S7" t="s">
        <v>63</v>
      </c>
      <c r="T7" t="s">
        <v>110</v>
      </c>
      <c r="U7" t="s">
        <v>100</v>
      </c>
      <c r="V7" t="s">
        <v>120</v>
      </c>
      <c r="W7" t="s">
        <v>79</v>
      </c>
      <c r="Z7" t="s">
        <v>61</v>
      </c>
      <c r="AA7" t="s">
        <v>62</v>
      </c>
      <c r="AB7">
        <v>1</v>
      </c>
      <c r="AD7" t="s">
        <v>63</v>
      </c>
      <c r="AE7" t="s">
        <v>54</v>
      </c>
      <c r="AF7" t="s">
        <v>121</v>
      </c>
      <c r="AG7" t="s">
        <v>54</v>
      </c>
      <c r="AH7" t="s">
        <v>65</v>
      </c>
      <c r="AI7" t="s">
        <v>122</v>
      </c>
      <c r="AJ7" t="s">
        <v>54</v>
      </c>
      <c r="AK7" t="s">
        <v>123</v>
      </c>
      <c r="AL7" t="s">
        <v>124</v>
      </c>
      <c r="AN7" s="19">
        <f>IF(ISBLANK(Mentors[[#This Row],[Onboarded Date]]),"",Mentors[[#This Row],[Onboarded Date]]-WEEKDAY(Mentors[[#This Row],[Onboarded Date]],2)+1)</f>
        <v>45656</v>
      </c>
    </row>
    <row r="8" spans="1:40" ht="19.2" customHeight="1" x14ac:dyDescent="0.3">
      <c r="A8" t="s">
        <v>125</v>
      </c>
      <c r="B8" t="s">
        <v>126</v>
      </c>
      <c r="C8" t="s">
        <v>127</v>
      </c>
      <c r="D8" t="s">
        <v>128</v>
      </c>
      <c r="E8" t="s">
        <v>129</v>
      </c>
      <c r="F8">
        <v>2014</v>
      </c>
      <c r="G8">
        <f>IF(OR(Mentors[[#This Row],[Career Start Year]]="NA",ISBLANK(Mentors[[#This Row],[Career Start Year]])),"",2026 - Mentors[[#This Row],[Career Start Year]])</f>
        <v>12</v>
      </c>
      <c r="H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8" t="s">
        <v>51</v>
      </c>
      <c r="J8" t="s">
        <v>118</v>
      </c>
      <c r="K8" t="s">
        <v>130</v>
      </c>
      <c r="L8" s="17">
        <v>9870284472</v>
      </c>
      <c r="M8" s="19">
        <v>45658</v>
      </c>
      <c r="O8" t="s">
        <v>0</v>
      </c>
      <c r="Q8" t="s">
        <v>54</v>
      </c>
      <c r="R8" t="s">
        <v>63</v>
      </c>
      <c r="S8" t="s">
        <v>54</v>
      </c>
      <c r="T8" t="s">
        <v>56</v>
      </c>
      <c r="U8" t="s">
        <v>100</v>
      </c>
      <c r="V8" t="s">
        <v>78</v>
      </c>
      <c r="W8" t="s">
        <v>79</v>
      </c>
      <c r="Z8" t="s">
        <v>101</v>
      </c>
      <c r="AA8" t="s">
        <v>62</v>
      </c>
      <c r="AB8">
        <v>1</v>
      </c>
      <c r="AD8" t="s">
        <v>54</v>
      </c>
      <c r="AE8" t="s">
        <v>54</v>
      </c>
      <c r="AF8" t="s">
        <v>64</v>
      </c>
      <c r="AG8" t="s">
        <v>54</v>
      </c>
      <c r="AH8" t="s">
        <v>131</v>
      </c>
      <c r="AI8" t="s">
        <v>132</v>
      </c>
      <c r="AJ8" t="s">
        <v>54</v>
      </c>
      <c r="AK8" t="s">
        <v>133</v>
      </c>
      <c r="AL8" t="s">
        <v>134</v>
      </c>
      <c r="AN8" s="19">
        <f>IF(ISBLANK(Mentors[[#This Row],[Onboarded Date]]),"",Mentors[[#This Row],[Onboarded Date]]-WEEKDAY(Mentors[[#This Row],[Onboarded Date]],2)+1)</f>
        <v>45656</v>
      </c>
    </row>
    <row r="9" spans="1:40" ht="19.2" customHeight="1" x14ac:dyDescent="0.3">
      <c r="A9" t="s">
        <v>135</v>
      </c>
      <c r="B9" t="s">
        <v>136</v>
      </c>
      <c r="C9" t="s">
        <v>137</v>
      </c>
      <c r="D9" t="s">
        <v>138</v>
      </c>
      <c r="E9" t="s">
        <v>139</v>
      </c>
      <c r="F9">
        <v>2009</v>
      </c>
      <c r="G9">
        <f>IF(OR(Mentors[[#This Row],[Career Start Year]]="NA",ISBLANK(Mentors[[#This Row],[Career Start Year]])),"",2026 - Mentors[[#This Row],[Career Start Year]])</f>
        <v>17</v>
      </c>
      <c r="H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9" t="s">
        <v>51</v>
      </c>
      <c r="J9" t="s">
        <v>140</v>
      </c>
      <c r="K9" t="s">
        <v>141</v>
      </c>
      <c r="L9" s="17">
        <v>8861054451</v>
      </c>
      <c r="M9" s="19">
        <v>45658</v>
      </c>
      <c r="O9" t="s">
        <v>0</v>
      </c>
      <c r="Q9" t="s">
        <v>54</v>
      </c>
      <c r="R9" t="s">
        <v>54</v>
      </c>
      <c r="S9" t="s">
        <v>54</v>
      </c>
      <c r="T9" t="s">
        <v>77</v>
      </c>
      <c r="U9" t="s">
        <v>100</v>
      </c>
      <c r="V9" t="s">
        <v>57</v>
      </c>
      <c r="W9" t="s">
        <v>79</v>
      </c>
      <c r="Z9" t="s">
        <v>61</v>
      </c>
      <c r="AA9" t="s">
        <v>62</v>
      </c>
      <c r="AB9">
        <v>1</v>
      </c>
      <c r="AD9" t="s">
        <v>54</v>
      </c>
      <c r="AE9" t="s">
        <v>54</v>
      </c>
      <c r="AF9" t="s">
        <v>64</v>
      </c>
      <c r="AG9" t="s">
        <v>54</v>
      </c>
      <c r="AH9" t="s">
        <v>131</v>
      </c>
      <c r="AI9" t="s">
        <v>66</v>
      </c>
      <c r="AJ9" t="s">
        <v>54</v>
      </c>
      <c r="AK9" t="s">
        <v>142</v>
      </c>
      <c r="AL9" t="s">
        <v>143</v>
      </c>
      <c r="AN9" s="19">
        <f>IF(ISBLANK(Mentors[[#This Row],[Onboarded Date]]),"",Mentors[[#This Row],[Onboarded Date]]-WEEKDAY(Mentors[[#This Row],[Onboarded Date]],2)+1)</f>
        <v>45656</v>
      </c>
    </row>
    <row r="10" spans="1:40" ht="19.2" customHeight="1" x14ac:dyDescent="0.3">
      <c r="A10" t="s">
        <v>144</v>
      </c>
      <c r="B10" t="s">
        <v>145</v>
      </c>
      <c r="C10" t="s">
        <v>115</v>
      </c>
      <c r="D10" t="s">
        <v>146</v>
      </c>
      <c r="E10" t="s">
        <v>147</v>
      </c>
      <c r="F10">
        <v>1995</v>
      </c>
      <c r="G10">
        <f>IF(OR(Mentors[[#This Row],[Career Start Year]]="NA",ISBLANK(Mentors[[#This Row],[Career Start Year]])),"",2026 - Mentors[[#This Row],[Career Start Year]])</f>
        <v>31</v>
      </c>
      <c r="H1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0" t="s">
        <v>51</v>
      </c>
      <c r="J10" t="s">
        <v>118</v>
      </c>
      <c r="K10" t="s">
        <v>148</v>
      </c>
      <c r="L10" s="17">
        <v>9702021111</v>
      </c>
      <c r="M10" s="19">
        <v>45658</v>
      </c>
      <c r="O10" t="s">
        <v>0</v>
      </c>
      <c r="Q10" t="s">
        <v>54</v>
      </c>
      <c r="R10" t="s">
        <v>54</v>
      </c>
      <c r="S10" t="s">
        <v>54</v>
      </c>
      <c r="T10" t="s">
        <v>77</v>
      </c>
      <c r="U10" t="s">
        <v>100</v>
      </c>
      <c r="V10" t="s">
        <v>57</v>
      </c>
      <c r="W10" t="s">
        <v>79</v>
      </c>
      <c r="Z10" t="s">
        <v>61</v>
      </c>
      <c r="AA10" t="s">
        <v>62</v>
      </c>
      <c r="AB10">
        <v>1</v>
      </c>
      <c r="AD10" t="s">
        <v>63</v>
      </c>
      <c r="AE10" t="s">
        <v>54</v>
      </c>
      <c r="AF10" t="s">
        <v>121</v>
      </c>
      <c r="AG10" t="s">
        <v>54</v>
      </c>
      <c r="AH10" t="s">
        <v>65</v>
      </c>
      <c r="AI10" t="s">
        <v>66</v>
      </c>
      <c r="AJ10" t="s">
        <v>54</v>
      </c>
      <c r="AK10" t="s">
        <v>149</v>
      </c>
      <c r="AL10" t="s">
        <v>150</v>
      </c>
      <c r="AN10" s="19">
        <f>IF(ISBLANK(Mentors[[#This Row],[Onboarded Date]]),"",Mentors[[#This Row],[Onboarded Date]]-WEEKDAY(Mentors[[#This Row],[Onboarded Date]],2)+1)</f>
        <v>45656</v>
      </c>
    </row>
    <row r="11" spans="1:40" ht="19.2" customHeight="1" x14ac:dyDescent="0.3">
      <c r="A11" t="s">
        <v>151</v>
      </c>
      <c r="B11" t="s">
        <v>152</v>
      </c>
      <c r="C11" t="s">
        <v>153</v>
      </c>
      <c r="D11" t="s">
        <v>154</v>
      </c>
      <c r="E11" t="s">
        <v>155</v>
      </c>
      <c r="F11">
        <v>1992</v>
      </c>
      <c r="G11">
        <f>IF(OR(Mentors[[#This Row],[Career Start Year]]="NA",ISBLANK(Mentors[[#This Row],[Career Start Year]])),"",2026 - Mentors[[#This Row],[Career Start Year]])</f>
        <v>34</v>
      </c>
      <c r="H1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1" t="s">
        <v>51</v>
      </c>
      <c r="J11" t="s">
        <v>52</v>
      </c>
      <c r="K11" s="7" t="s">
        <v>156</v>
      </c>
      <c r="L11" s="17">
        <v>9834144264</v>
      </c>
      <c r="M11" s="19">
        <v>45658</v>
      </c>
      <c r="N11" t="s">
        <v>2</v>
      </c>
      <c r="O11" t="s">
        <v>0</v>
      </c>
      <c r="Q11" t="s">
        <v>63</v>
      </c>
      <c r="R11" t="s">
        <v>63</v>
      </c>
      <c r="S11" t="s">
        <v>63</v>
      </c>
      <c r="T11" t="s">
        <v>55</v>
      </c>
      <c r="U11" t="s">
        <v>157</v>
      </c>
      <c r="V11" t="s">
        <v>120</v>
      </c>
      <c r="W11" t="s">
        <v>79</v>
      </c>
      <c r="X11" t="s">
        <v>59</v>
      </c>
      <c r="Z11" t="s">
        <v>61</v>
      </c>
      <c r="AA11" t="s">
        <v>62</v>
      </c>
      <c r="AB11">
        <v>1</v>
      </c>
      <c r="AD11" t="s">
        <v>63</v>
      </c>
      <c r="AE11" t="s">
        <v>63</v>
      </c>
      <c r="AG11" t="s">
        <v>54</v>
      </c>
      <c r="AH11" t="s">
        <v>152</v>
      </c>
      <c r="AI11" t="s">
        <v>66</v>
      </c>
      <c r="AJ11" t="s">
        <v>54</v>
      </c>
      <c r="AK11" t="s">
        <v>158</v>
      </c>
      <c r="AL11" t="s">
        <v>159</v>
      </c>
      <c r="AN11" s="19">
        <f>IF(ISBLANK(Mentors[[#This Row],[Onboarded Date]]),"",Mentors[[#This Row],[Onboarded Date]]-WEEKDAY(Mentors[[#This Row],[Onboarded Date]],2)+1)</f>
        <v>45656</v>
      </c>
    </row>
    <row r="12" spans="1:40" ht="19.2" customHeight="1" x14ac:dyDescent="0.3">
      <c r="A12" t="s">
        <v>160</v>
      </c>
      <c r="B12" t="s">
        <v>161</v>
      </c>
      <c r="C12" t="s">
        <v>162</v>
      </c>
      <c r="D12" t="s">
        <v>163</v>
      </c>
      <c r="E12" s="7" t="s">
        <v>164</v>
      </c>
      <c r="F12">
        <v>1993</v>
      </c>
      <c r="G12">
        <f>IF(OR(Mentors[[#This Row],[Career Start Year]]="NA",ISBLANK(Mentors[[#This Row],[Career Start Year]])),"",2026 - Mentors[[#This Row],[Career Start Year]])</f>
        <v>33</v>
      </c>
      <c r="H1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2" t="s">
        <v>51</v>
      </c>
      <c r="J12" t="s">
        <v>88</v>
      </c>
      <c r="K12" s="7" t="s">
        <v>165</v>
      </c>
      <c r="L12" s="17">
        <v>8291004431</v>
      </c>
      <c r="M12" s="19">
        <v>45658</v>
      </c>
      <c r="O12" t="s">
        <v>0</v>
      </c>
      <c r="Q12" t="s">
        <v>54</v>
      </c>
      <c r="R12" t="s">
        <v>54</v>
      </c>
      <c r="S12" t="s">
        <v>54</v>
      </c>
      <c r="T12" t="s">
        <v>166</v>
      </c>
      <c r="U12" s="4" t="s">
        <v>167</v>
      </c>
      <c r="V12" t="s">
        <v>168</v>
      </c>
      <c r="W12" t="s">
        <v>79</v>
      </c>
      <c r="X12" t="s">
        <v>59</v>
      </c>
      <c r="Z12" t="s">
        <v>169</v>
      </c>
      <c r="AA12" t="s">
        <v>170</v>
      </c>
      <c r="AB12">
        <v>1</v>
      </c>
      <c r="AD12" t="s">
        <v>54</v>
      </c>
      <c r="AE12" t="s">
        <v>54</v>
      </c>
      <c r="AF12" t="s">
        <v>64</v>
      </c>
      <c r="AG12" t="s">
        <v>54</v>
      </c>
      <c r="AH12" t="s">
        <v>65</v>
      </c>
      <c r="AI12" t="s">
        <v>66</v>
      </c>
      <c r="AJ12" t="s">
        <v>54</v>
      </c>
      <c r="AK12" t="s">
        <v>171</v>
      </c>
      <c r="AL12" t="s">
        <v>172</v>
      </c>
      <c r="AN12" s="19">
        <f>IF(ISBLANK(Mentors[[#This Row],[Onboarded Date]]),"",Mentors[[#This Row],[Onboarded Date]]-WEEKDAY(Mentors[[#This Row],[Onboarded Date]],2)+1)</f>
        <v>45656</v>
      </c>
    </row>
    <row r="13" spans="1:40" ht="19.2" customHeight="1" x14ac:dyDescent="0.3">
      <c r="A13" t="s">
        <v>173</v>
      </c>
      <c r="B13" t="s">
        <v>174</v>
      </c>
      <c r="C13" t="s">
        <v>175</v>
      </c>
      <c r="D13" t="s">
        <v>176</v>
      </c>
      <c r="E13" t="s">
        <v>177</v>
      </c>
      <c r="F13">
        <v>2005</v>
      </c>
      <c r="G13">
        <f>IF(OR(Mentors[[#This Row],[Career Start Year]]="NA",ISBLANK(Mentors[[#This Row],[Career Start Year]])),"",2026 - Mentors[[#This Row],[Career Start Year]])</f>
        <v>21</v>
      </c>
      <c r="H1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3" t="s">
        <v>51</v>
      </c>
      <c r="J13" t="s">
        <v>74</v>
      </c>
      <c r="K13" t="s">
        <v>178</v>
      </c>
      <c r="L13" s="17">
        <v>9910262721</v>
      </c>
      <c r="M13" s="19">
        <v>45658</v>
      </c>
      <c r="N13" t="s">
        <v>2</v>
      </c>
      <c r="O13" t="s">
        <v>0</v>
      </c>
      <c r="Q13" t="s">
        <v>54</v>
      </c>
      <c r="R13" t="s">
        <v>63</v>
      </c>
      <c r="S13" t="s">
        <v>54</v>
      </c>
      <c r="T13" t="s">
        <v>55</v>
      </c>
      <c r="U13" t="s">
        <v>77</v>
      </c>
      <c r="V13" t="s">
        <v>57</v>
      </c>
      <c r="W13" t="s">
        <v>79</v>
      </c>
      <c r="Z13" t="s">
        <v>61</v>
      </c>
      <c r="AA13" t="s">
        <v>62</v>
      </c>
      <c r="AB13">
        <v>1</v>
      </c>
      <c r="AD13" t="s">
        <v>63</v>
      </c>
      <c r="AE13" t="s">
        <v>54</v>
      </c>
      <c r="AF13" t="s">
        <v>64</v>
      </c>
      <c r="AG13" t="s">
        <v>54</v>
      </c>
      <c r="AH13" t="s">
        <v>131</v>
      </c>
      <c r="AI13" t="s">
        <v>66</v>
      </c>
      <c r="AJ13" t="s">
        <v>54</v>
      </c>
      <c r="AK13" t="s">
        <v>179</v>
      </c>
      <c r="AL13" t="s">
        <v>180</v>
      </c>
      <c r="AN13" s="19">
        <f>IF(ISBLANK(Mentors[[#This Row],[Onboarded Date]]),"",Mentors[[#This Row],[Onboarded Date]]-WEEKDAY(Mentors[[#This Row],[Onboarded Date]],2)+1)</f>
        <v>45656</v>
      </c>
    </row>
    <row r="14" spans="1:40" ht="19.2" customHeight="1" x14ac:dyDescent="0.3">
      <c r="A14" t="s">
        <v>181</v>
      </c>
      <c r="B14" t="s">
        <v>182</v>
      </c>
      <c r="C14" t="s">
        <v>183</v>
      </c>
      <c r="D14" t="s">
        <v>184</v>
      </c>
      <c r="E14" t="s">
        <v>185</v>
      </c>
      <c r="F14">
        <v>1995</v>
      </c>
      <c r="G14">
        <f>IF(OR(Mentors[[#This Row],[Career Start Year]]="NA",ISBLANK(Mentors[[#This Row],[Career Start Year]])),"",2026 - Mentors[[#This Row],[Career Start Year]])</f>
        <v>31</v>
      </c>
      <c r="H1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4" t="s">
        <v>51</v>
      </c>
      <c r="J14" t="s">
        <v>118</v>
      </c>
      <c r="K14" t="s">
        <v>186</v>
      </c>
      <c r="L14" s="17">
        <v>9513588622</v>
      </c>
      <c r="M14" s="19">
        <v>45658</v>
      </c>
      <c r="N14" t="s">
        <v>2</v>
      </c>
      <c r="O14" t="s">
        <v>0</v>
      </c>
      <c r="Q14" t="s">
        <v>63</v>
      </c>
      <c r="R14" t="s">
        <v>63</v>
      </c>
      <c r="S14" t="s">
        <v>63</v>
      </c>
      <c r="T14" t="s">
        <v>187</v>
      </c>
      <c r="U14" t="s">
        <v>55</v>
      </c>
      <c r="V14" s="4" t="s">
        <v>188</v>
      </c>
      <c r="W14" t="s">
        <v>79</v>
      </c>
      <c r="X14" t="s">
        <v>60</v>
      </c>
      <c r="Z14" t="s">
        <v>61</v>
      </c>
      <c r="AA14" t="s">
        <v>62</v>
      </c>
      <c r="AB14">
        <v>1</v>
      </c>
      <c r="AD14" t="s">
        <v>63</v>
      </c>
      <c r="AE14" t="s">
        <v>54</v>
      </c>
      <c r="AF14" t="s">
        <v>64</v>
      </c>
      <c r="AG14" t="s">
        <v>54</v>
      </c>
      <c r="AH14" t="s">
        <v>65</v>
      </c>
      <c r="AI14" t="s">
        <v>132</v>
      </c>
      <c r="AJ14" t="s">
        <v>54</v>
      </c>
      <c r="AK14" t="s">
        <v>189</v>
      </c>
      <c r="AL14" t="s">
        <v>190</v>
      </c>
      <c r="AN14" s="19">
        <f>IF(ISBLANK(Mentors[[#This Row],[Onboarded Date]]),"",Mentors[[#This Row],[Onboarded Date]]-WEEKDAY(Mentors[[#This Row],[Onboarded Date]],2)+1)</f>
        <v>45656</v>
      </c>
    </row>
    <row r="15" spans="1:40" ht="19.2" customHeight="1" x14ac:dyDescent="0.3">
      <c r="A15" t="s">
        <v>191</v>
      </c>
      <c r="B15" t="s">
        <v>192</v>
      </c>
      <c r="C15" t="s">
        <v>193</v>
      </c>
      <c r="D15" t="s">
        <v>194</v>
      </c>
      <c r="E15" t="s">
        <v>195</v>
      </c>
      <c r="F15">
        <v>2001</v>
      </c>
      <c r="G15">
        <f>IF(OR(Mentors[[#This Row],[Career Start Year]]="NA",ISBLANK(Mentors[[#This Row],[Career Start Year]])),"",2026 - Mentors[[#This Row],[Career Start Year]])</f>
        <v>25</v>
      </c>
      <c r="H1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5" t="s">
        <v>51</v>
      </c>
      <c r="J15" t="s">
        <v>196</v>
      </c>
      <c r="K15" t="s">
        <v>197</v>
      </c>
      <c r="L15" s="17">
        <v>9840478680</v>
      </c>
      <c r="M15" s="19">
        <v>45658</v>
      </c>
      <c r="N15" t="s">
        <v>2</v>
      </c>
      <c r="O15" t="s">
        <v>0</v>
      </c>
      <c r="Q15" t="s">
        <v>63</v>
      </c>
      <c r="R15" t="s">
        <v>63</v>
      </c>
      <c r="S15" t="s">
        <v>63</v>
      </c>
      <c r="T15" t="s">
        <v>55</v>
      </c>
      <c r="U15" t="s">
        <v>77</v>
      </c>
      <c r="V15" t="s">
        <v>198</v>
      </c>
      <c r="W15" s="4" t="s">
        <v>79</v>
      </c>
      <c r="X15" s="4"/>
      <c r="Y15" s="4"/>
      <c r="Z15" t="s">
        <v>81</v>
      </c>
      <c r="AA15" t="s">
        <v>62</v>
      </c>
      <c r="AB15">
        <v>1</v>
      </c>
      <c r="AD15" t="s">
        <v>54</v>
      </c>
      <c r="AE15" t="s">
        <v>54</v>
      </c>
      <c r="AF15" t="s">
        <v>64</v>
      </c>
      <c r="AG15" t="s">
        <v>54</v>
      </c>
      <c r="AH15" t="s">
        <v>152</v>
      </c>
      <c r="AI15" t="s">
        <v>66</v>
      </c>
      <c r="AJ15" t="s">
        <v>54</v>
      </c>
      <c r="AK15" t="s">
        <v>199</v>
      </c>
      <c r="AL15" t="s">
        <v>200</v>
      </c>
      <c r="AN15" s="19">
        <f>IF(ISBLANK(Mentors[[#This Row],[Onboarded Date]]),"",Mentors[[#This Row],[Onboarded Date]]-WEEKDAY(Mentors[[#This Row],[Onboarded Date]],2)+1)</f>
        <v>45656</v>
      </c>
    </row>
    <row r="16" spans="1:40" ht="19.2" customHeight="1" x14ac:dyDescent="0.3">
      <c r="A16" t="s">
        <v>201</v>
      </c>
      <c r="B16" t="s">
        <v>202</v>
      </c>
      <c r="C16" t="s">
        <v>115</v>
      </c>
      <c r="D16" s="4" t="s">
        <v>203</v>
      </c>
      <c r="E16" s="7" t="s">
        <v>204</v>
      </c>
      <c r="F16">
        <v>1997</v>
      </c>
      <c r="G16">
        <f>IF(OR(Mentors[[#This Row],[Career Start Year]]="NA",ISBLANK(Mentors[[#This Row],[Career Start Year]])),"",2026 - Mentors[[#This Row],[Career Start Year]])</f>
        <v>29</v>
      </c>
      <c r="H1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6" t="s">
        <v>51</v>
      </c>
      <c r="J16" t="s">
        <v>74</v>
      </c>
      <c r="K16" t="s">
        <v>205</v>
      </c>
      <c r="L16" s="17">
        <v>9654959960</v>
      </c>
      <c r="M16" s="19">
        <v>45658</v>
      </c>
      <c r="O16" t="s">
        <v>0</v>
      </c>
      <c r="Q16" t="s">
        <v>54</v>
      </c>
      <c r="R16" t="s">
        <v>54</v>
      </c>
      <c r="S16" t="s">
        <v>54</v>
      </c>
      <c r="T16" t="s">
        <v>166</v>
      </c>
      <c r="U16" t="s">
        <v>65</v>
      </c>
      <c r="V16" t="s">
        <v>78</v>
      </c>
      <c r="W16" t="s">
        <v>79</v>
      </c>
      <c r="X16" t="s">
        <v>60</v>
      </c>
      <c r="Z16" t="s">
        <v>61</v>
      </c>
      <c r="AA16" t="s">
        <v>62</v>
      </c>
      <c r="AB16" s="20">
        <v>4</v>
      </c>
      <c r="AC16" s="9" t="s">
        <v>206</v>
      </c>
      <c r="AD16" t="s">
        <v>63</v>
      </c>
      <c r="AE16" t="s">
        <v>54</v>
      </c>
      <c r="AF16" t="s">
        <v>121</v>
      </c>
      <c r="AG16" t="s">
        <v>54</v>
      </c>
      <c r="AH16" t="s">
        <v>65</v>
      </c>
      <c r="AI16" t="s">
        <v>66</v>
      </c>
      <c r="AJ16" t="s">
        <v>54</v>
      </c>
      <c r="AK16" t="s">
        <v>207</v>
      </c>
      <c r="AL16" t="s">
        <v>208</v>
      </c>
      <c r="AN16" s="19">
        <f>IF(ISBLANK(Mentors[[#This Row],[Onboarded Date]]),"",Mentors[[#This Row],[Onboarded Date]]-WEEKDAY(Mentors[[#This Row],[Onboarded Date]],2)+1)</f>
        <v>45656</v>
      </c>
    </row>
    <row r="17" spans="1:40" ht="19.2" customHeight="1" x14ac:dyDescent="0.3">
      <c r="A17" t="s">
        <v>209</v>
      </c>
      <c r="B17" t="s">
        <v>210</v>
      </c>
      <c r="C17" t="s">
        <v>211</v>
      </c>
      <c r="D17" t="s">
        <v>212</v>
      </c>
      <c r="E17" t="s">
        <v>213</v>
      </c>
      <c r="F17">
        <v>1993</v>
      </c>
      <c r="G17">
        <f>IF(OR(Mentors[[#This Row],[Career Start Year]]="NA",ISBLANK(Mentors[[#This Row],[Career Start Year]])),"",2026 - Mentors[[#This Row],[Career Start Year]])</f>
        <v>33</v>
      </c>
      <c r="H1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7" t="s">
        <v>51</v>
      </c>
      <c r="J17" t="s">
        <v>196</v>
      </c>
      <c r="K17" s="7" t="s">
        <v>214</v>
      </c>
      <c r="L17" s="17">
        <v>9870218586</v>
      </c>
      <c r="M17" s="19">
        <v>45658</v>
      </c>
      <c r="O17" t="s">
        <v>0</v>
      </c>
      <c r="Q17" t="s">
        <v>54</v>
      </c>
      <c r="R17" t="s">
        <v>54</v>
      </c>
      <c r="S17" t="s">
        <v>54</v>
      </c>
      <c r="T17" t="s">
        <v>166</v>
      </c>
      <c r="U17" t="s">
        <v>56</v>
      </c>
      <c r="V17" t="s">
        <v>120</v>
      </c>
      <c r="W17" t="s">
        <v>79</v>
      </c>
      <c r="X17" t="s">
        <v>59</v>
      </c>
      <c r="Z17" t="s">
        <v>61</v>
      </c>
      <c r="AA17" t="s">
        <v>62</v>
      </c>
      <c r="AB17">
        <v>1</v>
      </c>
      <c r="AD17" t="s">
        <v>63</v>
      </c>
      <c r="AE17" t="s">
        <v>54</v>
      </c>
      <c r="AG17" t="s">
        <v>54</v>
      </c>
      <c r="AH17" t="s">
        <v>215</v>
      </c>
      <c r="AI17" t="s">
        <v>66</v>
      </c>
      <c r="AJ17" t="s">
        <v>54</v>
      </c>
      <c r="AK17" t="s">
        <v>216</v>
      </c>
      <c r="AL17" t="s">
        <v>217</v>
      </c>
      <c r="AN17" s="19">
        <f>IF(ISBLANK(Mentors[[#This Row],[Onboarded Date]]),"",Mentors[[#This Row],[Onboarded Date]]-WEEKDAY(Mentors[[#This Row],[Onboarded Date]],2)+1)</f>
        <v>45656</v>
      </c>
    </row>
    <row r="18" spans="1:40" ht="19.2" customHeight="1" x14ac:dyDescent="0.3">
      <c r="A18" t="s">
        <v>218</v>
      </c>
      <c r="B18" t="s">
        <v>219</v>
      </c>
      <c r="C18" t="s">
        <v>115</v>
      </c>
      <c r="D18" t="s">
        <v>220</v>
      </c>
      <c r="E18" t="s">
        <v>221</v>
      </c>
      <c r="F18">
        <v>1999</v>
      </c>
      <c r="G18">
        <f>IF(OR(Mentors[[#This Row],[Career Start Year]]="NA",ISBLANK(Mentors[[#This Row],[Career Start Year]])),"",2026 - Mentors[[#This Row],[Career Start Year]])</f>
        <v>27</v>
      </c>
      <c r="H1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8" t="s">
        <v>51</v>
      </c>
      <c r="J18" t="s">
        <v>52</v>
      </c>
      <c r="K18" t="s">
        <v>222</v>
      </c>
      <c r="L18" s="17">
        <v>8459141116</v>
      </c>
      <c r="M18" s="19">
        <v>45658</v>
      </c>
      <c r="N18" t="s">
        <v>2</v>
      </c>
      <c r="O18" t="s">
        <v>0</v>
      </c>
      <c r="Q18" t="s">
        <v>54</v>
      </c>
      <c r="R18" t="s">
        <v>54</v>
      </c>
      <c r="S18" t="s">
        <v>54</v>
      </c>
      <c r="T18" t="s">
        <v>55</v>
      </c>
      <c r="U18" t="s">
        <v>65</v>
      </c>
      <c r="V18" t="s">
        <v>57</v>
      </c>
      <c r="W18" t="s">
        <v>79</v>
      </c>
      <c r="X18" t="s">
        <v>60</v>
      </c>
      <c r="Z18" t="s">
        <v>101</v>
      </c>
      <c r="AA18" t="s">
        <v>62</v>
      </c>
      <c r="AB18">
        <v>1</v>
      </c>
      <c r="AD18" t="s">
        <v>54</v>
      </c>
      <c r="AE18" t="s">
        <v>54</v>
      </c>
      <c r="AF18" t="s">
        <v>121</v>
      </c>
      <c r="AG18" t="s">
        <v>54</v>
      </c>
      <c r="AH18" t="s">
        <v>65</v>
      </c>
      <c r="AI18" t="s">
        <v>66</v>
      </c>
      <c r="AJ18" t="s">
        <v>54</v>
      </c>
      <c r="AK18" t="s">
        <v>223</v>
      </c>
      <c r="AL18" t="s">
        <v>224</v>
      </c>
      <c r="AN18" s="19">
        <f>IF(ISBLANK(Mentors[[#This Row],[Onboarded Date]]),"",Mentors[[#This Row],[Onboarded Date]]-WEEKDAY(Mentors[[#This Row],[Onboarded Date]],2)+1)</f>
        <v>45656</v>
      </c>
    </row>
    <row r="19" spans="1:40" ht="19.2" customHeight="1" x14ac:dyDescent="0.3">
      <c r="A19" t="s">
        <v>225</v>
      </c>
      <c r="B19" t="s">
        <v>152</v>
      </c>
      <c r="C19" t="s">
        <v>226</v>
      </c>
      <c r="D19" t="s">
        <v>227</v>
      </c>
      <c r="E19" t="s">
        <v>228</v>
      </c>
      <c r="F19">
        <v>1998</v>
      </c>
      <c r="G19">
        <f>IF(OR(Mentors[[#This Row],[Career Start Year]]="NA",ISBLANK(Mentors[[#This Row],[Career Start Year]])),"",2026 - Mentors[[#This Row],[Career Start Year]])</f>
        <v>28</v>
      </c>
      <c r="H1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9" t="s">
        <v>51</v>
      </c>
      <c r="J19" t="s">
        <v>118</v>
      </c>
      <c r="K19" t="s">
        <v>229</v>
      </c>
      <c r="L19" s="17">
        <v>9867598520</v>
      </c>
      <c r="M19" s="19">
        <v>45658</v>
      </c>
      <c r="O19" t="s">
        <v>0</v>
      </c>
      <c r="Q19" t="s">
        <v>63</v>
      </c>
      <c r="R19" t="s">
        <v>63</v>
      </c>
      <c r="S19" t="s">
        <v>63</v>
      </c>
      <c r="T19" t="s">
        <v>166</v>
      </c>
      <c r="U19" t="s">
        <v>65</v>
      </c>
      <c r="V19" t="s">
        <v>57</v>
      </c>
      <c r="W19" t="s">
        <v>79</v>
      </c>
      <c r="X19" t="s">
        <v>60</v>
      </c>
      <c r="Y19" t="s">
        <v>230</v>
      </c>
      <c r="Z19" t="s">
        <v>61</v>
      </c>
      <c r="AA19" t="s">
        <v>62</v>
      </c>
      <c r="AB19">
        <v>1</v>
      </c>
      <c r="AD19" t="s">
        <v>63</v>
      </c>
      <c r="AE19" t="s">
        <v>63</v>
      </c>
      <c r="AF19" t="s">
        <v>64</v>
      </c>
      <c r="AG19" t="s">
        <v>54</v>
      </c>
      <c r="AH19" t="s">
        <v>152</v>
      </c>
      <c r="AI19" t="s">
        <v>66</v>
      </c>
      <c r="AJ19" t="s">
        <v>54</v>
      </c>
      <c r="AK19" t="s">
        <v>231</v>
      </c>
      <c r="AL19" t="s">
        <v>232</v>
      </c>
      <c r="AN19" s="19">
        <f>IF(ISBLANK(Mentors[[#This Row],[Onboarded Date]]),"",Mentors[[#This Row],[Onboarded Date]]-WEEKDAY(Mentors[[#This Row],[Onboarded Date]],2)+1)</f>
        <v>45656</v>
      </c>
    </row>
    <row r="20" spans="1:40" ht="19.2" customHeight="1" x14ac:dyDescent="0.3">
      <c r="A20" t="s">
        <v>233</v>
      </c>
      <c r="B20" t="s">
        <v>234</v>
      </c>
      <c r="C20" t="s">
        <v>235</v>
      </c>
      <c r="D20" t="s">
        <v>236</v>
      </c>
      <c r="E20" t="s">
        <v>237</v>
      </c>
      <c r="F20">
        <v>1995</v>
      </c>
      <c r="G20">
        <f>IF(OR(Mentors[[#This Row],[Career Start Year]]="NA",ISBLANK(Mentors[[#This Row],[Career Start Year]])),"",2026 - Mentors[[#This Row],[Career Start Year]])</f>
        <v>31</v>
      </c>
      <c r="H2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0" t="s">
        <v>51</v>
      </c>
      <c r="J20" t="s">
        <v>118</v>
      </c>
      <c r="K20" t="s">
        <v>238</v>
      </c>
      <c r="L20" s="17">
        <v>9819829448</v>
      </c>
      <c r="M20" s="19">
        <v>45658</v>
      </c>
      <c r="O20" t="s">
        <v>0</v>
      </c>
      <c r="Q20" t="s">
        <v>54</v>
      </c>
      <c r="R20" t="s">
        <v>63</v>
      </c>
      <c r="S20" t="s">
        <v>63</v>
      </c>
      <c r="T20" t="s">
        <v>166</v>
      </c>
      <c r="U20" t="s">
        <v>65</v>
      </c>
      <c r="V20" t="s">
        <v>57</v>
      </c>
      <c r="W20" t="s">
        <v>79</v>
      </c>
      <c r="X20" t="s">
        <v>60</v>
      </c>
      <c r="Z20" t="s">
        <v>101</v>
      </c>
      <c r="AA20" t="s">
        <v>62</v>
      </c>
      <c r="AB20">
        <v>1</v>
      </c>
      <c r="AD20" t="s">
        <v>63</v>
      </c>
      <c r="AE20" t="s">
        <v>63</v>
      </c>
      <c r="AF20" t="s">
        <v>64</v>
      </c>
      <c r="AG20" t="s">
        <v>54</v>
      </c>
      <c r="AH20" t="s">
        <v>152</v>
      </c>
      <c r="AI20" t="s">
        <v>66</v>
      </c>
      <c r="AJ20" t="s">
        <v>54</v>
      </c>
      <c r="AK20" t="s">
        <v>239</v>
      </c>
      <c r="AL20" t="s">
        <v>240</v>
      </c>
      <c r="AN20" s="19">
        <f>IF(ISBLANK(Mentors[[#This Row],[Onboarded Date]]),"",Mentors[[#This Row],[Onboarded Date]]-WEEKDAY(Mentors[[#This Row],[Onboarded Date]],2)+1)</f>
        <v>45656</v>
      </c>
    </row>
    <row r="21" spans="1:40" ht="19.2" customHeight="1" x14ac:dyDescent="0.3">
      <c r="A21" t="s">
        <v>241</v>
      </c>
      <c r="B21" t="s">
        <v>242</v>
      </c>
      <c r="C21" t="s">
        <v>243</v>
      </c>
      <c r="D21" t="s">
        <v>244</v>
      </c>
      <c r="E21" t="s">
        <v>245</v>
      </c>
      <c r="F21">
        <v>2013</v>
      </c>
      <c r="G21">
        <f>IF(OR(Mentors[[#This Row],[Career Start Year]]="NA",ISBLANK(Mentors[[#This Row],[Career Start Year]])),"",2026 - Mentors[[#This Row],[Career Start Year]])</f>
        <v>13</v>
      </c>
      <c r="H2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21" t="s">
        <v>51</v>
      </c>
      <c r="J21" t="s">
        <v>74</v>
      </c>
      <c r="K21" t="s">
        <v>246</v>
      </c>
      <c r="L21" s="17">
        <v>9439228354</v>
      </c>
      <c r="M21" s="19">
        <v>45658</v>
      </c>
      <c r="N21" t="s">
        <v>2</v>
      </c>
      <c r="O21" t="s">
        <v>0</v>
      </c>
      <c r="Q21" t="s">
        <v>54</v>
      </c>
      <c r="R21" t="s">
        <v>63</v>
      </c>
      <c r="S21" t="s">
        <v>63</v>
      </c>
      <c r="T21" s="11" t="s">
        <v>247</v>
      </c>
      <c r="U21" t="s">
        <v>55</v>
      </c>
      <c r="V21" t="s">
        <v>57</v>
      </c>
      <c r="W21" t="s">
        <v>79</v>
      </c>
      <c r="X21" t="s">
        <v>59</v>
      </c>
      <c r="Z21" t="s">
        <v>101</v>
      </c>
      <c r="AA21" t="s">
        <v>62</v>
      </c>
      <c r="AB21">
        <v>1</v>
      </c>
      <c r="AD21" t="s">
        <v>54</v>
      </c>
      <c r="AE21" t="s">
        <v>54</v>
      </c>
      <c r="AF21" t="s">
        <v>64</v>
      </c>
      <c r="AG21" t="s">
        <v>54</v>
      </c>
      <c r="AH21" t="s">
        <v>65</v>
      </c>
      <c r="AI21" t="s">
        <v>248</v>
      </c>
      <c r="AJ21" t="s">
        <v>54</v>
      </c>
      <c r="AK21" t="s">
        <v>249</v>
      </c>
      <c r="AL21" t="s">
        <v>250</v>
      </c>
      <c r="AN21" s="19">
        <f>IF(ISBLANK(Mentors[[#This Row],[Onboarded Date]]),"",Mentors[[#This Row],[Onboarded Date]]-WEEKDAY(Mentors[[#This Row],[Onboarded Date]],2)+1)</f>
        <v>45656</v>
      </c>
    </row>
    <row r="22" spans="1:40" ht="19.2" customHeight="1" x14ac:dyDescent="0.3">
      <c r="A22" t="s">
        <v>251</v>
      </c>
      <c r="B22" t="s">
        <v>94</v>
      </c>
      <c r="C22" t="s">
        <v>252</v>
      </c>
      <c r="D22" t="s">
        <v>253</v>
      </c>
      <c r="E22" s="7" t="s">
        <v>254</v>
      </c>
      <c r="F22">
        <v>1999</v>
      </c>
      <c r="G22">
        <f>IF(OR(Mentors[[#This Row],[Career Start Year]]="NA",ISBLANK(Mentors[[#This Row],[Career Start Year]])),"",2026 - Mentors[[#This Row],[Career Start Year]])</f>
        <v>27</v>
      </c>
      <c r="H2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2" t="s">
        <v>51</v>
      </c>
      <c r="J22" t="s">
        <v>118</v>
      </c>
      <c r="K22" t="s">
        <v>255</v>
      </c>
      <c r="L22" s="17">
        <v>9833027007</v>
      </c>
      <c r="M22" s="19">
        <v>45658</v>
      </c>
      <c r="O22" s="5" t="s">
        <v>0</v>
      </c>
      <c r="Q22" t="s">
        <v>54</v>
      </c>
      <c r="R22" t="s">
        <v>63</v>
      </c>
      <c r="S22" t="s">
        <v>54</v>
      </c>
      <c r="T22" t="s">
        <v>166</v>
      </c>
      <c r="U22" s="4" t="s">
        <v>167</v>
      </c>
      <c r="V22" s="4" t="s">
        <v>256</v>
      </c>
      <c r="W22" s="4" t="s">
        <v>79</v>
      </c>
      <c r="X22" s="4"/>
      <c r="Y22" s="4"/>
      <c r="Z22" t="s">
        <v>61</v>
      </c>
      <c r="AA22" t="s">
        <v>62</v>
      </c>
      <c r="AB22">
        <v>1</v>
      </c>
      <c r="AD22" t="s">
        <v>63</v>
      </c>
      <c r="AG22" t="s">
        <v>54</v>
      </c>
      <c r="AH22" t="s">
        <v>94</v>
      </c>
      <c r="AI22" t="s">
        <v>132</v>
      </c>
      <c r="AJ22" t="s">
        <v>54</v>
      </c>
      <c r="AK22" t="s">
        <v>257</v>
      </c>
      <c r="AL22" t="s">
        <v>258</v>
      </c>
      <c r="AN22" s="19">
        <f>IF(ISBLANK(Mentors[[#This Row],[Onboarded Date]]),"",Mentors[[#This Row],[Onboarded Date]]-WEEKDAY(Mentors[[#This Row],[Onboarded Date]],2)+1)</f>
        <v>45656</v>
      </c>
    </row>
    <row r="23" spans="1:40" ht="19.2" customHeight="1" x14ac:dyDescent="0.3">
      <c r="A23" t="s">
        <v>259</v>
      </c>
      <c r="B23" t="s">
        <v>260</v>
      </c>
      <c r="C23" t="s">
        <v>261</v>
      </c>
      <c r="D23" t="s">
        <v>262</v>
      </c>
      <c r="E23" t="s">
        <v>263</v>
      </c>
      <c r="F23">
        <v>2003</v>
      </c>
      <c r="G23">
        <f>IF(OR(Mentors[[#This Row],[Career Start Year]]="NA",ISBLANK(Mentors[[#This Row],[Career Start Year]])),"",2026 - Mentors[[#This Row],[Career Start Year]])</f>
        <v>23</v>
      </c>
      <c r="H2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3" t="s">
        <v>51</v>
      </c>
      <c r="J23" t="s">
        <v>196</v>
      </c>
      <c r="K23" t="s">
        <v>264</v>
      </c>
      <c r="L23" s="17">
        <v>9538313957</v>
      </c>
      <c r="M23" s="19">
        <v>45658</v>
      </c>
      <c r="O23" s="5" t="s">
        <v>0</v>
      </c>
      <c r="Q23" t="s">
        <v>54</v>
      </c>
      <c r="R23" t="s">
        <v>63</v>
      </c>
      <c r="S23" t="s">
        <v>63</v>
      </c>
      <c r="T23" t="s">
        <v>265</v>
      </c>
      <c r="U23" t="s">
        <v>110</v>
      </c>
      <c r="V23" t="s">
        <v>57</v>
      </c>
      <c r="W23" t="s">
        <v>79</v>
      </c>
      <c r="Z23" t="s">
        <v>61</v>
      </c>
      <c r="AA23" t="s">
        <v>62</v>
      </c>
      <c r="AB23">
        <v>1</v>
      </c>
      <c r="AD23" t="s">
        <v>54</v>
      </c>
      <c r="AE23" t="s">
        <v>54</v>
      </c>
      <c r="AF23" t="s">
        <v>64</v>
      </c>
      <c r="AG23" t="s">
        <v>54</v>
      </c>
      <c r="AH23" t="s">
        <v>152</v>
      </c>
      <c r="AI23" t="s">
        <v>122</v>
      </c>
      <c r="AJ23" t="s">
        <v>54</v>
      </c>
      <c r="AK23" t="s">
        <v>266</v>
      </c>
      <c r="AL23" t="s">
        <v>267</v>
      </c>
      <c r="AN23" s="19">
        <f>IF(ISBLANK(Mentors[[#This Row],[Onboarded Date]]),"",Mentors[[#This Row],[Onboarded Date]]-WEEKDAY(Mentors[[#This Row],[Onboarded Date]],2)+1)</f>
        <v>45656</v>
      </c>
    </row>
    <row r="24" spans="1:40" ht="19.2" customHeight="1" x14ac:dyDescent="0.3">
      <c r="A24" t="s">
        <v>268</v>
      </c>
      <c r="B24" t="s">
        <v>152</v>
      </c>
      <c r="C24" t="s">
        <v>269</v>
      </c>
      <c r="D24" t="s">
        <v>270</v>
      </c>
      <c r="E24" t="s">
        <v>271</v>
      </c>
      <c r="F24">
        <v>2015</v>
      </c>
      <c r="G24">
        <f>IF(OR(Mentors[[#This Row],[Career Start Year]]="NA",ISBLANK(Mentors[[#This Row],[Career Start Year]])),"",2026 - Mentors[[#This Row],[Career Start Year]])</f>
        <v>11</v>
      </c>
      <c r="H2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24" t="s">
        <v>51</v>
      </c>
      <c r="J24" t="s">
        <v>196</v>
      </c>
      <c r="K24" t="s">
        <v>272</v>
      </c>
      <c r="L24" s="17">
        <v>9902387736</v>
      </c>
      <c r="M24" s="19">
        <v>45658</v>
      </c>
      <c r="O24" s="5" t="s">
        <v>0</v>
      </c>
      <c r="Q24" t="s">
        <v>54</v>
      </c>
      <c r="R24" t="s">
        <v>63</v>
      </c>
      <c r="S24" t="s">
        <v>63</v>
      </c>
      <c r="T24" t="s">
        <v>110</v>
      </c>
      <c r="U24" t="s">
        <v>56</v>
      </c>
      <c r="V24" t="s">
        <v>78</v>
      </c>
      <c r="W24" s="4" t="s">
        <v>79</v>
      </c>
      <c r="X24" s="4"/>
      <c r="Y24" s="4"/>
      <c r="Z24" t="s">
        <v>81</v>
      </c>
      <c r="AA24" t="s">
        <v>62</v>
      </c>
      <c r="AB24">
        <v>1</v>
      </c>
      <c r="AD24" t="s">
        <v>54</v>
      </c>
      <c r="AE24" t="s">
        <v>63</v>
      </c>
      <c r="AF24" t="s">
        <v>64</v>
      </c>
      <c r="AG24" t="s">
        <v>54</v>
      </c>
      <c r="AH24" t="s">
        <v>152</v>
      </c>
      <c r="AI24" t="s">
        <v>122</v>
      </c>
      <c r="AJ24" t="s">
        <v>54</v>
      </c>
      <c r="AK24" t="s">
        <v>273</v>
      </c>
      <c r="AL24" t="s">
        <v>274</v>
      </c>
      <c r="AN24" s="19">
        <f>IF(ISBLANK(Mentors[[#This Row],[Onboarded Date]]),"",Mentors[[#This Row],[Onboarded Date]]-WEEKDAY(Mentors[[#This Row],[Onboarded Date]],2)+1)</f>
        <v>45656</v>
      </c>
    </row>
    <row r="25" spans="1:40" ht="19.2" customHeight="1" x14ac:dyDescent="0.3">
      <c r="A25" t="s">
        <v>275</v>
      </c>
      <c r="B25" t="s">
        <v>276</v>
      </c>
      <c r="C25" t="s">
        <v>277</v>
      </c>
      <c r="D25" t="s">
        <v>278</v>
      </c>
      <c r="E25" t="s">
        <v>279</v>
      </c>
      <c r="F25">
        <v>2007</v>
      </c>
      <c r="G25">
        <f>IF(OR(Mentors[[#This Row],[Career Start Year]]="NA",ISBLANK(Mentors[[#This Row],[Career Start Year]])),"",2026 - Mentors[[#This Row],[Career Start Year]])</f>
        <v>19</v>
      </c>
      <c r="H2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5" t="s">
        <v>51</v>
      </c>
      <c r="J25" t="s">
        <v>280</v>
      </c>
      <c r="K25" t="s">
        <v>281</v>
      </c>
      <c r="L25" s="17">
        <v>9825847083</v>
      </c>
      <c r="M25" s="19">
        <v>45658</v>
      </c>
      <c r="N25" t="s">
        <v>2</v>
      </c>
      <c r="O25" s="5" t="s">
        <v>0</v>
      </c>
      <c r="Q25" t="s">
        <v>54</v>
      </c>
      <c r="R25" t="s">
        <v>54</v>
      </c>
      <c r="S25" t="s">
        <v>54</v>
      </c>
      <c r="T25" t="s">
        <v>55</v>
      </c>
      <c r="U25" t="s">
        <v>77</v>
      </c>
      <c r="V25" t="s">
        <v>57</v>
      </c>
      <c r="W25" t="s">
        <v>282</v>
      </c>
      <c r="Z25" t="s">
        <v>101</v>
      </c>
      <c r="AA25" t="s">
        <v>62</v>
      </c>
      <c r="AB25">
        <v>1</v>
      </c>
      <c r="AD25" t="s">
        <v>54</v>
      </c>
      <c r="AE25" t="s">
        <v>54</v>
      </c>
      <c r="AF25" t="s">
        <v>64</v>
      </c>
      <c r="AG25" t="s">
        <v>54</v>
      </c>
      <c r="AH25" t="s">
        <v>65</v>
      </c>
      <c r="AI25" t="s">
        <v>66</v>
      </c>
      <c r="AJ25" t="s">
        <v>54</v>
      </c>
      <c r="AK25" t="s">
        <v>283</v>
      </c>
      <c r="AL25" t="s">
        <v>284</v>
      </c>
      <c r="AN25" s="19">
        <f>IF(ISBLANK(Mentors[[#This Row],[Onboarded Date]]),"",Mentors[[#This Row],[Onboarded Date]]-WEEKDAY(Mentors[[#This Row],[Onboarded Date]],2)+1)</f>
        <v>45656</v>
      </c>
    </row>
    <row r="26" spans="1:40" ht="19.2" customHeight="1" x14ac:dyDescent="0.3">
      <c r="A26" t="s">
        <v>285</v>
      </c>
      <c r="B26" t="s">
        <v>286</v>
      </c>
      <c r="C26" t="s">
        <v>85</v>
      </c>
      <c r="D26" t="s">
        <v>287</v>
      </c>
      <c r="E26" t="s">
        <v>288</v>
      </c>
      <c r="F26">
        <v>1993</v>
      </c>
      <c r="G26">
        <f>IF(OR(Mentors[[#This Row],[Career Start Year]]="NA",ISBLANK(Mentors[[#This Row],[Career Start Year]])),"",2026 - Mentors[[#This Row],[Career Start Year]])</f>
        <v>33</v>
      </c>
      <c r="H2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6" t="s">
        <v>51</v>
      </c>
      <c r="J26" t="s">
        <v>196</v>
      </c>
      <c r="K26" t="s">
        <v>289</v>
      </c>
      <c r="L26" s="17">
        <v>7618761212</v>
      </c>
      <c r="M26" s="19">
        <v>45658</v>
      </c>
      <c r="O26" s="5" t="s">
        <v>0</v>
      </c>
      <c r="Q26" t="s">
        <v>54</v>
      </c>
      <c r="R26" t="s">
        <v>63</v>
      </c>
      <c r="S26" t="s">
        <v>63</v>
      </c>
      <c r="T26" s="4" t="s">
        <v>90</v>
      </c>
      <c r="U26" t="s">
        <v>110</v>
      </c>
      <c r="V26" t="s">
        <v>78</v>
      </c>
      <c r="W26" t="s">
        <v>79</v>
      </c>
      <c r="Z26" t="s">
        <v>61</v>
      </c>
      <c r="AA26" t="s">
        <v>62</v>
      </c>
      <c r="AB26">
        <v>1</v>
      </c>
      <c r="AD26" t="s">
        <v>63</v>
      </c>
      <c r="AE26" t="s">
        <v>54</v>
      </c>
      <c r="AF26" t="s">
        <v>121</v>
      </c>
      <c r="AG26" t="s">
        <v>54</v>
      </c>
      <c r="AH26" t="s">
        <v>65</v>
      </c>
      <c r="AI26" t="s">
        <v>66</v>
      </c>
      <c r="AJ26" t="s">
        <v>54</v>
      </c>
      <c r="AK26" t="s">
        <v>290</v>
      </c>
      <c r="AL26" t="s">
        <v>291</v>
      </c>
      <c r="AN26" s="19">
        <f>IF(ISBLANK(Mentors[[#This Row],[Onboarded Date]]),"",Mentors[[#This Row],[Onboarded Date]]-WEEKDAY(Mentors[[#This Row],[Onboarded Date]],2)+1)</f>
        <v>45656</v>
      </c>
    </row>
    <row r="27" spans="1:40" ht="19.2" customHeight="1" x14ac:dyDescent="0.3">
      <c r="A27" t="s">
        <v>292</v>
      </c>
      <c r="B27" t="s">
        <v>293</v>
      </c>
      <c r="C27" t="s">
        <v>294</v>
      </c>
      <c r="D27" t="s">
        <v>295</v>
      </c>
      <c r="E27" s="7" t="s">
        <v>296</v>
      </c>
      <c r="F27">
        <v>1998</v>
      </c>
      <c r="G27">
        <f>IF(OR(Mentors[[#This Row],[Career Start Year]]="NA",ISBLANK(Mentors[[#This Row],[Career Start Year]])),"",2026 - Mentors[[#This Row],[Career Start Year]])</f>
        <v>28</v>
      </c>
      <c r="H2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7" t="s">
        <v>51</v>
      </c>
      <c r="J27" t="s">
        <v>297</v>
      </c>
      <c r="K27" t="s">
        <v>298</v>
      </c>
      <c r="L27" s="17">
        <v>9871291745</v>
      </c>
      <c r="M27" s="19">
        <v>45658</v>
      </c>
      <c r="O27" s="5" t="s">
        <v>0</v>
      </c>
      <c r="Q27" t="s">
        <v>54</v>
      </c>
      <c r="R27" t="s">
        <v>54</v>
      </c>
      <c r="S27" t="s">
        <v>54</v>
      </c>
      <c r="T27" s="4" t="s">
        <v>90</v>
      </c>
      <c r="U27" t="s">
        <v>77</v>
      </c>
      <c r="V27" t="s">
        <v>168</v>
      </c>
      <c r="W27" t="s">
        <v>58</v>
      </c>
      <c r="X27" t="s">
        <v>59</v>
      </c>
      <c r="Z27" t="s">
        <v>81</v>
      </c>
      <c r="AA27" t="s">
        <v>62</v>
      </c>
      <c r="AB27">
        <v>1</v>
      </c>
      <c r="AD27" t="s">
        <v>54</v>
      </c>
      <c r="AE27" t="s">
        <v>54</v>
      </c>
      <c r="AG27" t="s">
        <v>54</v>
      </c>
      <c r="AH27" t="s">
        <v>65</v>
      </c>
      <c r="AI27" t="s">
        <v>66</v>
      </c>
      <c r="AJ27" t="s">
        <v>54</v>
      </c>
      <c r="AK27" t="s">
        <v>299</v>
      </c>
      <c r="AL27" t="s">
        <v>300</v>
      </c>
      <c r="AN27" s="19">
        <f>IF(ISBLANK(Mentors[[#This Row],[Onboarded Date]]),"",Mentors[[#This Row],[Onboarded Date]]-WEEKDAY(Mentors[[#This Row],[Onboarded Date]],2)+1)</f>
        <v>45656</v>
      </c>
    </row>
    <row r="28" spans="1:40" ht="19.2" customHeight="1" x14ac:dyDescent="0.3">
      <c r="A28" t="s">
        <v>301</v>
      </c>
      <c r="B28" t="s">
        <v>152</v>
      </c>
      <c r="C28" t="s">
        <v>302</v>
      </c>
      <c r="D28" t="s">
        <v>303</v>
      </c>
      <c r="E28" t="s">
        <v>304</v>
      </c>
      <c r="F28">
        <v>1993</v>
      </c>
      <c r="G28">
        <f>IF(OR(Mentors[[#This Row],[Career Start Year]]="NA",ISBLANK(Mentors[[#This Row],[Career Start Year]])),"",2026 - Mentors[[#This Row],[Career Start Year]])</f>
        <v>33</v>
      </c>
      <c r="H2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8" t="s">
        <v>51</v>
      </c>
      <c r="J28" t="s">
        <v>280</v>
      </c>
      <c r="K28" t="s">
        <v>305</v>
      </c>
      <c r="L28" s="17">
        <v>9824004199</v>
      </c>
      <c r="M28" s="19">
        <v>45658</v>
      </c>
      <c r="N28" t="s">
        <v>2</v>
      </c>
      <c r="O28" s="5" t="s">
        <v>0</v>
      </c>
      <c r="Q28" t="s">
        <v>63</v>
      </c>
      <c r="R28" t="s">
        <v>63</v>
      </c>
      <c r="S28" t="s">
        <v>63</v>
      </c>
      <c r="T28" t="s">
        <v>55</v>
      </c>
      <c r="U28" t="s">
        <v>110</v>
      </c>
      <c r="V28" t="s">
        <v>306</v>
      </c>
      <c r="W28" t="s">
        <v>79</v>
      </c>
      <c r="Z28" t="s">
        <v>61</v>
      </c>
      <c r="AA28" t="s">
        <v>62</v>
      </c>
      <c r="AB28">
        <v>1</v>
      </c>
      <c r="AD28" t="s">
        <v>54</v>
      </c>
      <c r="AE28" t="s">
        <v>54</v>
      </c>
      <c r="AF28" t="s">
        <v>64</v>
      </c>
      <c r="AG28" t="s">
        <v>54</v>
      </c>
      <c r="AH28" t="s">
        <v>152</v>
      </c>
      <c r="AI28" t="s">
        <v>66</v>
      </c>
      <c r="AJ28" t="s">
        <v>54</v>
      </c>
      <c r="AK28" t="s">
        <v>307</v>
      </c>
      <c r="AL28" t="s">
        <v>308</v>
      </c>
      <c r="AN28" s="19">
        <f>IF(ISBLANK(Mentors[[#This Row],[Onboarded Date]]),"",Mentors[[#This Row],[Onboarded Date]]-WEEKDAY(Mentors[[#This Row],[Onboarded Date]],2)+1)</f>
        <v>45656</v>
      </c>
    </row>
    <row r="29" spans="1:40" ht="19.2" customHeight="1" x14ac:dyDescent="0.3">
      <c r="A29" t="s">
        <v>309</v>
      </c>
      <c r="B29" t="s">
        <v>310</v>
      </c>
      <c r="C29" t="s">
        <v>311</v>
      </c>
      <c r="D29" t="s">
        <v>312</v>
      </c>
      <c r="E29" t="s">
        <v>313</v>
      </c>
      <c r="F29">
        <v>2012</v>
      </c>
      <c r="G29">
        <f>IF(OR(Mentors[[#This Row],[Career Start Year]]="NA",ISBLANK(Mentors[[#This Row],[Career Start Year]])),"",2026 - Mentors[[#This Row],[Career Start Year]])</f>
        <v>14</v>
      </c>
      <c r="H2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29" t="s">
        <v>51</v>
      </c>
      <c r="J29" t="s">
        <v>314</v>
      </c>
      <c r="K29" t="s">
        <v>315</v>
      </c>
      <c r="L29" s="17">
        <v>9840896944</v>
      </c>
      <c r="M29" s="19">
        <v>45658</v>
      </c>
      <c r="N29" t="s">
        <v>2</v>
      </c>
      <c r="O29" s="5" t="s">
        <v>0</v>
      </c>
      <c r="Q29" t="s">
        <v>54</v>
      </c>
      <c r="R29" t="s">
        <v>63</v>
      </c>
      <c r="S29" t="s">
        <v>63</v>
      </c>
      <c r="T29" t="s">
        <v>55</v>
      </c>
      <c r="U29" t="s">
        <v>99</v>
      </c>
      <c r="V29" t="s">
        <v>57</v>
      </c>
      <c r="W29" t="s">
        <v>79</v>
      </c>
      <c r="X29" t="s">
        <v>59</v>
      </c>
      <c r="Z29" t="s">
        <v>61</v>
      </c>
      <c r="AA29" t="s">
        <v>62</v>
      </c>
      <c r="AB29">
        <v>1</v>
      </c>
      <c r="AD29" t="s">
        <v>54</v>
      </c>
      <c r="AE29" t="s">
        <v>54</v>
      </c>
      <c r="AF29" t="s">
        <v>64</v>
      </c>
      <c r="AG29" t="s">
        <v>54</v>
      </c>
      <c r="AH29" t="s">
        <v>65</v>
      </c>
      <c r="AI29" t="s">
        <v>66</v>
      </c>
      <c r="AJ29" t="s">
        <v>54</v>
      </c>
      <c r="AK29" t="s">
        <v>316</v>
      </c>
      <c r="AL29" t="s">
        <v>317</v>
      </c>
      <c r="AN29" s="19">
        <f>IF(ISBLANK(Mentors[[#This Row],[Onboarded Date]]),"",Mentors[[#This Row],[Onboarded Date]]-WEEKDAY(Mentors[[#This Row],[Onboarded Date]],2)+1)</f>
        <v>45656</v>
      </c>
    </row>
    <row r="30" spans="1:40" ht="19.2" customHeight="1" x14ac:dyDescent="0.3">
      <c r="A30" t="s">
        <v>318</v>
      </c>
      <c r="B30" t="s">
        <v>319</v>
      </c>
      <c r="C30" t="s">
        <v>320</v>
      </c>
      <c r="D30" t="s">
        <v>321</v>
      </c>
      <c r="E30" t="s">
        <v>322</v>
      </c>
      <c r="F30">
        <v>1997</v>
      </c>
      <c r="G30">
        <f>IF(OR(Mentors[[#This Row],[Career Start Year]]="NA",ISBLANK(Mentors[[#This Row],[Career Start Year]])),"",2026 - Mentors[[#This Row],[Career Start Year]])</f>
        <v>29</v>
      </c>
      <c r="H3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0" t="s">
        <v>51</v>
      </c>
      <c r="J30" t="s">
        <v>118</v>
      </c>
      <c r="K30" t="s">
        <v>323</v>
      </c>
      <c r="L30" s="17">
        <v>9320220234</v>
      </c>
      <c r="M30" s="19">
        <v>45658</v>
      </c>
      <c r="O30" s="5" t="s">
        <v>0</v>
      </c>
      <c r="Q30" t="s">
        <v>54</v>
      </c>
      <c r="R30" t="s">
        <v>63</v>
      </c>
      <c r="S30" t="s">
        <v>63</v>
      </c>
      <c r="T30" s="4" t="s">
        <v>90</v>
      </c>
      <c r="U30" t="s">
        <v>110</v>
      </c>
      <c r="V30" t="s">
        <v>78</v>
      </c>
      <c r="W30" t="s">
        <v>79</v>
      </c>
      <c r="Z30" t="s">
        <v>61</v>
      </c>
      <c r="AA30" t="s">
        <v>62</v>
      </c>
      <c r="AB30">
        <v>1</v>
      </c>
      <c r="AD30" t="s">
        <v>63</v>
      </c>
      <c r="AE30" t="s">
        <v>54</v>
      </c>
      <c r="AF30" t="s">
        <v>64</v>
      </c>
      <c r="AG30" t="s">
        <v>54</v>
      </c>
      <c r="AH30" t="s">
        <v>131</v>
      </c>
      <c r="AI30" t="s">
        <v>122</v>
      </c>
      <c r="AJ30" t="s">
        <v>54</v>
      </c>
      <c r="AK30" t="s">
        <v>324</v>
      </c>
      <c r="AL30" t="s">
        <v>325</v>
      </c>
      <c r="AN30" s="19">
        <f>IF(ISBLANK(Mentors[[#This Row],[Onboarded Date]]),"",Mentors[[#This Row],[Onboarded Date]]-WEEKDAY(Mentors[[#This Row],[Onboarded Date]],2)+1)</f>
        <v>45656</v>
      </c>
    </row>
    <row r="31" spans="1:40" ht="19.2" customHeight="1" x14ac:dyDescent="0.3">
      <c r="A31" t="s">
        <v>326</v>
      </c>
      <c r="B31" t="s">
        <v>152</v>
      </c>
      <c r="C31" t="s">
        <v>327</v>
      </c>
      <c r="D31" t="s">
        <v>328</v>
      </c>
      <c r="E31" t="s">
        <v>329</v>
      </c>
      <c r="F31">
        <v>2009</v>
      </c>
      <c r="G31">
        <f>IF(OR(Mentors[[#This Row],[Career Start Year]]="NA",ISBLANK(Mentors[[#This Row],[Career Start Year]])),"",2026 - Mentors[[#This Row],[Career Start Year]])</f>
        <v>17</v>
      </c>
      <c r="H3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1" t="s">
        <v>51</v>
      </c>
      <c r="J31" t="s">
        <v>118</v>
      </c>
      <c r="K31" t="s">
        <v>330</v>
      </c>
      <c r="L31" s="17">
        <v>9820765679</v>
      </c>
      <c r="M31" s="19">
        <v>45658</v>
      </c>
      <c r="O31" s="5" t="s">
        <v>0</v>
      </c>
      <c r="Q31" t="s">
        <v>63</v>
      </c>
      <c r="R31" t="s">
        <v>63</v>
      </c>
      <c r="S31" t="s">
        <v>63</v>
      </c>
      <c r="T31" t="s">
        <v>99</v>
      </c>
      <c r="U31" t="s">
        <v>100</v>
      </c>
      <c r="V31" t="s">
        <v>57</v>
      </c>
      <c r="W31" t="s">
        <v>79</v>
      </c>
      <c r="X31" t="s">
        <v>80</v>
      </c>
      <c r="Y31" t="s">
        <v>59</v>
      </c>
      <c r="Z31" t="s">
        <v>101</v>
      </c>
      <c r="AA31" t="s">
        <v>62</v>
      </c>
      <c r="AB31">
        <v>1</v>
      </c>
      <c r="AD31" t="s">
        <v>54</v>
      </c>
      <c r="AE31" t="s">
        <v>54</v>
      </c>
      <c r="AF31" t="s">
        <v>64</v>
      </c>
      <c r="AG31" t="s">
        <v>54</v>
      </c>
      <c r="AH31" t="s">
        <v>152</v>
      </c>
      <c r="AI31" t="s">
        <v>66</v>
      </c>
      <c r="AJ31" t="s">
        <v>54</v>
      </c>
      <c r="AK31" t="s">
        <v>331</v>
      </c>
      <c r="AL31" t="s">
        <v>332</v>
      </c>
      <c r="AN31" s="19">
        <f>IF(ISBLANK(Mentors[[#This Row],[Onboarded Date]]),"",Mentors[[#This Row],[Onboarded Date]]-WEEKDAY(Mentors[[#This Row],[Onboarded Date]],2)+1)</f>
        <v>45656</v>
      </c>
    </row>
    <row r="32" spans="1:40" ht="19.2" customHeight="1" x14ac:dyDescent="0.3">
      <c r="A32" t="s">
        <v>333</v>
      </c>
      <c r="B32" t="s">
        <v>85</v>
      </c>
      <c r="C32" t="s">
        <v>85</v>
      </c>
      <c r="D32" t="s">
        <v>334</v>
      </c>
      <c r="E32" t="s">
        <v>335</v>
      </c>
      <c r="F32">
        <v>2000</v>
      </c>
      <c r="G32">
        <f>IF(OR(Mentors[[#This Row],[Career Start Year]]="NA",ISBLANK(Mentors[[#This Row],[Career Start Year]])),"",2026 - Mentors[[#This Row],[Career Start Year]])</f>
        <v>26</v>
      </c>
      <c r="H3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2" t="s">
        <v>336</v>
      </c>
      <c r="J32" t="s">
        <v>337</v>
      </c>
      <c r="K32" t="s">
        <v>338</v>
      </c>
      <c r="L32" s="17">
        <v>358442449056</v>
      </c>
      <c r="M32" s="19">
        <v>45658</v>
      </c>
      <c r="N32" t="s">
        <v>2</v>
      </c>
      <c r="O32" t="s">
        <v>0</v>
      </c>
      <c r="Q32" t="s">
        <v>63</v>
      </c>
      <c r="R32" t="s">
        <v>63</v>
      </c>
      <c r="S32" t="s">
        <v>63</v>
      </c>
      <c r="T32" t="s">
        <v>55</v>
      </c>
      <c r="U32" t="s">
        <v>65</v>
      </c>
      <c r="V32" t="s">
        <v>57</v>
      </c>
      <c r="W32" t="s">
        <v>79</v>
      </c>
      <c r="X32" t="s">
        <v>230</v>
      </c>
      <c r="Z32" t="s">
        <v>81</v>
      </c>
      <c r="AA32" t="s">
        <v>62</v>
      </c>
      <c r="AB32">
        <v>1</v>
      </c>
      <c r="AD32" t="s">
        <v>54</v>
      </c>
      <c r="AE32" t="s">
        <v>54</v>
      </c>
      <c r="AF32" t="s">
        <v>121</v>
      </c>
      <c r="AG32" t="s">
        <v>54</v>
      </c>
      <c r="AH32" t="s">
        <v>65</v>
      </c>
      <c r="AI32" t="s">
        <v>66</v>
      </c>
      <c r="AJ32" t="s">
        <v>54</v>
      </c>
      <c r="AK32" t="s">
        <v>339</v>
      </c>
      <c r="AL32" t="s">
        <v>340</v>
      </c>
      <c r="AN32" s="19">
        <f>IF(ISBLANK(Mentors[[#This Row],[Onboarded Date]]),"",Mentors[[#This Row],[Onboarded Date]]-WEEKDAY(Mentors[[#This Row],[Onboarded Date]],2)+1)</f>
        <v>45656</v>
      </c>
    </row>
    <row r="33" spans="1:40" ht="19.2" customHeight="1" x14ac:dyDescent="0.3">
      <c r="A33" t="s">
        <v>341</v>
      </c>
      <c r="B33" t="s">
        <v>152</v>
      </c>
      <c r="C33" t="s">
        <v>342</v>
      </c>
      <c r="D33" t="s">
        <v>343</v>
      </c>
      <c r="E33" t="s">
        <v>344</v>
      </c>
      <c r="F33">
        <v>1987</v>
      </c>
      <c r="G33">
        <f>IF(OR(Mentors[[#This Row],[Career Start Year]]="NA",ISBLANK(Mentors[[#This Row],[Career Start Year]])),"",2026 - Mentors[[#This Row],[Career Start Year]])</f>
        <v>39</v>
      </c>
      <c r="H3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3" t="s">
        <v>51</v>
      </c>
      <c r="J33" t="s">
        <v>118</v>
      </c>
      <c r="K33" t="s">
        <v>345</v>
      </c>
      <c r="L33" s="17">
        <v>9920312717</v>
      </c>
      <c r="M33" s="19">
        <v>45658</v>
      </c>
      <c r="O33" t="s">
        <v>0</v>
      </c>
      <c r="Q33" t="s">
        <v>63</v>
      </c>
      <c r="R33" t="s">
        <v>63</v>
      </c>
      <c r="S33" t="s">
        <v>63</v>
      </c>
      <c r="T33" s="4" t="s">
        <v>90</v>
      </c>
      <c r="U33" t="s">
        <v>166</v>
      </c>
      <c r="V33" s="4" t="s">
        <v>256</v>
      </c>
      <c r="W33" t="s">
        <v>65</v>
      </c>
      <c r="Z33" t="s">
        <v>81</v>
      </c>
      <c r="AA33" t="s">
        <v>62</v>
      </c>
      <c r="AB33">
        <v>1</v>
      </c>
      <c r="AD33" t="s">
        <v>54</v>
      </c>
      <c r="AE33" t="s">
        <v>63</v>
      </c>
      <c r="AF33" t="s">
        <v>64</v>
      </c>
      <c r="AG33" t="s">
        <v>54</v>
      </c>
      <c r="AH33" t="s">
        <v>152</v>
      </c>
      <c r="AI33" t="s">
        <v>66</v>
      </c>
      <c r="AJ33" t="s">
        <v>54</v>
      </c>
      <c r="AK33" t="s">
        <v>346</v>
      </c>
      <c r="AL33" t="s">
        <v>347</v>
      </c>
      <c r="AN33" s="19">
        <f>IF(ISBLANK(Mentors[[#This Row],[Onboarded Date]]),"",Mentors[[#This Row],[Onboarded Date]]-WEEKDAY(Mentors[[#This Row],[Onboarded Date]],2)+1)</f>
        <v>45656</v>
      </c>
    </row>
    <row r="34" spans="1:40" ht="19.2" customHeight="1" x14ac:dyDescent="0.3">
      <c r="A34" t="s">
        <v>348</v>
      </c>
      <c r="B34" t="s">
        <v>349</v>
      </c>
      <c r="C34" t="s">
        <v>350</v>
      </c>
      <c r="D34" t="s">
        <v>351</v>
      </c>
      <c r="E34" t="s">
        <v>352</v>
      </c>
      <c r="F34">
        <v>1998</v>
      </c>
      <c r="G34">
        <f>IF(OR(Mentors[[#This Row],[Career Start Year]]="NA",ISBLANK(Mentors[[#This Row],[Career Start Year]])),"",2026 - Mentors[[#This Row],[Career Start Year]])</f>
        <v>28</v>
      </c>
      <c r="H3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4" t="s">
        <v>51</v>
      </c>
      <c r="J34" t="s">
        <v>196</v>
      </c>
      <c r="K34" t="s">
        <v>353</v>
      </c>
      <c r="L34" s="17">
        <v>9538222722</v>
      </c>
      <c r="M34" s="19">
        <v>45658</v>
      </c>
      <c r="N34" t="s">
        <v>2</v>
      </c>
      <c r="O34" t="s">
        <v>0</v>
      </c>
      <c r="P34" t="s">
        <v>354</v>
      </c>
      <c r="Q34" t="s">
        <v>54</v>
      </c>
      <c r="R34" t="s">
        <v>54</v>
      </c>
      <c r="S34" t="s">
        <v>54</v>
      </c>
      <c r="T34" t="s">
        <v>55</v>
      </c>
      <c r="U34" t="s">
        <v>79</v>
      </c>
      <c r="V34" t="s">
        <v>306</v>
      </c>
      <c r="W34" t="s">
        <v>79</v>
      </c>
      <c r="Z34" t="s">
        <v>101</v>
      </c>
      <c r="AA34" t="s">
        <v>62</v>
      </c>
      <c r="AB34">
        <v>1</v>
      </c>
      <c r="AD34" t="s">
        <v>54</v>
      </c>
      <c r="AE34" t="s">
        <v>54</v>
      </c>
      <c r="AF34" t="s">
        <v>121</v>
      </c>
      <c r="AG34" t="s">
        <v>54</v>
      </c>
      <c r="AH34" t="s">
        <v>65</v>
      </c>
      <c r="AI34" t="s">
        <v>66</v>
      </c>
      <c r="AJ34" t="s">
        <v>54</v>
      </c>
      <c r="AK34" t="s">
        <v>355</v>
      </c>
      <c r="AL34" t="s">
        <v>356</v>
      </c>
      <c r="AN34" s="19">
        <f>IF(ISBLANK(Mentors[[#This Row],[Onboarded Date]]),"",Mentors[[#This Row],[Onboarded Date]]-WEEKDAY(Mentors[[#This Row],[Onboarded Date]],2)+1)</f>
        <v>45656</v>
      </c>
    </row>
    <row r="35" spans="1:40" ht="19.2" customHeight="1" x14ac:dyDescent="0.3">
      <c r="A35" t="s">
        <v>357</v>
      </c>
      <c r="B35" t="s">
        <v>358</v>
      </c>
      <c r="C35" t="s">
        <v>359</v>
      </c>
      <c r="D35" t="s">
        <v>360</v>
      </c>
      <c r="E35" t="s">
        <v>361</v>
      </c>
      <c r="F35">
        <v>2001</v>
      </c>
      <c r="G35">
        <f>IF(OR(Mentors[[#This Row],[Career Start Year]]="NA",ISBLANK(Mentors[[#This Row],[Career Start Year]])),"",2026 - Mentors[[#This Row],[Career Start Year]])</f>
        <v>25</v>
      </c>
      <c r="H3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5" t="s">
        <v>51</v>
      </c>
      <c r="J35" t="s">
        <v>196</v>
      </c>
      <c r="K35" t="s">
        <v>362</v>
      </c>
      <c r="L35" s="17">
        <v>9944995719</v>
      </c>
      <c r="M35" s="19">
        <v>45658</v>
      </c>
      <c r="N35" t="s">
        <v>2</v>
      </c>
      <c r="O35" t="s">
        <v>0</v>
      </c>
      <c r="P35" t="s">
        <v>354</v>
      </c>
      <c r="Q35" t="s">
        <v>54</v>
      </c>
      <c r="R35" t="s">
        <v>54</v>
      </c>
      <c r="S35" t="s">
        <v>54</v>
      </c>
      <c r="T35" s="11" t="s">
        <v>247</v>
      </c>
      <c r="U35" t="s">
        <v>79</v>
      </c>
      <c r="V35" t="s">
        <v>306</v>
      </c>
      <c r="W35" t="s">
        <v>79</v>
      </c>
      <c r="X35" t="s">
        <v>80</v>
      </c>
      <c r="Z35" t="s">
        <v>61</v>
      </c>
      <c r="AA35" t="s">
        <v>62</v>
      </c>
      <c r="AB35">
        <v>1</v>
      </c>
      <c r="AD35" t="s">
        <v>54</v>
      </c>
      <c r="AE35" t="s">
        <v>54</v>
      </c>
      <c r="AF35" t="s">
        <v>64</v>
      </c>
      <c r="AG35" t="s">
        <v>54</v>
      </c>
      <c r="AH35" t="s">
        <v>131</v>
      </c>
      <c r="AI35" t="s">
        <v>248</v>
      </c>
      <c r="AJ35" t="s">
        <v>54</v>
      </c>
      <c r="AK35" t="s">
        <v>363</v>
      </c>
      <c r="AL35" t="s">
        <v>364</v>
      </c>
      <c r="AN35" s="19">
        <f>IF(ISBLANK(Mentors[[#This Row],[Onboarded Date]]),"",Mentors[[#This Row],[Onboarded Date]]-WEEKDAY(Mentors[[#This Row],[Onboarded Date]],2)+1)</f>
        <v>45656</v>
      </c>
    </row>
    <row r="36" spans="1:40" ht="19.2" customHeight="1" x14ac:dyDescent="0.3">
      <c r="A36" t="s">
        <v>365</v>
      </c>
      <c r="B36" t="s">
        <v>366</v>
      </c>
      <c r="C36" t="s">
        <v>367</v>
      </c>
      <c r="D36" t="s">
        <v>368</v>
      </c>
      <c r="E36" t="s">
        <v>369</v>
      </c>
      <c r="F36">
        <v>2000</v>
      </c>
      <c r="G36">
        <f>IF(OR(Mentors[[#This Row],[Career Start Year]]="NA",ISBLANK(Mentors[[#This Row],[Career Start Year]])),"",2026 - Mentors[[#This Row],[Career Start Year]])</f>
        <v>26</v>
      </c>
      <c r="H3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6" t="s">
        <v>51</v>
      </c>
      <c r="J36" t="s">
        <v>52</v>
      </c>
      <c r="K36" t="s">
        <v>370</v>
      </c>
      <c r="L36" s="17">
        <v>9503800802</v>
      </c>
      <c r="M36" s="19">
        <v>45658</v>
      </c>
      <c r="N36" t="s">
        <v>4</v>
      </c>
      <c r="O36" t="s">
        <v>0</v>
      </c>
      <c r="P36" s="4" t="s">
        <v>371</v>
      </c>
      <c r="Q36" t="s">
        <v>54</v>
      </c>
      <c r="R36" t="s">
        <v>63</v>
      </c>
      <c r="S36" t="s">
        <v>54</v>
      </c>
      <c r="T36" t="s">
        <v>166</v>
      </c>
      <c r="U36" s="4" t="s">
        <v>90</v>
      </c>
      <c r="V36" s="4" t="s">
        <v>306</v>
      </c>
      <c r="W36" t="s">
        <v>65</v>
      </c>
      <c r="Z36" t="s">
        <v>101</v>
      </c>
      <c r="AA36" t="s">
        <v>62</v>
      </c>
      <c r="AB36">
        <v>1</v>
      </c>
      <c r="AD36" t="s">
        <v>54</v>
      </c>
      <c r="AE36" t="s">
        <v>54</v>
      </c>
      <c r="AF36" t="s">
        <v>64</v>
      </c>
      <c r="AG36" t="s">
        <v>54</v>
      </c>
      <c r="AH36" t="s">
        <v>65</v>
      </c>
      <c r="AI36" t="s">
        <v>66</v>
      </c>
      <c r="AJ36" t="s">
        <v>54</v>
      </c>
      <c r="AK36" t="s">
        <v>372</v>
      </c>
      <c r="AL36" t="s">
        <v>373</v>
      </c>
      <c r="AN36" s="19">
        <f>IF(ISBLANK(Mentors[[#This Row],[Onboarded Date]]),"",Mentors[[#This Row],[Onboarded Date]]-WEEKDAY(Mentors[[#This Row],[Onboarded Date]],2)+1)</f>
        <v>45656</v>
      </c>
    </row>
    <row r="37" spans="1:40" ht="19.2" customHeight="1" x14ac:dyDescent="0.3">
      <c r="A37" t="s">
        <v>374</v>
      </c>
      <c r="B37" t="s">
        <v>375</v>
      </c>
      <c r="C37" t="s">
        <v>376</v>
      </c>
      <c r="D37" s="4" t="s">
        <v>377</v>
      </c>
      <c r="E37" s="7" t="s">
        <v>378</v>
      </c>
      <c r="F37">
        <v>1998</v>
      </c>
      <c r="G37">
        <f>IF(OR(Mentors[[#This Row],[Career Start Year]]="NA",ISBLANK(Mentors[[#This Row],[Career Start Year]])),"",2026 - Mentors[[#This Row],[Career Start Year]])</f>
        <v>28</v>
      </c>
      <c r="H3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7" t="s">
        <v>51</v>
      </c>
      <c r="J37" t="s">
        <v>196</v>
      </c>
      <c r="K37" s="7" t="s">
        <v>379</v>
      </c>
      <c r="L37" s="17">
        <v>9886639386</v>
      </c>
      <c r="M37" s="19">
        <v>45658</v>
      </c>
      <c r="N37" t="s">
        <v>4</v>
      </c>
      <c r="O37" t="s">
        <v>0</v>
      </c>
      <c r="P37" t="s">
        <v>380</v>
      </c>
      <c r="Q37" t="s">
        <v>63</v>
      </c>
      <c r="R37" t="s">
        <v>54</v>
      </c>
      <c r="S37" t="s">
        <v>54</v>
      </c>
      <c r="T37" t="s">
        <v>166</v>
      </c>
      <c r="U37" s="4" t="s">
        <v>381</v>
      </c>
      <c r="V37" t="s">
        <v>382</v>
      </c>
      <c r="W37" s="4" t="s">
        <v>58</v>
      </c>
      <c r="X37" s="4" t="s">
        <v>59</v>
      </c>
      <c r="Y37" s="4" t="s">
        <v>60</v>
      </c>
      <c r="Z37" t="s">
        <v>61</v>
      </c>
      <c r="AA37" t="s">
        <v>62</v>
      </c>
      <c r="AB37">
        <v>1</v>
      </c>
      <c r="AD37" t="s">
        <v>63</v>
      </c>
      <c r="AE37" t="s">
        <v>54</v>
      </c>
      <c r="AG37" t="s">
        <v>54</v>
      </c>
      <c r="AH37" t="s">
        <v>65</v>
      </c>
      <c r="AI37" t="s">
        <v>66</v>
      </c>
      <c r="AJ37" t="s">
        <v>54</v>
      </c>
      <c r="AK37" t="s">
        <v>383</v>
      </c>
      <c r="AL37" t="s">
        <v>384</v>
      </c>
      <c r="AN37" s="19">
        <f>IF(ISBLANK(Mentors[[#This Row],[Onboarded Date]]),"",Mentors[[#This Row],[Onboarded Date]]-WEEKDAY(Mentors[[#This Row],[Onboarded Date]],2)+1)</f>
        <v>45656</v>
      </c>
    </row>
    <row r="38" spans="1:40" ht="19.2" customHeight="1" x14ac:dyDescent="0.3">
      <c r="A38" t="s">
        <v>385</v>
      </c>
      <c r="B38" t="s">
        <v>152</v>
      </c>
      <c r="C38" t="s">
        <v>386</v>
      </c>
      <c r="D38" t="s">
        <v>387</v>
      </c>
      <c r="E38" s="7" t="s">
        <v>388</v>
      </c>
      <c r="F38">
        <v>2009</v>
      </c>
      <c r="G38">
        <f>IF(OR(Mentors[[#This Row],[Career Start Year]]="NA",ISBLANK(Mentors[[#This Row],[Career Start Year]])),"",2026 - Mentors[[#This Row],[Career Start Year]])</f>
        <v>17</v>
      </c>
      <c r="H3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8" t="s">
        <v>51</v>
      </c>
      <c r="J38" t="s">
        <v>389</v>
      </c>
      <c r="K38" t="s">
        <v>390</v>
      </c>
      <c r="L38" s="17">
        <v>9760239685</v>
      </c>
      <c r="M38" s="19">
        <v>45658</v>
      </c>
      <c r="N38" t="s">
        <v>2</v>
      </c>
      <c r="O38" t="s">
        <v>0</v>
      </c>
      <c r="P38" t="s">
        <v>391</v>
      </c>
      <c r="Q38" t="s">
        <v>54</v>
      </c>
      <c r="R38" t="s">
        <v>63</v>
      </c>
      <c r="S38" t="s">
        <v>63</v>
      </c>
      <c r="T38" t="s">
        <v>55</v>
      </c>
      <c r="U38" t="s">
        <v>79</v>
      </c>
      <c r="V38" t="s">
        <v>392</v>
      </c>
      <c r="W38" t="s">
        <v>79</v>
      </c>
      <c r="X38" t="s">
        <v>80</v>
      </c>
      <c r="Z38" t="s">
        <v>101</v>
      </c>
      <c r="AA38" t="s">
        <v>62</v>
      </c>
      <c r="AB38">
        <v>1</v>
      </c>
      <c r="AD38" t="s">
        <v>54</v>
      </c>
      <c r="AE38" t="s">
        <v>63</v>
      </c>
      <c r="AF38" t="s">
        <v>64</v>
      </c>
      <c r="AG38" t="s">
        <v>54</v>
      </c>
      <c r="AH38" t="s">
        <v>152</v>
      </c>
      <c r="AI38" t="s">
        <v>66</v>
      </c>
      <c r="AJ38" t="s">
        <v>54</v>
      </c>
      <c r="AK38" t="s">
        <v>393</v>
      </c>
      <c r="AL38" t="s">
        <v>394</v>
      </c>
      <c r="AN38" s="19">
        <f>IF(ISBLANK(Mentors[[#This Row],[Onboarded Date]]),"",Mentors[[#This Row],[Onboarded Date]]-WEEKDAY(Mentors[[#This Row],[Onboarded Date]],2)+1)</f>
        <v>45656</v>
      </c>
    </row>
    <row r="39" spans="1:40" ht="19.2" customHeight="1" x14ac:dyDescent="0.3">
      <c r="A39" t="s">
        <v>395</v>
      </c>
      <c r="B39" t="s">
        <v>396</v>
      </c>
      <c r="C39" t="s">
        <v>397</v>
      </c>
      <c r="D39" t="s">
        <v>398</v>
      </c>
      <c r="E39" t="s">
        <v>399</v>
      </c>
      <c r="F39">
        <v>1999</v>
      </c>
      <c r="G39">
        <f>IF(OR(Mentors[[#This Row],[Career Start Year]]="NA",ISBLANK(Mentors[[#This Row],[Career Start Year]])),"",2026 - Mentors[[#This Row],[Career Start Year]])</f>
        <v>27</v>
      </c>
      <c r="H3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9" t="s">
        <v>51</v>
      </c>
      <c r="J39" t="s">
        <v>118</v>
      </c>
      <c r="K39" t="s">
        <v>400</v>
      </c>
      <c r="L39" s="17">
        <v>9920810208</v>
      </c>
      <c r="M39" s="19">
        <v>45658</v>
      </c>
      <c r="O39" t="s">
        <v>0</v>
      </c>
      <c r="Q39" t="s">
        <v>63</v>
      </c>
      <c r="R39" t="s">
        <v>63</v>
      </c>
      <c r="S39" t="s">
        <v>63</v>
      </c>
      <c r="T39" t="s">
        <v>77</v>
      </c>
      <c r="U39" t="s">
        <v>166</v>
      </c>
      <c r="V39" s="4" t="s">
        <v>120</v>
      </c>
      <c r="W39" t="s">
        <v>65</v>
      </c>
      <c r="X39" t="s">
        <v>59</v>
      </c>
      <c r="Z39" t="s">
        <v>61</v>
      </c>
      <c r="AA39" t="s">
        <v>62</v>
      </c>
      <c r="AB39">
        <v>1</v>
      </c>
      <c r="AD39" t="s">
        <v>54</v>
      </c>
      <c r="AE39" t="s">
        <v>63</v>
      </c>
      <c r="AG39" t="s">
        <v>54</v>
      </c>
      <c r="AH39" t="s">
        <v>152</v>
      </c>
      <c r="AI39" t="s">
        <v>66</v>
      </c>
      <c r="AJ39" t="s">
        <v>54</v>
      </c>
      <c r="AK39" t="s">
        <v>401</v>
      </c>
      <c r="AL39" t="s">
        <v>402</v>
      </c>
      <c r="AN39" s="19">
        <f>IF(ISBLANK(Mentors[[#This Row],[Onboarded Date]]),"",Mentors[[#This Row],[Onboarded Date]]-WEEKDAY(Mentors[[#This Row],[Onboarded Date]],2)+1)</f>
        <v>45656</v>
      </c>
    </row>
    <row r="40" spans="1:40" ht="19.2" customHeight="1" x14ac:dyDescent="0.3">
      <c r="A40" t="s">
        <v>403</v>
      </c>
      <c r="B40" t="s">
        <v>404</v>
      </c>
      <c r="C40" t="s">
        <v>405</v>
      </c>
      <c r="D40" t="s">
        <v>406</v>
      </c>
      <c r="E40" t="s">
        <v>407</v>
      </c>
      <c r="F40">
        <v>2002</v>
      </c>
      <c r="G40">
        <f>IF(OR(Mentors[[#This Row],[Career Start Year]]="NA",ISBLANK(Mentors[[#This Row],[Career Start Year]])),"",2026 - Mentors[[#This Row],[Career Start Year]])</f>
        <v>24</v>
      </c>
      <c r="H4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0" t="s">
        <v>51</v>
      </c>
      <c r="J40" t="s">
        <v>408</v>
      </c>
      <c r="K40" t="s">
        <v>409</v>
      </c>
      <c r="L40" s="17">
        <v>9894194382</v>
      </c>
      <c r="M40" s="19">
        <v>45658</v>
      </c>
      <c r="N40" t="s">
        <v>2</v>
      </c>
      <c r="O40" t="s">
        <v>0</v>
      </c>
      <c r="P40" t="s">
        <v>410</v>
      </c>
      <c r="Q40" t="s">
        <v>54</v>
      </c>
      <c r="R40" t="s">
        <v>63</v>
      </c>
      <c r="S40" t="s">
        <v>63</v>
      </c>
      <c r="T40" t="s">
        <v>411</v>
      </c>
      <c r="U40" t="s">
        <v>79</v>
      </c>
      <c r="V40" t="s">
        <v>306</v>
      </c>
      <c r="W40" t="s">
        <v>65</v>
      </c>
      <c r="X40" t="s">
        <v>59</v>
      </c>
      <c r="Z40" t="s">
        <v>101</v>
      </c>
      <c r="AA40" t="s">
        <v>62</v>
      </c>
      <c r="AB40">
        <v>1</v>
      </c>
      <c r="AD40" t="s">
        <v>54</v>
      </c>
      <c r="AE40" t="s">
        <v>54</v>
      </c>
      <c r="AF40" t="s">
        <v>64</v>
      </c>
      <c r="AG40" t="s">
        <v>54</v>
      </c>
      <c r="AH40" t="s">
        <v>65</v>
      </c>
      <c r="AI40" t="s">
        <v>412</v>
      </c>
      <c r="AJ40" t="s">
        <v>54</v>
      </c>
      <c r="AK40" t="s">
        <v>413</v>
      </c>
      <c r="AL40" t="s">
        <v>414</v>
      </c>
      <c r="AN40" s="19">
        <f>IF(ISBLANK(Mentors[[#This Row],[Onboarded Date]]),"",Mentors[[#This Row],[Onboarded Date]]-WEEKDAY(Mentors[[#This Row],[Onboarded Date]],2)+1)</f>
        <v>45656</v>
      </c>
    </row>
    <row r="41" spans="1:40" ht="19.2" customHeight="1" x14ac:dyDescent="0.3">
      <c r="A41" t="s">
        <v>415</v>
      </c>
      <c r="B41" t="s">
        <v>396</v>
      </c>
      <c r="C41" s="4" t="s">
        <v>416</v>
      </c>
      <c r="D41" t="s">
        <v>417</v>
      </c>
      <c r="E41" s="7" t="s">
        <v>418</v>
      </c>
      <c r="F41">
        <v>1996</v>
      </c>
      <c r="G41">
        <f>IF(OR(Mentors[[#This Row],[Career Start Year]]="NA",ISBLANK(Mentors[[#This Row],[Career Start Year]])),"",2026 - Mentors[[#This Row],[Career Start Year]])</f>
        <v>30</v>
      </c>
      <c r="H4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1" t="s">
        <v>51</v>
      </c>
      <c r="J41" t="s">
        <v>419</v>
      </c>
      <c r="K41" t="s">
        <v>420</v>
      </c>
      <c r="L41" s="17">
        <v>9425024431</v>
      </c>
      <c r="M41" s="19">
        <v>45658</v>
      </c>
      <c r="O41" t="s">
        <v>0</v>
      </c>
      <c r="Q41" t="s">
        <v>54</v>
      </c>
      <c r="R41" t="s">
        <v>63</v>
      </c>
      <c r="S41" t="s">
        <v>63</v>
      </c>
      <c r="T41" t="s">
        <v>77</v>
      </c>
      <c r="U41" t="s">
        <v>65</v>
      </c>
      <c r="V41" s="4" t="s">
        <v>58</v>
      </c>
      <c r="W41" s="4" t="s">
        <v>421</v>
      </c>
      <c r="X41" s="4" t="s">
        <v>59</v>
      </c>
      <c r="Y41" s="4"/>
      <c r="Z41" t="s">
        <v>101</v>
      </c>
      <c r="AA41" t="s">
        <v>62</v>
      </c>
      <c r="AB41">
        <v>1</v>
      </c>
      <c r="AD41" t="s">
        <v>54</v>
      </c>
      <c r="AE41" t="s">
        <v>63</v>
      </c>
      <c r="AF41" t="s">
        <v>64</v>
      </c>
      <c r="AG41" t="s">
        <v>63</v>
      </c>
      <c r="AH41" t="s">
        <v>152</v>
      </c>
      <c r="AI41" t="s">
        <v>66</v>
      </c>
      <c r="AJ41" t="s">
        <v>54</v>
      </c>
      <c r="AK41" t="s">
        <v>422</v>
      </c>
      <c r="AL41" t="s">
        <v>423</v>
      </c>
      <c r="AN41" s="19">
        <f>IF(ISBLANK(Mentors[[#This Row],[Onboarded Date]]),"",Mentors[[#This Row],[Onboarded Date]]-WEEKDAY(Mentors[[#This Row],[Onboarded Date]],2)+1)</f>
        <v>45656</v>
      </c>
    </row>
    <row r="42" spans="1:40" ht="19.2" customHeight="1" x14ac:dyDescent="0.3">
      <c r="A42" t="s">
        <v>424</v>
      </c>
      <c r="B42" t="s">
        <v>425</v>
      </c>
      <c r="C42" t="s">
        <v>426</v>
      </c>
      <c r="D42" t="s">
        <v>427</v>
      </c>
      <c r="E42" t="s">
        <v>428</v>
      </c>
      <c r="F42">
        <v>2003</v>
      </c>
      <c r="G42">
        <f>IF(OR(Mentors[[#This Row],[Career Start Year]]="NA",ISBLANK(Mentors[[#This Row],[Career Start Year]])),"",2026 - Mentors[[#This Row],[Career Start Year]])</f>
        <v>23</v>
      </c>
      <c r="H4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2" t="s">
        <v>51</v>
      </c>
      <c r="J42" t="s">
        <v>118</v>
      </c>
      <c r="K42" t="s">
        <v>429</v>
      </c>
      <c r="L42" s="17">
        <v>9820297497</v>
      </c>
      <c r="M42" s="19">
        <v>45658</v>
      </c>
      <c r="O42" t="s">
        <v>0</v>
      </c>
      <c r="Q42" t="s">
        <v>54</v>
      </c>
      <c r="R42" t="s">
        <v>63</v>
      </c>
      <c r="S42" t="s">
        <v>63</v>
      </c>
      <c r="T42" t="s">
        <v>56</v>
      </c>
      <c r="U42" t="s">
        <v>166</v>
      </c>
      <c r="V42" t="s">
        <v>120</v>
      </c>
      <c r="W42" t="s">
        <v>65</v>
      </c>
      <c r="Z42" t="s">
        <v>61</v>
      </c>
      <c r="AA42" t="s">
        <v>62</v>
      </c>
      <c r="AB42">
        <v>1</v>
      </c>
      <c r="AD42" t="s">
        <v>54</v>
      </c>
      <c r="AE42" t="s">
        <v>54</v>
      </c>
      <c r="AG42" t="s">
        <v>54</v>
      </c>
      <c r="AH42" t="s">
        <v>131</v>
      </c>
      <c r="AI42" t="s">
        <v>132</v>
      </c>
      <c r="AJ42" t="s">
        <v>54</v>
      </c>
      <c r="AK42" t="s">
        <v>430</v>
      </c>
      <c r="AL42" t="s">
        <v>431</v>
      </c>
      <c r="AN42" s="19">
        <f>IF(ISBLANK(Mentors[[#This Row],[Onboarded Date]]),"",Mentors[[#This Row],[Onboarded Date]]-WEEKDAY(Mentors[[#This Row],[Onboarded Date]],2)+1)</f>
        <v>45656</v>
      </c>
    </row>
    <row r="43" spans="1:40" ht="19.2" customHeight="1" x14ac:dyDescent="0.3">
      <c r="A43" t="s">
        <v>432</v>
      </c>
      <c r="B43" t="s">
        <v>433</v>
      </c>
      <c r="C43" t="s">
        <v>434</v>
      </c>
      <c r="D43" t="s">
        <v>435</v>
      </c>
      <c r="E43" s="7" t="s">
        <v>436</v>
      </c>
      <c r="F43">
        <v>2000</v>
      </c>
      <c r="G43">
        <f>IF(OR(Mentors[[#This Row],[Career Start Year]]="NA",ISBLANK(Mentors[[#This Row],[Career Start Year]])),"",2026 - Mentors[[#This Row],[Career Start Year]])</f>
        <v>26</v>
      </c>
      <c r="H4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3" t="s">
        <v>51</v>
      </c>
      <c r="J43" t="s">
        <v>196</v>
      </c>
      <c r="K43" t="s">
        <v>437</v>
      </c>
      <c r="L43" s="17">
        <v>9886827705</v>
      </c>
      <c r="M43" s="19">
        <v>45658</v>
      </c>
      <c r="O43" t="s">
        <v>0</v>
      </c>
      <c r="Q43" t="s">
        <v>54</v>
      </c>
      <c r="R43" t="s">
        <v>54</v>
      </c>
      <c r="S43" t="s">
        <v>54</v>
      </c>
      <c r="T43" t="s">
        <v>77</v>
      </c>
      <c r="U43" t="s">
        <v>187</v>
      </c>
      <c r="V43" t="s">
        <v>78</v>
      </c>
      <c r="W43" t="s">
        <v>65</v>
      </c>
      <c r="X43" t="s">
        <v>80</v>
      </c>
      <c r="Z43" t="s">
        <v>101</v>
      </c>
      <c r="AA43" t="s">
        <v>62</v>
      </c>
      <c r="AB43">
        <v>1</v>
      </c>
      <c r="AD43" t="s">
        <v>54</v>
      </c>
      <c r="AE43" t="s">
        <v>54</v>
      </c>
      <c r="AF43" t="s">
        <v>64</v>
      </c>
      <c r="AG43" t="s">
        <v>54</v>
      </c>
      <c r="AH43" t="s">
        <v>65</v>
      </c>
      <c r="AI43" t="s">
        <v>248</v>
      </c>
      <c r="AJ43" t="s">
        <v>54</v>
      </c>
      <c r="AK43" t="s">
        <v>438</v>
      </c>
      <c r="AL43" t="s">
        <v>439</v>
      </c>
      <c r="AN43" s="19">
        <f>IF(ISBLANK(Mentors[[#This Row],[Onboarded Date]]),"",Mentors[[#This Row],[Onboarded Date]]-WEEKDAY(Mentors[[#This Row],[Onboarded Date]],2)+1)</f>
        <v>45656</v>
      </c>
    </row>
    <row r="44" spans="1:40" ht="19.2" customHeight="1" x14ac:dyDescent="0.3">
      <c r="A44" t="s">
        <v>440</v>
      </c>
      <c r="B44" t="s">
        <v>441</v>
      </c>
      <c r="C44" t="s">
        <v>350</v>
      </c>
      <c r="D44" s="4" t="s">
        <v>442</v>
      </c>
      <c r="E44" t="s">
        <v>443</v>
      </c>
      <c r="F44">
        <v>1995</v>
      </c>
      <c r="G44">
        <f>IF(OR(Mentors[[#This Row],[Career Start Year]]="NA",ISBLANK(Mentors[[#This Row],[Career Start Year]])),"",2026 - Mentors[[#This Row],[Career Start Year]])</f>
        <v>31</v>
      </c>
      <c r="H4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4" t="s">
        <v>51</v>
      </c>
      <c r="J44" t="s">
        <v>118</v>
      </c>
      <c r="K44" t="s">
        <v>444</v>
      </c>
      <c r="L44" s="17">
        <v>9867153431</v>
      </c>
      <c r="M44" s="19">
        <v>45658</v>
      </c>
      <c r="O44" t="s">
        <v>0</v>
      </c>
      <c r="Q44" t="s">
        <v>54</v>
      </c>
      <c r="R44" t="s">
        <v>63</v>
      </c>
      <c r="S44" t="s">
        <v>54</v>
      </c>
      <c r="T44" s="4" t="s">
        <v>90</v>
      </c>
      <c r="U44" t="s">
        <v>445</v>
      </c>
      <c r="V44" s="4" t="s">
        <v>58</v>
      </c>
      <c r="W44" t="s">
        <v>78</v>
      </c>
      <c r="X44" t="s">
        <v>80</v>
      </c>
      <c r="Y44" t="s">
        <v>59</v>
      </c>
      <c r="Z44" t="s">
        <v>61</v>
      </c>
      <c r="AA44" t="s">
        <v>62</v>
      </c>
      <c r="AB44">
        <v>1</v>
      </c>
      <c r="AD44" t="s">
        <v>54</v>
      </c>
      <c r="AE44" t="s">
        <v>54</v>
      </c>
      <c r="AF44" t="s">
        <v>64</v>
      </c>
      <c r="AG44" t="s">
        <v>54</v>
      </c>
      <c r="AH44" t="s">
        <v>65</v>
      </c>
      <c r="AI44" t="s">
        <v>66</v>
      </c>
      <c r="AJ44" t="s">
        <v>54</v>
      </c>
      <c r="AK44" t="s">
        <v>446</v>
      </c>
      <c r="AL44" t="s">
        <v>447</v>
      </c>
      <c r="AN44" s="19">
        <f>IF(ISBLANK(Mentors[[#This Row],[Onboarded Date]]),"",Mentors[[#This Row],[Onboarded Date]]-WEEKDAY(Mentors[[#This Row],[Onboarded Date]],2)+1)</f>
        <v>45656</v>
      </c>
    </row>
    <row r="45" spans="1:40" ht="19.2" customHeight="1" x14ac:dyDescent="0.3">
      <c r="A45" t="s">
        <v>448</v>
      </c>
      <c r="B45" t="s">
        <v>449</v>
      </c>
      <c r="C45" t="s">
        <v>450</v>
      </c>
      <c r="D45" t="s">
        <v>451</v>
      </c>
      <c r="E45" t="s">
        <v>452</v>
      </c>
      <c r="F45">
        <v>2011</v>
      </c>
      <c r="G45">
        <f>IF(OR(Mentors[[#This Row],[Career Start Year]]="NA",ISBLANK(Mentors[[#This Row],[Career Start Year]])),"",2026 - Mentors[[#This Row],[Career Start Year]])</f>
        <v>15</v>
      </c>
      <c r="H4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5" t="s">
        <v>51</v>
      </c>
      <c r="J45" t="s">
        <v>196</v>
      </c>
      <c r="K45" t="s">
        <v>453</v>
      </c>
      <c r="L45" s="17">
        <v>9004036368</v>
      </c>
      <c r="M45" s="19">
        <v>45658</v>
      </c>
      <c r="O45" t="s">
        <v>0</v>
      </c>
      <c r="Q45" t="s">
        <v>63</v>
      </c>
      <c r="R45" t="s">
        <v>63</v>
      </c>
      <c r="S45" t="s">
        <v>63</v>
      </c>
      <c r="T45" t="s">
        <v>77</v>
      </c>
      <c r="U45" t="s">
        <v>166</v>
      </c>
      <c r="V45" t="s">
        <v>78</v>
      </c>
      <c r="W45" t="s">
        <v>65</v>
      </c>
      <c r="X45" t="s">
        <v>59</v>
      </c>
      <c r="Z45" t="s">
        <v>101</v>
      </c>
      <c r="AA45" t="s">
        <v>62</v>
      </c>
      <c r="AB45">
        <v>1</v>
      </c>
      <c r="AD45" t="s">
        <v>54</v>
      </c>
      <c r="AE45" t="s">
        <v>54</v>
      </c>
      <c r="AF45" t="s">
        <v>64</v>
      </c>
      <c r="AG45" t="s">
        <v>54</v>
      </c>
      <c r="AH45" t="s">
        <v>152</v>
      </c>
      <c r="AI45" t="s">
        <v>248</v>
      </c>
      <c r="AJ45" t="s">
        <v>54</v>
      </c>
      <c r="AK45" t="s">
        <v>454</v>
      </c>
      <c r="AL45" t="s">
        <v>455</v>
      </c>
      <c r="AN45" s="19">
        <f>IF(ISBLANK(Mentors[[#This Row],[Onboarded Date]]),"",Mentors[[#This Row],[Onboarded Date]]-WEEKDAY(Mentors[[#This Row],[Onboarded Date]],2)+1)</f>
        <v>45656</v>
      </c>
    </row>
    <row r="46" spans="1:40" ht="19.2" customHeight="1" x14ac:dyDescent="0.3">
      <c r="A46" t="s">
        <v>456</v>
      </c>
      <c r="B46" t="s">
        <v>457</v>
      </c>
      <c r="C46" t="s">
        <v>458</v>
      </c>
      <c r="D46" t="s">
        <v>459</v>
      </c>
      <c r="E46" t="s">
        <v>460</v>
      </c>
      <c r="F46">
        <v>2011</v>
      </c>
      <c r="G46">
        <f>IF(OR(Mentors[[#This Row],[Career Start Year]]="NA",ISBLANK(Mentors[[#This Row],[Career Start Year]])),"",2026 - Mentors[[#This Row],[Career Start Year]])</f>
        <v>15</v>
      </c>
      <c r="H4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6" t="s">
        <v>51</v>
      </c>
      <c r="J46" t="s">
        <v>461</v>
      </c>
      <c r="K46" t="s">
        <v>462</v>
      </c>
      <c r="L46" s="17" t="s">
        <v>463</v>
      </c>
      <c r="M46" s="19">
        <v>45658</v>
      </c>
      <c r="O46" t="s">
        <v>0</v>
      </c>
      <c r="Q46" t="s">
        <v>54</v>
      </c>
      <c r="R46" t="s">
        <v>54</v>
      </c>
      <c r="S46" t="s">
        <v>54</v>
      </c>
      <c r="T46" t="s">
        <v>77</v>
      </c>
      <c r="U46" t="s">
        <v>99</v>
      </c>
      <c r="V46" t="s">
        <v>78</v>
      </c>
      <c r="W46" t="s">
        <v>65</v>
      </c>
      <c r="X46" t="s">
        <v>60</v>
      </c>
      <c r="Z46" t="s">
        <v>101</v>
      </c>
      <c r="AA46" t="s">
        <v>62</v>
      </c>
      <c r="AB46">
        <v>1</v>
      </c>
      <c r="AD46" t="s">
        <v>54</v>
      </c>
      <c r="AE46" t="s">
        <v>54</v>
      </c>
      <c r="AF46" t="s">
        <v>64</v>
      </c>
      <c r="AG46" t="s">
        <v>54</v>
      </c>
      <c r="AH46" t="s">
        <v>65</v>
      </c>
      <c r="AI46" t="s">
        <v>66</v>
      </c>
      <c r="AJ46" t="s">
        <v>54</v>
      </c>
      <c r="AK46" t="s">
        <v>464</v>
      </c>
      <c r="AL46" t="s">
        <v>465</v>
      </c>
      <c r="AN46" s="19">
        <f>IF(ISBLANK(Mentors[[#This Row],[Onboarded Date]]),"",Mentors[[#This Row],[Onboarded Date]]-WEEKDAY(Mentors[[#This Row],[Onboarded Date]],2)+1)</f>
        <v>45656</v>
      </c>
    </row>
    <row r="47" spans="1:40" ht="19.2" customHeight="1" x14ac:dyDescent="0.3">
      <c r="A47" t="s">
        <v>466</v>
      </c>
      <c r="B47" t="s">
        <v>467</v>
      </c>
      <c r="C47" t="s">
        <v>468</v>
      </c>
      <c r="D47" t="s">
        <v>469</v>
      </c>
      <c r="E47" s="7" t="s">
        <v>470</v>
      </c>
      <c r="F47">
        <v>2008</v>
      </c>
      <c r="G47">
        <f>IF(OR(Mentors[[#This Row],[Career Start Year]]="NA",ISBLANK(Mentors[[#This Row],[Career Start Year]])),"",2026 - Mentors[[#This Row],[Career Start Year]])</f>
        <v>18</v>
      </c>
      <c r="H4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47" t="s">
        <v>51</v>
      </c>
      <c r="J47" t="s">
        <v>297</v>
      </c>
      <c r="K47" t="s">
        <v>471</v>
      </c>
      <c r="L47" s="17">
        <v>9810288799</v>
      </c>
      <c r="M47" s="19">
        <v>45658</v>
      </c>
      <c r="O47" t="s">
        <v>0</v>
      </c>
      <c r="Q47" t="s">
        <v>54</v>
      </c>
      <c r="R47" t="s">
        <v>63</v>
      </c>
      <c r="S47" t="s">
        <v>63</v>
      </c>
      <c r="T47" t="s">
        <v>166</v>
      </c>
      <c r="U47" t="s">
        <v>77</v>
      </c>
      <c r="V47" s="4" t="s">
        <v>58</v>
      </c>
      <c r="W47" t="s">
        <v>58</v>
      </c>
      <c r="X47" t="s">
        <v>60</v>
      </c>
      <c r="Z47" t="s">
        <v>61</v>
      </c>
      <c r="AA47" t="s">
        <v>62</v>
      </c>
      <c r="AB47">
        <v>1</v>
      </c>
      <c r="AD47" t="s">
        <v>54</v>
      </c>
      <c r="AE47" t="s">
        <v>54</v>
      </c>
      <c r="AF47" t="s">
        <v>64</v>
      </c>
      <c r="AG47" t="s">
        <v>54</v>
      </c>
      <c r="AH47" t="s">
        <v>65</v>
      </c>
      <c r="AI47" t="s">
        <v>412</v>
      </c>
      <c r="AJ47" t="s">
        <v>54</v>
      </c>
      <c r="AK47" t="s">
        <v>472</v>
      </c>
      <c r="AL47" t="s">
        <v>473</v>
      </c>
      <c r="AN47" s="19">
        <f>IF(ISBLANK(Mentors[[#This Row],[Onboarded Date]]),"",Mentors[[#This Row],[Onboarded Date]]-WEEKDAY(Mentors[[#This Row],[Onboarded Date]],2)+1)</f>
        <v>45656</v>
      </c>
    </row>
    <row r="48" spans="1:40" ht="19.2" customHeight="1" x14ac:dyDescent="0.3">
      <c r="A48" t="s">
        <v>474</v>
      </c>
      <c r="B48" t="s">
        <v>152</v>
      </c>
      <c r="C48" t="s">
        <v>475</v>
      </c>
      <c r="D48" t="s">
        <v>476</v>
      </c>
      <c r="E48" t="s">
        <v>477</v>
      </c>
      <c r="F48">
        <v>2010</v>
      </c>
      <c r="G48">
        <f>IF(OR(Mentors[[#This Row],[Career Start Year]]="NA",ISBLANK(Mentors[[#This Row],[Career Start Year]])),"",2026 - Mentors[[#This Row],[Career Start Year]])</f>
        <v>16</v>
      </c>
      <c r="H4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48" t="s">
        <v>478</v>
      </c>
      <c r="J48" t="s">
        <v>479</v>
      </c>
      <c r="K48" t="s">
        <v>480</v>
      </c>
      <c r="L48" s="17">
        <v>9176555527</v>
      </c>
      <c r="M48" s="19">
        <v>45658</v>
      </c>
      <c r="O48" t="s">
        <v>0</v>
      </c>
      <c r="Q48" t="s">
        <v>54</v>
      </c>
      <c r="R48" t="s">
        <v>63</v>
      </c>
      <c r="S48" t="s">
        <v>63</v>
      </c>
      <c r="T48" t="s">
        <v>77</v>
      </c>
      <c r="U48" t="s">
        <v>56</v>
      </c>
      <c r="V48" t="s">
        <v>198</v>
      </c>
      <c r="W48" t="s">
        <v>481</v>
      </c>
      <c r="X48" t="s">
        <v>80</v>
      </c>
      <c r="Y48" t="s">
        <v>59</v>
      </c>
      <c r="Z48" t="s">
        <v>61</v>
      </c>
      <c r="AA48" t="s">
        <v>62</v>
      </c>
      <c r="AB48">
        <v>1</v>
      </c>
      <c r="AD48" t="s">
        <v>54</v>
      </c>
      <c r="AE48" t="s">
        <v>63</v>
      </c>
      <c r="AF48" t="s">
        <v>64</v>
      </c>
      <c r="AG48" t="s">
        <v>54</v>
      </c>
      <c r="AH48" t="s">
        <v>152</v>
      </c>
      <c r="AI48" t="s">
        <v>248</v>
      </c>
      <c r="AJ48" t="s">
        <v>54</v>
      </c>
      <c r="AK48" t="s">
        <v>482</v>
      </c>
      <c r="AL48" t="s">
        <v>483</v>
      </c>
      <c r="AN48" s="19">
        <f>IF(ISBLANK(Mentors[[#This Row],[Onboarded Date]]),"",Mentors[[#This Row],[Onboarded Date]]-WEEKDAY(Mentors[[#This Row],[Onboarded Date]],2)+1)</f>
        <v>45656</v>
      </c>
    </row>
    <row r="49" spans="1:40" ht="19.2" customHeight="1" x14ac:dyDescent="0.3">
      <c r="A49" t="s">
        <v>484</v>
      </c>
      <c r="B49" t="s">
        <v>485</v>
      </c>
      <c r="C49" t="s">
        <v>486</v>
      </c>
      <c r="D49" t="s">
        <v>487</v>
      </c>
      <c r="E49" t="s">
        <v>488</v>
      </c>
      <c r="F49">
        <v>2009</v>
      </c>
      <c r="G49">
        <f>IF(OR(Mentors[[#This Row],[Career Start Year]]="NA",ISBLANK(Mentors[[#This Row],[Career Start Year]])),"",2026 - Mentors[[#This Row],[Career Start Year]])</f>
        <v>17</v>
      </c>
      <c r="H4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49" t="s">
        <v>51</v>
      </c>
      <c r="J49" t="s">
        <v>314</v>
      </c>
      <c r="K49" t="s">
        <v>489</v>
      </c>
      <c r="L49" s="17">
        <v>8779734490</v>
      </c>
      <c r="M49" s="19">
        <v>45658</v>
      </c>
      <c r="O49" t="s">
        <v>0</v>
      </c>
      <c r="Q49" t="s">
        <v>54</v>
      </c>
      <c r="R49" t="s">
        <v>63</v>
      </c>
      <c r="S49" t="s">
        <v>63</v>
      </c>
      <c r="T49" t="s">
        <v>77</v>
      </c>
      <c r="U49" t="s">
        <v>65</v>
      </c>
      <c r="V49" t="s">
        <v>481</v>
      </c>
      <c r="W49" t="s">
        <v>65</v>
      </c>
      <c r="X49" t="s">
        <v>59</v>
      </c>
      <c r="Z49" t="s">
        <v>101</v>
      </c>
      <c r="AA49" t="s">
        <v>62</v>
      </c>
      <c r="AB49">
        <v>1</v>
      </c>
      <c r="AD49" t="s">
        <v>54</v>
      </c>
      <c r="AE49" t="s">
        <v>54</v>
      </c>
      <c r="AF49" t="s">
        <v>64</v>
      </c>
      <c r="AG49" t="s">
        <v>54</v>
      </c>
      <c r="AH49" t="s">
        <v>65</v>
      </c>
      <c r="AI49" t="s">
        <v>66</v>
      </c>
      <c r="AJ49" t="s">
        <v>54</v>
      </c>
      <c r="AK49" t="s">
        <v>490</v>
      </c>
      <c r="AL49" t="s">
        <v>491</v>
      </c>
      <c r="AN49" s="19">
        <f>IF(ISBLANK(Mentors[[#This Row],[Onboarded Date]]),"",Mentors[[#This Row],[Onboarded Date]]-WEEKDAY(Mentors[[#This Row],[Onboarded Date]],2)+1)</f>
        <v>45656</v>
      </c>
    </row>
    <row r="50" spans="1:40" ht="19.2" customHeight="1" x14ac:dyDescent="0.3">
      <c r="A50" t="s">
        <v>492</v>
      </c>
      <c r="B50" t="s">
        <v>493</v>
      </c>
      <c r="C50" t="s">
        <v>115</v>
      </c>
      <c r="D50" s="4" t="s">
        <v>494</v>
      </c>
      <c r="E50" s="7" t="s">
        <v>495</v>
      </c>
      <c r="F50">
        <v>1989</v>
      </c>
      <c r="G50">
        <f>IF(OR(Mentors[[#This Row],[Career Start Year]]="NA",ISBLANK(Mentors[[#This Row],[Career Start Year]])),"",2026 - Mentors[[#This Row],[Career Start Year]])</f>
        <v>37</v>
      </c>
      <c r="H5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0" t="s">
        <v>51</v>
      </c>
      <c r="J50" t="s">
        <v>496</v>
      </c>
      <c r="K50" t="s">
        <v>497</v>
      </c>
      <c r="L50" s="17" t="s">
        <v>498</v>
      </c>
      <c r="M50" s="19">
        <v>45658</v>
      </c>
      <c r="O50" t="s">
        <v>0</v>
      </c>
      <c r="Q50" t="s">
        <v>54</v>
      </c>
      <c r="R50" t="s">
        <v>54</v>
      </c>
      <c r="S50" t="s">
        <v>54</v>
      </c>
      <c r="T50" t="s">
        <v>499</v>
      </c>
      <c r="U50" t="s">
        <v>90</v>
      </c>
      <c r="V50" t="s">
        <v>78</v>
      </c>
      <c r="W50" t="s">
        <v>65</v>
      </c>
      <c r="X50" t="s">
        <v>60</v>
      </c>
      <c r="Z50" t="s">
        <v>101</v>
      </c>
      <c r="AA50" t="s">
        <v>62</v>
      </c>
      <c r="AB50">
        <v>1</v>
      </c>
      <c r="AD50" t="s">
        <v>63</v>
      </c>
      <c r="AE50" t="s">
        <v>54</v>
      </c>
      <c r="AF50" t="s">
        <v>121</v>
      </c>
      <c r="AG50" t="s">
        <v>54</v>
      </c>
      <c r="AH50" t="s">
        <v>65</v>
      </c>
      <c r="AI50" t="s">
        <v>66</v>
      </c>
      <c r="AJ50" t="s">
        <v>54</v>
      </c>
      <c r="AK50" t="s">
        <v>500</v>
      </c>
      <c r="AL50" t="s">
        <v>501</v>
      </c>
      <c r="AN50" s="19">
        <f>IF(ISBLANK(Mentors[[#This Row],[Onboarded Date]]),"",Mentors[[#This Row],[Onboarded Date]]-WEEKDAY(Mentors[[#This Row],[Onboarded Date]],2)+1)</f>
        <v>45656</v>
      </c>
    </row>
    <row r="51" spans="1:40" ht="19.2" customHeight="1" x14ac:dyDescent="0.3">
      <c r="A51" t="s">
        <v>502</v>
      </c>
      <c r="B51" t="s">
        <v>503</v>
      </c>
      <c r="C51" t="s">
        <v>504</v>
      </c>
      <c r="D51" t="s">
        <v>505</v>
      </c>
      <c r="E51" s="7" t="s">
        <v>506</v>
      </c>
      <c r="F51">
        <v>2008</v>
      </c>
      <c r="G51">
        <f>IF(OR(Mentors[[#This Row],[Career Start Year]]="NA",ISBLANK(Mentors[[#This Row],[Career Start Year]])),"",2026 - Mentors[[#This Row],[Career Start Year]])</f>
        <v>18</v>
      </c>
      <c r="H5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51" t="s">
        <v>51</v>
      </c>
      <c r="J51" t="s">
        <v>507</v>
      </c>
      <c r="K51" t="s">
        <v>508</v>
      </c>
      <c r="L51" s="17">
        <v>8080706442</v>
      </c>
      <c r="M51" s="19">
        <v>45658</v>
      </c>
      <c r="O51" t="s">
        <v>0</v>
      </c>
      <c r="Q51" t="s">
        <v>63</v>
      </c>
      <c r="R51" t="s">
        <v>63</v>
      </c>
      <c r="S51" t="s">
        <v>63</v>
      </c>
      <c r="T51" t="s">
        <v>99</v>
      </c>
      <c r="U51" t="s">
        <v>100</v>
      </c>
      <c r="V51" t="s">
        <v>78</v>
      </c>
      <c r="W51" t="s">
        <v>79</v>
      </c>
      <c r="Z51" t="s">
        <v>101</v>
      </c>
      <c r="AA51" t="s">
        <v>62</v>
      </c>
      <c r="AB51">
        <v>1</v>
      </c>
      <c r="AD51" t="s">
        <v>54</v>
      </c>
      <c r="AE51" t="s">
        <v>54</v>
      </c>
      <c r="AF51" t="s">
        <v>64</v>
      </c>
      <c r="AG51" t="s">
        <v>54</v>
      </c>
      <c r="AH51" t="s">
        <v>65</v>
      </c>
      <c r="AI51" t="s">
        <v>66</v>
      </c>
      <c r="AJ51" t="s">
        <v>54</v>
      </c>
      <c r="AK51" t="s">
        <v>509</v>
      </c>
      <c r="AL51" t="s">
        <v>510</v>
      </c>
      <c r="AN51" s="19">
        <f>IF(ISBLANK(Mentors[[#This Row],[Onboarded Date]]),"",Mentors[[#This Row],[Onboarded Date]]-WEEKDAY(Mentors[[#This Row],[Onboarded Date]],2)+1)</f>
        <v>45656</v>
      </c>
    </row>
    <row r="52" spans="1:40" ht="19.2" customHeight="1" x14ac:dyDescent="0.3">
      <c r="A52" t="s">
        <v>511</v>
      </c>
      <c r="B52" t="s">
        <v>512</v>
      </c>
      <c r="C52" t="s">
        <v>513</v>
      </c>
      <c r="D52" t="s">
        <v>514</v>
      </c>
      <c r="E52" t="s">
        <v>515</v>
      </c>
      <c r="F52">
        <v>2008</v>
      </c>
      <c r="G52">
        <f>IF(OR(Mentors[[#This Row],[Career Start Year]]="NA",ISBLANK(Mentors[[#This Row],[Career Start Year]])),"",2026 - Mentors[[#This Row],[Career Start Year]])</f>
        <v>18</v>
      </c>
      <c r="H5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52" t="s">
        <v>51</v>
      </c>
      <c r="J52" t="s">
        <v>52</v>
      </c>
      <c r="K52" t="s">
        <v>516</v>
      </c>
      <c r="L52" s="17">
        <v>8295661666</v>
      </c>
      <c r="M52" s="19">
        <v>45658</v>
      </c>
      <c r="O52" t="s">
        <v>0</v>
      </c>
      <c r="Q52" t="s">
        <v>54</v>
      </c>
      <c r="R52" t="s">
        <v>63</v>
      </c>
      <c r="S52" t="s">
        <v>63</v>
      </c>
      <c r="T52" t="s">
        <v>56</v>
      </c>
      <c r="U52" t="s">
        <v>100</v>
      </c>
      <c r="V52" t="s">
        <v>78</v>
      </c>
      <c r="W52" t="s">
        <v>79</v>
      </c>
      <c r="Z52" t="s">
        <v>61</v>
      </c>
      <c r="AA52" t="s">
        <v>62</v>
      </c>
      <c r="AB52">
        <v>1</v>
      </c>
      <c r="AD52" t="s">
        <v>63</v>
      </c>
      <c r="AE52" t="s">
        <v>63</v>
      </c>
      <c r="AG52" t="s">
        <v>54</v>
      </c>
      <c r="AH52" t="s">
        <v>215</v>
      </c>
      <c r="AI52" t="s">
        <v>132</v>
      </c>
      <c r="AJ52" t="s">
        <v>54</v>
      </c>
      <c r="AK52" t="s">
        <v>517</v>
      </c>
      <c r="AL52" t="s">
        <v>518</v>
      </c>
      <c r="AN52" s="19">
        <f>IF(ISBLANK(Mentors[[#This Row],[Onboarded Date]]),"",Mentors[[#This Row],[Onboarded Date]]-WEEKDAY(Mentors[[#This Row],[Onboarded Date]],2)+1)</f>
        <v>45656</v>
      </c>
    </row>
    <row r="53" spans="1:40" ht="19.2" customHeight="1" x14ac:dyDescent="0.3">
      <c r="A53" t="s">
        <v>519</v>
      </c>
      <c r="B53" t="s">
        <v>520</v>
      </c>
      <c r="C53" t="s">
        <v>521</v>
      </c>
      <c r="D53" t="s">
        <v>522</v>
      </c>
      <c r="E53" t="s">
        <v>523</v>
      </c>
      <c r="F53">
        <v>2004</v>
      </c>
      <c r="G53">
        <f>IF(OR(Mentors[[#This Row],[Career Start Year]]="NA",ISBLANK(Mentors[[#This Row],[Career Start Year]])),"",2026 - Mentors[[#This Row],[Career Start Year]])</f>
        <v>22</v>
      </c>
      <c r="H5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3" t="s">
        <v>51</v>
      </c>
      <c r="J53" t="s">
        <v>280</v>
      </c>
      <c r="K53" t="s">
        <v>524</v>
      </c>
      <c r="L53" s="17">
        <v>9898209955</v>
      </c>
      <c r="M53" s="19">
        <v>45658</v>
      </c>
      <c r="O53" t="s">
        <v>0</v>
      </c>
      <c r="Q53" t="s">
        <v>54</v>
      </c>
      <c r="R53" t="s">
        <v>63</v>
      </c>
      <c r="S53" t="s">
        <v>63</v>
      </c>
      <c r="T53" t="s">
        <v>76</v>
      </c>
      <c r="U53" t="s">
        <v>166</v>
      </c>
      <c r="V53" s="6" t="s">
        <v>78</v>
      </c>
      <c r="W53" t="s">
        <v>79</v>
      </c>
      <c r="X53" t="s">
        <v>59</v>
      </c>
      <c r="Z53" t="s">
        <v>61</v>
      </c>
      <c r="AA53" t="s">
        <v>62</v>
      </c>
      <c r="AB53">
        <v>1</v>
      </c>
      <c r="AD53" t="s">
        <v>54</v>
      </c>
      <c r="AE53" t="s">
        <v>63</v>
      </c>
      <c r="AG53" t="s">
        <v>54</v>
      </c>
      <c r="AH53" t="s">
        <v>152</v>
      </c>
      <c r="AI53" t="s">
        <v>132</v>
      </c>
      <c r="AJ53" t="s">
        <v>54</v>
      </c>
      <c r="AK53" t="s">
        <v>525</v>
      </c>
      <c r="AL53" t="s">
        <v>526</v>
      </c>
      <c r="AN53" s="19">
        <f>IF(ISBLANK(Mentors[[#This Row],[Onboarded Date]]),"",Mentors[[#This Row],[Onboarded Date]]-WEEKDAY(Mentors[[#This Row],[Onboarded Date]],2)+1)</f>
        <v>45656</v>
      </c>
    </row>
    <row r="54" spans="1:40" ht="19.2" customHeight="1" x14ac:dyDescent="0.3">
      <c r="A54" t="s">
        <v>527</v>
      </c>
      <c r="B54" t="s">
        <v>528</v>
      </c>
      <c r="C54" t="s">
        <v>529</v>
      </c>
      <c r="D54" t="s">
        <v>530</v>
      </c>
      <c r="E54" t="s">
        <v>531</v>
      </c>
      <c r="F54">
        <v>1987</v>
      </c>
      <c r="G54">
        <f>IF(OR(Mentors[[#This Row],[Career Start Year]]="NA",ISBLANK(Mentors[[#This Row],[Career Start Year]])),"",2026 - Mentors[[#This Row],[Career Start Year]])</f>
        <v>39</v>
      </c>
      <c r="H5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4" t="s">
        <v>51</v>
      </c>
      <c r="J54" t="s">
        <v>196</v>
      </c>
      <c r="K54" t="s">
        <v>532</v>
      </c>
      <c r="L54" s="17">
        <v>9820309799</v>
      </c>
      <c r="M54" s="19">
        <v>45658</v>
      </c>
      <c r="O54" t="s">
        <v>0</v>
      </c>
      <c r="Q54" t="s">
        <v>54</v>
      </c>
      <c r="R54" t="s">
        <v>54</v>
      </c>
      <c r="S54" t="s">
        <v>63</v>
      </c>
      <c r="T54" t="s">
        <v>77</v>
      </c>
      <c r="U54" t="s">
        <v>100</v>
      </c>
      <c r="V54" t="s">
        <v>57</v>
      </c>
      <c r="W54" t="s">
        <v>79</v>
      </c>
      <c r="X54" t="s">
        <v>80</v>
      </c>
      <c r="Y54" t="s">
        <v>59</v>
      </c>
      <c r="Z54" t="s">
        <v>61</v>
      </c>
      <c r="AA54" t="s">
        <v>62</v>
      </c>
      <c r="AB54">
        <v>1</v>
      </c>
      <c r="AD54" t="s">
        <v>63</v>
      </c>
      <c r="AE54" t="s">
        <v>63</v>
      </c>
      <c r="AG54" t="s">
        <v>54</v>
      </c>
      <c r="AH54" t="s">
        <v>152</v>
      </c>
      <c r="AI54" t="s">
        <v>66</v>
      </c>
      <c r="AJ54" t="s">
        <v>54</v>
      </c>
      <c r="AK54" t="s">
        <v>533</v>
      </c>
      <c r="AL54" t="s">
        <v>534</v>
      </c>
      <c r="AN54" s="19">
        <f>IF(ISBLANK(Mentors[[#This Row],[Onboarded Date]]),"",Mentors[[#This Row],[Onboarded Date]]-WEEKDAY(Mentors[[#This Row],[Onboarded Date]],2)+1)</f>
        <v>45656</v>
      </c>
    </row>
    <row r="55" spans="1:40" ht="19.2" customHeight="1" x14ac:dyDescent="0.3">
      <c r="A55" t="s">
        <v>535</v>
      </c>
      <c r="B55" t="s">
        <v>536</v>
      </c>
      <c r="C55" t="s">
        <v>537</v>
      </c>
      <c r="D55" t="s">
        <v>538</v>
      </c>
      <c r="E55" t="s">
        <v>539</v>
      </c>
      <c r="F55">
        <v>1997</v>
      </c>
      <c r="G55">
        <f>IF(OR(Mentors[[#This Row],[Career Start Year]]="NA",ISBLANK(Mentors[[#This Row],[Career Start Year]])),"",2026 - Mentors[[#This Row],[Career Start Year]])</f>
        <v>29</v>
      </c>
      <c r="H5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5" t="s">
        <v>51</v>
      </c>
      <c r="J55" t="s">
        <v>52</v>
      </c>
      <c r="K55" t="s">
        <v>540</v>
      </c>
      <c r="L55" s="17">
        <v>9833923039</v>
      </c>
      <c r="M55" s="19">
        <v>45658</v>
      </c>
      <c r="O55" t="s">
        <v>0</v>
      </c>
      <c r="Q55" t="s">
        <v>63</v>
      </c>
      <c r="R55" t="s">
        <v>63</v>
      </c>
      <c r="S55" t="s">
        <v>63</v>
      </c>
      <c r="T55" t="s">
        <v>99</v>
      </c>
      <c r="U55" t="s">
        <v>100</v>
      </c>
      <c r="V55" t="s">
        <v>198</v>
      </c>
      <c r="W55" t="s">
        <v>79</v>
      </c>
      <c r="X55" t="s">
        <v>59</v>
      </c>
      <c r="Z55" t="s">
        <v>61</v>
      </c>
      <c r="AA55" t="s">
        <v>62</v>
      </c>
      <c r="AB55">
        <v>1</v>
      </c>
      <c r="AD55" t="s">
        <v>63</v>
      </c>
      <c r="AE55" t="s">
        <v>54</v>
      </c>
      <c r="AG55" t="s">
        <v>54</v>
      </c>
      <c r="AH55" t="s">
        <v>152</v>
      </c>
      <c r="AI55" t="s">
        <v>66</v>
      </c>
      <c r="AJ55" t="s">
        <v>54</v>
      </c>
      <c r="AK55" t="s">
        <v>541</v>
      </c>
      <c r="AL55" t="s">
        <v>542</v>
      </c>
      <c r="AN55" s="19">
        <f>IF(ISBLANK(Mentors[[#This Row],[Onboarded Date]]),"",Mentors[[#This Row],[Onboarded Date]]-WEEKDAY(Mentors[[#This Row],[Onboarded Date]],2)+1)</f>
        <v>45656</v>
      </c>
    </row>
    <row r="56" spans="1:40" ht="19.2" customHeight="1" x14ac:dyDescent="0.3">
      <c r="A56" t="s">
        <v>543</v>
      </c>
      <c r="B56" t="s">
        <v>260</v>
      </c>
      <c r="C56" t="s">
        <v>544</v>
      </c>
      <c r="D56" t="s">
        <v>545</v>
      </c>
      <c r="E56" t="s">
        <v>546</v>
      </c>
      <c r="F56">
        <v>2002</v>
      </c>
      <c r="G56">
        <f>IF(OR(Mentors[[#This Row],[Career Start Year]]="NA",ISBLANK(Mentors[[#This Row],[Career Start Year]])),"",2026 - Mentors[[#This Row],[Career Start Year]])</f>
        <v>24</v>
      </c>
      <c r="H5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6" t="s">
        <v>51</v>
      </c>
      <c r="J56" t="s">
        <v>196</v>
      </c>
      <c r="K56" t="s">
        <v>547</v>
      </c>
      <c r="L56" s="17">
        <v>8217354722</v>
      </c>
      <c r="M56" s="19">
        <v>45658</v>
      </c>
      <c r="O56" t="s">
        <v>0</v>
      </c>
      <c r="Q56" t="s">
        <v>63</v>
      </c>
      <c r="R56" t="s">
        <v>63</v>
      </c>
      <c r="S56" t="s">
        <v>63</v>
      </c>
      <c r="T56" t="s">
        <v>56</v>
      </c>
      <c r="U56" t="s">
        <v>100</v>
      </c>
      <c r="V56" t="s">
        <v>78</v>
      </c>
      <c r="W56" t="s">
        <v>79</v>
      </c>
      <c r="X56" t="s">
        <v>59</v>
      </c>
      <c r="Z56" t="s">
        <v>61</v>
      </c>
      <c r="AA56" t="s">
        <v>62</v>
      </c>
      <c r="AB56">
        <v>1</v>
      </c>
      <c r="AD56" t="s">
        <v>63</v>
      </c>
      <c r="AE56" t="s">
        <v>63</v>
      </c>
      <c r="AF56" t="s">
        <v>64</v>
      </c>
      <c r="AG56" t="s">
        <v>54</v>
      </c>
      <c r="AH56" t="s">
        <v>152</v>
      </c>
      <c r="AI56" t="s">
        <v>66</v>
      </c>
      <c r="AJ56" t="s">
        <v>54</v>
      </c>
      <c r="AK56" t="s">
        <v>548</v>
      </c>
      <c r="AL56" t="s">
        <v>549</v>
      </c>
      <c r="AN56" s="19">
        <f>IF(ISBLANK(Mentors[[#This Row],[Onboarded Date]]),"",Mentors[[#This Row],[Onboarded Date]]-WEEKDAY(Mentors[[#This Row],[Onboarded Date]],2)+1)</f>
        <v>45656</v>
      </c>
    </row>
    <row r="57" spans="1:40" ht="19.2" customHeight="1" x14ac:dyDescent="0.3">
      <c r="A57" t="s">
        <v>550</v>
      </c>
      <c r="B57" t="s">
        <v>152</v>
      </c>
      <c r="C57" t="s">
        <v>551</v>
      </c>
      <c r="D57" t="s">
        <v>552</v>
      </c>
      <c r="E57" t="s">
        <v>553</v>
      </c>
      <c r="F57">
        <v>2002</v>
      </c>
      <c r="G57">
        <f>IF(OR(Mentors[[#This Row],[Career Start Year]]="NA",ISBLANK(Mentors[[#This Row],[Career Start Year]])),"",2026 - Mentors[[#This Row],[Career Start Year]])</f>
        <v>24</v>
      </c>
      <c r="H5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7" t="s">
        <v>51</v>
      </c>
      <c r="J57" t="s">
        <v>118</v>
      </c>
      <c r="K57" s="7" t="s">
        <v>554</v>
      </c>
      <c r="L57" s="17">
        <v>9820787098</v>
      </c>
      <c r="M57" s="19">
        <v>45658</v>
      </c>
      <c r="O57" t="s">
        <v>0</v>
      </c>
      <c r="Q57" t="s">
        <v>54</v>
      </c>
      <c r="R57" t="s">
        <v>63</v>
      </c>
      <c r="S57" t="s">
        <v>63</v>
      </c>
      <c r="T57" t="s">
        <v>187</v>
      </c>
      <c r="U57" t="s">
        <v>110</v>
      </c>
      <c r="V57" t="s">
        <v>78</v>
      </c>
      <c r="W57" t="s">
        <v>79</v>
      </c>
      <c r="Z57" t="s">
        <v>61</v>
      </c>
      <c r="AA57" t="s">
        <v>62</v>
      </c>
      <c r="AB57">
        <v>1</v>
      </c>
      <c r="AD57" t="s">
        <v>63</v>
      </c>
      <c r="AE57" t="s">
        <v>63</v>
      </c>
      <c r="AF57" t="s">
        <v>64</v>
      </c>
      <c r="AG57" t="s">
        <v>54</v>
      </c>
      <c r="AH57" t="s">
        <v>152</v>
      </c>
      <c r="AI57" t="s">
        <v>66</v>
      </c>
      <c r="AJ57" t="s">
        <v>54</v>
      </c>
      <c r="AK57" t="s">
        <v>555</v>
      </c>
      <c r="AL57" t="s">
        <v>556</v>
      </c>
      <c r="AN57" s="19">
        <f>IF(ISBLANK(Mentors[[#This Row],[Onboarded Date]]),"",Mentors[[#This Row],[Onboarded Date]]-WEEKDAY(Mentors[[#This Row],[Onboarded Date]],2)+1)</f>
        <v>45656</v>
      </c>
    </row>
    <row r="58" spans="1:40" ht="19.2" customHeight="1" x14ac:dyDescent="0.3">
      <c r="A58" t="s">
        <v>557</v>
      </c>
      <c r="B58" t="s">
        <v>558</v>
      </c>
      <c r="C58" t="s">
        <v>559</v>
      </c>
      <c r="D58" s="4" t="s">
        <v>560</v>
      </c>
      <c r="E58" t="s">
        <v>561</v>
      </c>
      <c r="F58">
        <v>2006</v>
      </c>
      <c r="G58">
        <f>IF(OR(Mentors[[#This Row],[Career Start Year]]="NA",ISBLANK(Mentors[[#This Row],[Career Start Year]])),"",2026 - Mentors[[#This Row],[Career Start Year]])</f>
        <v>20</v>
      </c>
      <c r="H5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58" t="s">
        <v>51</v>
      </c>
      <c r="J58" t="s">
        <v>74</v>
      </c>
      <c r="K58" t="s">
        <v>562</v>
      </c>
      <c r="L58" s="17">
        <v>8658445646</v>
      </c>
      <c r="M58" s="19">
        <v>45658</v>
      </c>
      <c r="O58" t="s">
        <v>0</v>
      </c>
      <c r="Q58" t="s">
        <v>63</v>
      </c>
      <c r="R58" t="s">
        <v>54</v>
      </c>
      <c r="S58" t="s">
        <v>54</v>
      </c>
      <c r="T58" t="s">
        <v>77</v>
      </c>
      <c r="U58" t="s">
        <v>99</v>
      </c>
      <c r="V58" s="4" t="s">
        <v>256</v>
      </c>
      <c r="W58" t="s">
        <v>79</v>
      </c>
      <c r="X58" t="s">
        <v>80</v>
      </c>
      <c r="Y58" t="s">
        <v>59</v>
      </c>
      <c r="Z58" t="s">
        <v>101</v>
      </c>
      <c r="AA58" t="s">
        <v>62</v>
      </c>
      <c r="AB58">
        <v>1</v>
      </c>
      <c r="AD58" t="s">
        <v>54</v>
      </c>
      <c r="AE58" t="s">
        <v>63</v>
      </c>
      <c r="AF58" t="s">
        <v>64</v>
      </c>
      <c r="AG58" t="s">
        <v>54</v>
      </c>
      <c r="AH58" t="s">
        <v>152</v>
      </c>
      <c r="AI58" t="s">
        <v>248</v>
      </c>
      <c r="AJ58" t="s">
        <v>54</v>
      </c>
      <c r="AK58" t="s">
        <v>563</v>
      </c>
      <c r="AL58" t="s">
        <v>564</v>
      </c>
      <c r="AN58" s="19">
        <f>IF(ISBLANK(Mentors[[#This Row],[Onboarded Date]]),"",Mentors[[#This Row],[Onboarded Date]]-WEEKDAY(Mentors[[#This Row],[Onboarded Date]],2)+1)</f>
        <v>45656</v>
      </c>
    </row>
    <row r="59" spans="1:40" ht="19.2" customHeight="1" x14ac:dyDescent="0.3">
      <c r="A59" t="s">
        <v>565</v>
      </c>
      <c r="B59" t="s">
        <v>566</v>
      </c>
      <c r="C59" t="s">
        <v>567</v>
      </c>
      <c r="D59" t="s">
        <v>568</v>
      </c>
      <c r="E59" t="s">
        <v>569</v>
      </c>
      <c r="F59">
        <v>2012</v>
      </c>
      <c r="G59">
        <f>IF(OR(Mentors[[#This Row],[Career Start Year]]="NA",ISBLANK(Mentors[[#This Row],[Career Start Year]])),"",2026 - Mentors[[#This Row],[Career Start Year]])</f>
        <v>14</v>
      </c>
      <c r="H5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9" t="s">
        <v>51</v>
      </c>
      <c r="J59" t="s">
        <v>570</v>
      </c>
      <c r="K59" t="s">
        <v>571</v>
      </c>
      <c r="L59" s="17">
        <v>7837733849</v>
      </c>
      <c r="M59" s="19">
        <v>45658</v>
      </c>
      <c r="O59" t="s">
        <v>0</v>
      </c>
      <c r="Q59" t="s">
        <v>54</v>
      </c>
      <c r="R59" t="s">
        <v>54</v>
      </c>
      <c r="S59" t="s">
        <v>54</v>
      </c>
      <c r="T59" t="s">
        <v>76</v>
      </c>
      <c r="U59" t="s">
        <v>166</v>
      </c>
      <c r="V59" t="s">
        <v>78</v>
      </c>
      <c r="W59" t="s">
        <v>79</v>
      </c>
      <c r="Z59" t="s">
        <v>61</v>
      </c>
      <c r="AA59" t="s">
        <v>62</v>
      </c>
      <c r="AB59">
        <v>1</v>
      </c>
      <c r="AD59" t="s">
        <v>63</v>
      </c>
      <c r="AE59" t="s">
        <v>63</v>
      </c>
      <c r="AG59" t="s">
        <v>54</v>
      </c>
      <c r="AH59" t="s">
        <v>152</v>
      </c>
      <c r="AI59" t="s">
        <v>66</v>
      </c>
      <c r="AJ59" t="s">
        <v>54</v>
      </c>
      <c r="AK59" t="s">
        <v>572</v>
      </c>
      <c r="AL59" t="s">
        <v>573</v>
      </c>
      <c r="AN59" s="19">
        <f>IF(ISBLANK(Mentors[[#This Row],[Onboarded Date]]),"",Mentors[[#This Row],[Onboarded Date]]-WEEKDAY(Mentors[[#This Row],[Onboarded Date]],2)+1)</f>
        <v>45656</v>
      </c>
    </row>
    <row r="60" spans="1:40" ht="19.2" customHeight="1" x14ac:dyDescent="0.3">
      <c r="A60" t="s">
        <v>574</v>
      </c>
      <c r="B60" t="s">
        <v>575</v>
      </c>
      <c r="C60" t="s">
        <v>576</v>
      </c>
      <c r="D60" t="s">
        <v>577</v>
      </c>
      <c r="E60" s="7" t="s">
        <v>578</v>
      </c>
      <c r="F60">
        <v>1987</v>
      </c>
      <c r="G60">
        <f>IF(OR(Mentors[[#This Row],[Career Start Year]]="NA",ISBLANK(Mentors[[#This Row],[Career Start Year]])),"",2026 - Mentors[[#This Row],[Career Start Year]])</f>
        <v>39</v>
      </c>
      <c r="H6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0" t="s">
        <v>51</v>
      </c>
      <c r="J60" t="s">
        <v>314</v>
      </c>
      <c r="K60" t="s">
        <v>579</v>
      </c>
      <c r="L60" s="17" t="s">
        <v>580</v>
      </c>
      <c r="M60" s="19">
        <v>45658</v>
      </c>
      <c r="O60" t="s">
        <v>0</v>
      </c>
      <c r="Q60" t="s">
        <v>54</v>
      </c>
      <c r="R60" t="s">
        <v>63</v>
      </c>
      <c r="S60" t="s">
        <v>63</v>
      </c>
      <c r="T60" t="s">
        <v>166</v>
      </c>
      <c r="U60" t="s">
        <v>79</v>
      </c>
      <c r="V60" t="s">
        <v>57</v>
      </c>
      <c r="W60" t="s">
        <v>79</v>
      </c>
      <c r="X60" t="s">
        <v>80</v>
      </c>
      <c r="Y60" t="s">
        <v>59</v>
      </c>
      <c r="Z60" t="s">
        <v>61</v>
      </c>
      <c r="AA60" t="s">
        <v>62</v>
      </c>
      <c r="AB60">
        <v>1</v>
      </c>
      <c r="AD60" t="s">
        <v>63</v>
      </c>
      <c r="AE60" t="s">
        <v>63</v>
      </c>
      <c r="AG60" t="s">
        <v>54</v>
      </c>
      <c r="AH60" t="s">
        <v>152</v>
      </c>
      <c r="AI60" t="s">
        <v>66</v>
      </c>
      <c r="AJ60" t="s">
        <v>54</v>
      </c>
      <c r="AK60" t="s">
        <v>581</v>
      </c>
      <c r="AL60" t="s">
        <v>582</v>
      </c>
      <c r="AN60" s="19">
        <f>IF(ISBLANK(Mentors[[#This Row],[Onboarded Date]]),"",Mentors[[#This Row],[Onboarded Date]]-WEEKDAY(Mentors[[#This Row],[Onboarded Date]],2)+1)</f>
        <v>45656</v>
      </c>
    </row>
    <row r="61" spans="1:40" ht="19.2" customHeight="1" x14ac:dyDescent="0.3">
      <c r="A61" t="s">
        <v>583</v>
      </c>
      <c r="B61" t="s">
        <v>584</v>
      </c>
      <c r="C61" t="s">
        <v>115</v>
      </c>
      <c r="D61" s="4" t="s">
        <v>585</v>
      </c>
      <c r="E61" s="7" t="s">
        <v>586</v>
      </c>
      <c r="F61">
        <v>1998</v>
      </c>
      <c r="G61">
        <f>IF(OR(Mentors[[#This Row],[Career Start Year]]="NA",ISBLANK(Mentors[[#This Row],[Career Start Year]])),"",2026 - Mentors[[#This Row],[Career Start Year]])</f>
        <v>28</v>
      </c>
      <c r="H6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1" t="s">
        <v>51</v>
      </c>
      <c r="J61" t="s">
        <v>314</v>
      </c>
      <c r="K61" t="s">
        <v>587</v>
      </c>
      <c r="L61" s="17" t="s">
        <v>588</v>
      </c>
      <c r="M61" s="19">
        <v>45658</v>
      </c>
      <c r="N61" t="s">
        <v>2</v>
      </c>
      <c r="O61" t="s">
        <v>0</v>
      </c>
      <c r="Q61" t="s">
        <v>54</v>
      </c>
      <c r="R61" t="s">
        <v>54</v>
      </c>
      <c r="S61" t="s">
        <v>54</v>
      </c>
      <c r="T61" t="s">
        <v>55</v>
      </c>
      <c r="U61" t="s">
        <v>65</v>
      </c>
      <c r="V61" t="s">
        <v>256</v>
      </c>
      <c r="W61" t="s">
        <v>79</v>
      </c>
      <c r="X61" t="s">
        <v>59</v>
      </c>
      <c r="Z61" t="s">
        <v>81</v>
      </c>
      <c r="AA61" t="s">
        <v>62</v>
      </c>
      <c r="AB61">
        <v>1</v>
      </c>
      <c r="AD61" t="s">
        <v>54</v>
      </c>
      <c r="AE61" t="s">
        <v>54</v>
      </c>
      <c r="AF61" t="s">
        <v>121</v>
      </c>
      <c r="AG61" t="s">
        <v>54</v>
      </c>
      <c r="AH61" t="s">
        <v>65</v>
      </c>
      <c r="AI61" t="s">
        <v>66</v>
      </c>
      <c r="AJ61" t="s">
        <v>54</v>
      </c>
      <c r="AK61" t="s">
        <v>589</v>
      </c>
      <c r="AL61" t="s">
        <v>590</v>
      </c>
      <c r="AN61" s="19">
        <f>IF(ISBLANK(Mentors[[#This Row],[Onboarded Date]]),"",Mentors[[#This Row],[Onboarded Date]]-WEEKDAY(Mentors[[#This Row],[Onboarded Date]],2)+1)</f>
        <v>45656</v>
      </c>
    </row>
    <row r="62" spans="1:40" ht="19.2" customHeight="1" x14ac:dyDescent="0.3">
      <c r="A62" t="s">
        <v>591</v>
      </c>
      <c r="B62" t="s">
        <v>592</v>
      </c>
      <c r="C62" t="s">
        <v>593</v>
      </c>
      <c r="D62" t="s">
        <v>594</v>
      </c>
      <c r="E62" t="s">
        <v>595</v>
      </c>
      <c r="F62">
        <v>2005</v>
      </c>
      <c r="G62">
        <f>IF(OR(Mentors[[#This Row],[Career Start Year]]="NA",ISBLANK(Mentors[[#This Row],[Career Start Year]])),"",2026 - Mentors[[#This Row],[Career Start Year]])</f>
        <v>21</v>
      </c>
      <c r="H6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2" t="s">
        <v>51</v>
      </c>
      <c r="J62" t="s">
        <v>52</v>
      </c>
      <c r="K62" t="s">
        <v>596</v>
      </c>
      <c r="L62" s="17">
        <v>9371519892</v>
      </c>
      <c r="M62" s="19">
        <v>45658</v>
      </c>
      <c r="N62" t="s">
        <v>2</v>
      </c>
      <c r="O62" t="s">
        <v>0</v>
      </c>
      <c r="Q62" t="s">
        <v>54</v>
      </c>
      <c r="R62" t="s">
        <v>54</v>
      </c>
      <c r="S62" t="s">
        <v>63</v>
      </c>
      <c r="T62" t="s">
        <v>55</v>
      </c>
      <c r="U62" t="s">
        <v>77</v>
      </c>
      <c r="V62" t="s">
        <v>57</v>
      </c>
      <c r="W62" t="s">
        <v>79</v>
      </c>
      <c r="Z62" t="s">
        <v>61</v>
      </c>
      <c r="AA62" t="s">
        <v>62</v>
      </c>
      <c r="AB62">
        <v>1</v>
      </c>
      <c r="AD62" t="s">
        <v>63</v>
      </c>
      <c r="AE62" t="s">
        <v>54</v>
      </c>
      <c r="AG62" t="s">
        <v>54</v>
      </c>
      <c r="AH62" t="s">
        <v>65</v>
      </c>
      <c r="AI62" t="s">
        <v>66</v>
      </c>
      <c r="AJ62" t="s">
        <v>54</v>
      </c>
      <c r="AK62" t="s">
        <v>597</v>
      </c>
      <c r="AL62" t="s">
        <v>598</v>
      </c>
      <c r="AN62" s="19">
        <f>IF(ISBLANK(Mentors[[#This Row],[Onboarded Date]]),"",Mentors[[#This Row],[Onboarded Date]]-WEEKDAY(Mentors[[#This Row],[Onboarded Date]],2)+1)</f>
        <v>45656</v>
      </c>
    </row>
    <row r="63" spans="1:40" ht="19.2" customHeight="1" x14ac:dyDescent="0.3">
      <c r="A63" t="s">
        <v>599</v>
      </c>
      <c r="B63" t="s">
        <v>600</v>
      </c>
      <c r="C63" t="s">
        <v>601</v>
      </c>
      <c r="D63" t="s">
        <v>602</v>
      </c>
      <c r="E63" t="s">
        <v>603</v>
      </c>
      <c r="F63">
        <v>2000</v>
      </c>
      <c r="G63">
        <f>IF(OR(Mentors[[#This Row],[Career Start Year]]="NA",ISBLANK(Mentors[[#This Row],[Career Start Year]])),"",2026 - Mentors[[#This Row],[Career Start Year]])</f>
        <v>26</v>
      </c>
      <c r="H6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3" t="s">
        <v>51</v>
      </c>
      <c r="J63" t="s">
        <v>196</v>
      </c>
      <c r="K63" s="7" t="s">
        <v>604</v>
      </c>
      <c r="L63" s="17">
        <v>9741000275</v>
      </c>
      <c r="M63" s="19">
        <v>45658</v>
      </c>
      <c r="O63" t="s">
        <v>0</v>
      </c>
      <c r="Q63" t="s">
        <v>54</v>
      </c>
      <c r="R63" t="s">
        <v>54</v>
      </c>
      <c r="S63" t="s">
        <v>54</v>
      </c>
      <c r="T63" t="s">
        <v>76</v>
      </c>
      <c r="U63" t="s">
        <v>77</v>
      </c>
      <c r="V63" t="s">
        <v>78</v>
      </c>
      <c r="W63" t="s">
        <v>79</v>
      </c>
      <c r="X63" t="s">
        <v>59</v>
      </c>
      <c r="Z63" t="s">
        <v>61</v>
      </c>
      <c r="AA63" t="s">
        <v>62</v>
      </c>
      <c r="AB63">
        <v>1</v>
      </c>
      <c r="AD63" t="s">
        <v>63</v>
      </c>
      <c r="AE63" t="s">
        <v>54</v>
      </c>
      <c r="AG63" t="s">
        <v>54</v>
      </c>
      <c r="AH63" t="s">
        <v>131</v>
      </c>
      <c r="AI63" t="s">
        <v>132</v>
      </c>
      <c r="AJ63" t="s">
        <v>54</v>
      </c>
      <c r="AK63" t="s">
        <v>605</v>
      </c>
      <c r="AL63" t="s">
        <v>606</v>
      </c>
      <c r="AN63" s="19">
        <f>IF(ISBLANK(Mentors[[#This Row],[Onboarded Date]]),"",Mentors[[#This Row],[Onboarded Date]]-WEEKDAY(Mentors[[#This Row],[Onboarded Date]],2)+1)</f>
        <v>45656</v>
      </c>
    </row>
    <row r="64" spans="1:40" ht="19.2" customHeight="1" x14ac:dyDescent="0.3">
      <c r="A64" t="s">
        <v>607</v>
      </c>
      <c r="B64" t="s">
        <v>608</v>
      </c>
      <c r="C64" t="s">
        <v>609</v>
      </c>
      <c r="D64" t="s">
        <v>610</v>
      </c>
      <c r="E64" t="s">
        <v>611</v>
      </c>
      <c r="F64">
        <v>2005</v>
      </c>
      <c r="G64">
        <f>IF(OR(Mentors[[#This Row],[Career Start Year]]="NA",ISBLANK(Mentors[[#This Row],[Career Start Year]])),"",2026 - Mentors[[#This Row],[Career Start Year]])</f>
        <v>21</v>
      </c>
      <c r="H6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4" t="s">
        <v>51</v>
      </c>
      <c r="J64" t="s">
        <v>570</v>
      </c>
      <c r="K64" t="s">
        <v>612</v>
      </c>
      <c r="L64" s="17">
        <v>9322083905</v>
      </c>
      <c r="M64" s="19">
        <v>45658</v>
      </c>
      <c r="N64" t="s">
        <v>2</v>
      </c>
      <c r="O64" t="s">
        <v>0</v>
      </c>
      <c r="Q64" t="s">
        <v>54</v>
      </c>
      <c r="R64" t="s">
        <v>54</v>
      </c>
      <c r="S64" t="s">
        <v>54</v>
      </c>
      <c r="T64" t="s">
        <v>55</v>
      </c>
      <c r="U64" t="s">
        <v>77</v>
      </c>
      <c r="V64" s="4" t="s">
        <v>613</v>
      </c>
      <c r="W64" t="s">
        <v>79</v>
      </c>
      <c r="Z64" t="s">
        <v>61</v>
      </c>
      <c r="AA64" t="s">
        <v>62</v>
      </c>
      <c r="AB64">
        <v>1</v>
      </c>
      <c r="AD64" t="s">
        <v>63</v>
      </c>
      <c r="AE64" t="s">
        <v>54</v>
      </c>
      <c r="AG64" t="s">
        <v>54</v>
      </c>
      <c r="AH64" t="s">
        <v>65</v>
      </c>
      <c r="AI64" t="s">
        <v>66</v>
      </c>
      <c r="AJ64" t="s">
        <v>54</v>
      </c>
      <c r="AK64" t="s">
        <v>614</v>
      </c>
      <c r="AL64" t="s">
        <v>615</v>
      </c>
      <c r="AN64" s="19">
        <f>IF(ISBLANK(Mentors[[#This Row],[Onboarded Date]]),"",Mentors[[#This Row],[Onboarded Date]]-WEEKDAY(Mentors[[#This Row],[Onboarded Date]],2)+1)</f>
        <v>45656</v>
      </c>
    </row>
    <row r="65" spans="1:40" ht="19.2" customHeight="1" x14ac:dyDescent="0.3">
      <c r="A65" t="s">
        <v>616</v>
      </c>
      <c r="B65" t="s">
        <v>260</v>
      </c>
      <c r="C65" t="s">
        <v>617</v>
      </c>
      <c r="D65" t="s">
        <v>618</v>
      </c>
      <c r="E65" t="s">
        <v>619</v>
      </c>
      <c r="F65">
        <v>2000</v>
      </c>
      <c r="G65">
        <f>IF(OR(Mentors[[#This Row],[Career Start Year]]="NA",ISBLANK(Mentors[[#This Row],[Career Start Year]])),"",2026 - Mentors[[#This Row],[Career Start Year]])</f>
        <v>26</v>
      </c>
      <c r="H6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5" t="s">
        <v>51</v>
      </c>
      <c r="J65" t="s">
        <v>74</v>
      </c>
      <c r="K65" t="s">
        <v>620</v>
      </c>
      <c r="L65" s="17">
        <v>9313371480</v>
      </c>
      <c r="M65" s="19">
        <v>45658</v>
      </c>
      <c r="O65" t="s">
        <v>0</v>
      </c>
      <c r="Q65" t="s">
        <v>54</v>
      </c>
      <c r="R65" t="s">
        <v>54</v>
      </c>
      <c r="S65" t="s">
        <v>54</v>
      </c>
      <c r="T65" t="s">
        <v>56</v>
      </c>
      <c r="U65" t="s">
        <v>65</v>
      </c>
      <c r="V65" t="s">
        <v>78</v>
      </c>
      <c r="W65" t="s">
        <v>79</v>
      </c>
      <c r="Z65" t="s">
        <v>61</v>
      </c>
      <c r="AA65" t="s">
        <v>62</v>
      </c>
      <c r="AB65">
        <v>1</v>
      </c>
      <c r="AD65" t="s">
        <v>63</v>
      </c>
      <c r="AE65" t="s">
        <v>63</v>
      </c>
      <c r="AG65" t="s">
        <v>54</v>
      </c>
      <c r="AH65" t="s">
        <v>152</v>
      </c>
      <c r="AI65" t="s">
        <v>132</v>
      </c>
      <c r="AJ65" t="s">
        <v>54</v>
      </c>
      <c r="AK65" t="s">
        <v>621</v>
      </c>
      <c r="AL65" t="s">
        <v>622</v>
      </c>
      <c r="AN65" s="19">
        <f>IF(ISBLANK(Mentors[[#This Row],[Onboarded Date]]),"",Mentors[[#This Row],[Onboarded Date]]-WEEKDAY(Mentors[[#This Row],[Onboarded Date]],2)+1)</f>
        <v>45656</v>
      </c>
    </row>
    <row r="66" spans="1:40" ht="19.2" customHeight="1" x14ac:dyDescent="0.3">
      <c r="A66" t="s">
        <v>623</v>
      </c>
      <c r="B66" t="s">
        <v>624</v>
      </c>
      <c r="C66" t="s">
        <v>625</v>
      </c>
      <c r="D66" t="s">
        <v>626</v>
      </c>
      <c r="E66" t="s">
        <v>627</v>
      </c>
      <c r="F66">
        <v>2017</v>
      </c>
      <c r="G66">
        <f>IF(OR(Mentors[[#This Row],[Career Start Year]]="NA",ISBLANK(Mentors[[#This Row],[Career Start Year]])),"",2026 - Mentors[[#This Row],[Career Start Year]])</f>
        <v>9</v>
      </c>
      <c r="H6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66" t="s">
        <v>51</v>
      </c>
      <c r="J66" t="s">
        <v>280</v>
      </c>
      <c r="K66" t="s">
        <v>628</v>
      </c>
      <c r="L66" s="17">
        <v>7383854283</v>
      </c>
      <c r="M66" s="19">
        <v>45658</v>
      </c>
      <c r="O66" t="s">
        <v>0</v>
      </c>
      <c r="Q66" t="s">
        <v>54</v>
      </c>
      <c r="R66" t="s">
        <v>63</v>
      </c>
      <c r="S66" t="s">
        <v>63</v>
      </c>
      <c r="T66" t="s">
        <v>77</v>
      </c>
      <c r="U66" t="s">
        <v>79</v>
      </c>
      <c r="V66" t="s">
        <v>78</v>
      </c>
      <c r="W66" t="s">
        <v>79</v>
      </c>
      <c r="X66" t="s">
        <v>59</v>
      </c>
      <c r="Z66" t="s">
        <v>61</v>
      </c>
      <c r="AA66" t="s">
        <v>62</v>
      </c>
      <c r="AB66">
        <v>1</v>
      </c>
      <c r="AD66" t="s">
        <v>54</v>
      </c>
      <c r="AE66" t="s">
        <v>54</v>
      </c>
      <c r="AG66" t="s">
        <v>63</v>
      </c>
      <c r="AH66" t="s">
        <v>65</v>
      </c>
      <c r="AI66" t="s">
        <v>248</v>
      </c>
      <c r="AJ66" t="s">
        <v>54</v>
      </c>
      <c r="AK66" t="s">
        <v>629</v>
      </c>
      <c r="AL66" t="s">
        <v>630</v>
      </c>
      <c r="AN66" s="19">
        <f>IF(ISBLANK(Mentors[[#This Row],[Onboarded Date]]),"",Mentors[[#This Row],[Onboarded Date]]-WEEKDAY(Mentors[[#This Row],[Onboarded Date]],2)+1)</f>
        <v>45656</v>
      </c>
    </row>
    <row r="67" spans="1:40" ht="19.2" customHeight="1" x14ac:dyDescent="0.3">
      <c r="A67" t="s">
        <v>631</v>
      </c>
      <c r="B67" t="s">
        <v>632</v>
      </c>
      <c r="C67" t="s">
        <v>633</v>
      </c>
      <c r="D67" t="s">
        <v>634</v>
      </c>
      <c r="E67" t="s">
        <v>635</v>
      </c>
      <c r="F67">
        <v>1999</v>
      </c>
      <c r="G67">
        <f>IF(OR(Mentors[[#This Row],[Career Start Year]]="NA",ISBLANK(Mentors[[#This Row],[Career Start Year]])),"",2026 - Mentors[[#This Row],[Career Start Year]])</f>
        <v>27</v>
      </c>
      <c r="H6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7" t="s">
        <v>51</v>
      </c>
      <c r="J67" t="s">
        <v>280</v>
      </c>
      <c r="K67" t="s">
        <v>636</v>
      </c>
      <c r="L67" s="17">
        <v>9825057375</v>
      </c>
      <c r="M67" s="19">
        <v>45658</v>
      </c>
      <c r="O67" t="s">
        <v>0</v>
      </c>
      <c r="Q67" t="s">
        <v>63</v>
      </c>
      <c r="R67" t="s">
        <v>54</v>
      </c>
      <c r="S67" t="s">
        <v>63</v>
      </c>
      <c r="T67" t="s">
        <v>77</v>
      </c>
      <c r="U67" t="s">
        <v>65</v>
      </c>
      <c r="V67" t="s">
        <v>57</v>
      </c>
      <c r="W67" t="s">
        <v>79</v>
      </c>
      <c r="Z67" t="s">
        <v>61</v>
      </c>
      <c r="AA67" t="s">
        <v>62</v>
      </c>
      <c r="AB67">
        <v>1</v>
      </c>
      <c r="AD67" t="s">
        <v>63</v>
      </c>
      <c r="AE67" t="s">
        <v>54</v>
      </c>
      <c r="AG67" t="s">
        <v>54</v>
      </c>
      <c r="AH67" t="s">
        <v>131</v>
      </c>
      <c r="AI67" t="s">
        <v>66</v>
      </c>
      <c r="AJ67" t="s">
        <v>54</v>
      </c>
      <c r="AK67" t="s">
        <v>637</v>
      </c>
      <c r="AL67" t="s">
        <v>638</v>
      </c>
      <c r="AN67" s="19">
        <f>IF(ISBLANK(Mentors[[#This Row],[Onboarded Date]]),"",Mentors[[#This Row],[Onboarded Date]]-WEEKDAY(Mentors[[#This Row],[Onboarded Date]],2)+1)</f>
        <v>45656</v>
      </c>
    </row>
    <row r="68" spans="1:40" ht="19.2" customHeight="1" x14ac:dyDescent="0.3">
      <c r="A68" t="s">
        <v>639</v>
      </c>
      <c r="B68" t="s">
        <v>152</v>
      </c>
      <c r="C68" t="s">
        <v>640</v>
      </c>
      <c r="D68" t="s">
        <v>641</v>
      </c>
      <c r="E68" t="s">
        <v>642</v>
      </c>
      <c r="F68">
        <v>1998</v>
      </c>
      <c r="G68">
        <f>IF(OR(Mentors[[#This Row],[Career Start Year]]="NA",ISBLANK(Mentors[[#This Row],[Career Start Year]])),"",2026 - Mentors[[#This Row],[Career Start Year]])</f>
        <v>28</v>
      </c>
      <c r="H6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8" t="s">
        <v>51</v>
      </c>
      <c r="J68" t="s">
        <v>196</v>
      </c>
      <c r="K68" t="s">
        <v>643</v>
      </c>
      <c r="L68" s="17">
        <v>9666599913</v>
      </c>
      <c r="M68" s="19">
        <v>45658</v>
      </c>
      <c r="N68" t="s">
        <v>4</v>
      </c>
      <c r="O68" t="s">
        <v>0</v>
      </c>
      <c r="Q68" t="s">
        <v>54</v>
      </c>
      <c r="R68" t="s">
        <v>54</v>
      </c>
      <c r="S68" t="s">
        <v>63</v>
      </c>
      <c r="T68" t="s">
        <v>166</v>
      </c>
      <c r="U68" t="s">
        <v>77</v>
      </c>
      <c r="V68" t="s">
        <v>644</v>
      </c>
      <c r="W68" t="s">
        <v>79</v>
      </c>
      <c r="Z68" t="s">
        <v>61</v>
      </c>
      <c r="AA68" t="s">
        <v>62</v>
      </c>
      <c r="AB68">
        <v>1</v>
      </c>
      <c r="AD68" t="s">
        <v>63</v>
      </c>
      <c r="AE68" t="s">
        <v>63</v>
      </c>
      <c r="AG68" t="s">
        <v>54</v>
      </c>
      <c r="AH68" t="s">
        <v>152</v>
      </c>
      <c r="AI68" t="s">
        <v>66</v>
      </c>
      <c r="AJ68" t="s">
        <v>54</v>
      </c>
      <c r="AK68" t="s">
        <v>645</v>
      </c>
      <c r="AL68" t="s">
        <v>646</v>
      </c>
      <c r="AN68" s="19">
        <f>IF(ISBLANK(Mentors[[#This Row],[Onboarded Date]]),"",Mentors[[#This Row],[Onboarded Date]]-WEEKDAY(Mentors[[#This Row],[Onboarded Date]],2)+1)</f>
        <v>45656</v>
      </c>
    </row>
    <row r="69" spans="1:40" ht="19.2" customHeight="1" x14ac:dyDescent="0.3">
      <c r="A69" t="s">
        <v>647</v>
      </c>
      <c r="B69" t="s">
        <v>648</v>
      </c>
      <c r="C69" t="s">
        <v>649</v>
      </c>
      <c r="D69" t="s">
        <v>650</v>
      </c>
      <c r="E69" t="s">
        <v>651</v>
      </c>
      <c r="F69">
        <v>1998</v>
      </c>
      <c r="G69">
        <f>IF(OR(Mentors[[#This Row],[Career Start Year]]="NA",ISBLANK(Mentors[[#This Row],[Career Start Year]])),"",2026 - Mentors[[#This Row],[Career Start Year]])</f>
        <v>28</v>
      </c>
      <c r="H6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9" t="s">
        <v>51</v>
      </c>
      <c r="J69" t="s">
        <v>196</v>
      </c>
      <c r="K69" t="s">
        <v>652</v>
      </c>
      <c r="L69" s="17">
        <v>9606699899</v>
      </c>
      <c r="M69" s="19">
        <v>45658</v>
      </c>
      <c r="N69" t="s">
        <v>2</v>
      </c>
      <c r="O69" t="s">
        <v>0</v>
      </c>
      <c r="Q69" t="s">
        <v>54</v>
      </c>
      <c r="R69" t="s">
        <v>54</v>
      </c>
      <c r="S69" t="s">
        <v>54</v>
      </c>
      <c r="T69" t="s">
        <v>55</v>
      </c>
      <c r="U69" t="s">
        <v>79</v>
      </c>
      <c r="V69" t="s">
        <v>306</v>
      </c>
      <c r="W69" t="s">
        <v>79</v>
      </c>
      <c r="X69" t="s">
        <v>59</v>
      </c>
      <c r="Z69" t="s">
        <v>81</v>
      </c>
      <c r="AA69" t="s">
        <v>62</v>
      </c>
      <c r="AB69">
        <v>1</v>
      </c>
      <c r="AD69" t="s">
        <v>63</v>
      </c>
      <c r="AE69" t="s">
        <v>54</v>
      </c>
      <c r="AG69" t="s">
        <v>54</v>
      </c>
      <c r="AH69" t="s">
        <v>65</v>
      </c>
      <c r="AI69" t="s">
        <v>66</v>
      </c>
      <c r="AJ69" t="s">
        <v>54</v>
      </c>
      <c r="AK69" t="s">
        <v>653</v>
      </c>
      <c r="AL69" t="s">
        <v>654</v>
      </c>
      <c r="AN69" s="19">
        <f>IF(ISBLANK(Mentors[[#This Row],[Onboarded Date]]),"",Mentors[[#This Row],[Onboarded Date]]-WEEKDAY(Mentors[[#This Row],[Onboarded Date]],2)+1)</f>
        <v>45656</v>
      </c>
    </row>
    <row r="70" spans="1:40" ht="19.2" customHeight="1" x14ac:dyDescent="0.3">
      <c r="A70" t="s">
        <v>655</v>
      </c>
      <c r="B70" t="s">
        <v>656</v>
      </c>
      <c r="C70" t="s">
        <v>657</v>
      </c>
      <c r="D70" t="s">
        <v>658</v>
      </c>
      <c r="E70" s="7" t="s">
        <v>659</v>
      </c>
      <c r="F70">
        <v>2005</v>
      </c>
      <c r="G70">
        <f>IF(OR(Mentors[[#This Row],[Career Start Year]]="NA",ISBLANK(Mentors[[#This Row],[Career Start Year]])),"",2026 - Mentors[[#This Row],[Career Start Year]])</f>
        <v>21</v>
      </c>
      <c r="H7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70" t="s">
        <v>51</v>
      </c>
      <c r="J70" t="s">
        <v>196</v>
      </c>
      <c r="K70" t="s">
        <v>660</v>
      </c>
      <c r="L70" s="17">
        <v>9971055088</v>
      </c>
      <c r="M70" s="19">
        <v>45658</v>
      </c>
      <c r="O70" s="5" t="s">
        <v>0</v>
      </c>
      <c r="Q70" t="s">
        <v>54</v>
      </c>
      <c r="R70" t="s">
        <v>63</v>
      </c>
      <c r="S70" t="s">
        <v>54</v>
      </c>
      <c r="T70" t="s">
        <v>56</v>
      </c>
      <c r="U70" t="s">
        <v>100</v>
      </c>
      <c r="V70" t="s">
        <v>57</v>
      </c>
      <c r="W70" t="s">
        <v>79</v>
      </c>
      <c r="X70" t="s">
        <v>80</v>
      </c>
      <c r="Y70" t="s">
        <v>59</v>
      </c>
      <c r="Z70" t="s">
        <v>81</v>
      </c>
      <c r="AA70" t="s">
        <v>62</v>
      </c>
      <c r="AB70">
        <v>1</v>
      </c>
      <c r="AD70" t="s">
        <v>54</v>
      </c>
      <c r="AE70" t="s">
        <v>54</v>
      </c>
      <c r="AF70" t="s">
        <v>64</v>
      </c>
      <c r="AG70" t="s">
        <v>54</v>
      </c>
      <c r="AH70" t="s">
        <v>131</v>
      </c>
      <c r="AI70" t="s">
        <v>66</v>
      </c>
      <c r="AJ70" t="s">
        <v>54</v>
      </c>
      <c r="AK70" t="s">
        <v>661</v>
      </c>
      <c r="AL70" t="s">
        <v>662</v>
      </c>
      <c r="AN70" s="19">
        <f>IF(ISBLANK(Mentors[[#This Row],[Onboarded Date]]),"",Mentors[[#This Row],[Onboarded Date]]-WEEKDAY(Mentors[[#This Row],[Onboarded Date]],2)+1)</f>
        <v>45656</v>
      </c>
    </row>
    <row r="71" spans="1:40" ht="19.2" customHeight="1" x14ac:dyDescent="0.3">
      <c r="A71" t="s">
        <v>663</v>
      </c>
      <c r="B71" t="s">
        <v>664</v>
      </c>
      <c r="C71" t="s">
        <v>665</v>
      </c>
      <c r="D71" t="s">
        <v>666</v>
      </c>
      <c r="E71" t="s">
        <v>667</v>
      </c>
      <c r="F71">
        <v>2009</v>
      </c>
      <c r="G71">
        <f>IF(OR(Mentors[[#This Row],[Career Start Year]]="NA",ISBLANK(Mentors[[#This Row],[Career Start Year]])),"",2026 - Mentors[[#This Row],[Career Start Year]])</f>
        <v>17</v>
      </c>
      <c r="H7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71" t="s">
        <v>51</v>
      </c>
      <c r="J71" t="s">
        <v>196</v>
      </c>
      <c r="K71" t="s">
        <v>668</v>
      </c>
      <c r="L71" s="17">
        <v>9886284513</v>
      </c>
      <c r="M71" s="19">
        <v>45658</v>
      </c>
      <c r="O71" s="5" t="s">
        <v>0</v>
      </c>
      <c r="Q71" t="s">
        <v>54</v>
      </c>
      <c r="R71" t="s">
        <v>63</v>
      </c>
      <c r="S71" t="s">
        <v>63</v>
      </c>
      <c r="T71" t="s">
        <v>77</v>
      </c>
      <c r="U71" t="s">
        <v>99</v>
      </c>
      <c r="V71" t="s">
        <v>120</v>
      </c>
      <c r="W71" t="s">
        <v>79</v>
      </c>
      <c r="X71" t="s">
        <v>59</v>
      </c>
      <c r="Z71" t="s">
        <v>101</v>
      </c>
      <c r="AA71" t="s">
        <v>62</v>
      </c>
      <c r="AB71">
        <v>1</v>
      </c>
      <c r="AD71" t="s">
        <v>54</v>
      </c>
      <c r="AE71" t="s">
        <v>54</v>
      </c>
      <c r="AF71" t="s">
        <v>64</v>
      </c>
      <c r="AG71" t="s">
        <v>54</v>
      </c>
      <c r="AH71" t="s">
        <v>215</v>
      </c>
      <c r="AI71" t="s">
        <v>66</v>
      </c>
      <c r="AJ71" t="s">
        <v>54</v>
      </c>
      <c r="AK71" t="s">
        <v>669</v>
      </c>
      <c r="AL71" t="s">
        <v>670</v>
      </c>
      <c r="AN71" s="19">
        <f>IF(ISBLANK(Mentors[[#This Row],[Onboarded Date]]),"",Mentors[[#This Row],[Onboarded Date]]-WEEKDAY(Mentors[[#This Row],[Onboarded Date]],2)+1)</f>
        <v>45656</v>
      </c>
    </row>
    <row r="72" spans="1:40" ht="19.2" customHeight="1" x14ac:dyDescent="0.3">
      <c r="A72" t="s">
        <v>671</v>
      </c>
      <c r="B72" t="s">
        <v>672</v>
      </c>
      <c r="C72" t="s">
        <v>673</v>
      </c>
      <c r="D72" t="s">
        <v>674</v>
      </c>
      <c r="E72" t="s">
        <v>675</v>
      </c>
      <c r="F72">
        <v>2007</v>
      </c>
      <c r="G72">
        <f>IF(OR(Mentors[[#This Row],[Career Start Year]]="NA",ISBLANK(Mentors[[#This Row],[Career Start Year]])),"",2026 - Mentors[[#This Row],[Career Start Year]])</f>
        <v>19</v>
      </c>
      <c r="H7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72" t="s">
        <v>51</v>
      </c>
      <c r="J72" t="s">
        <v>118</v>
      </c>
      <c r="K72" t="s">
        <v>676</v>
      </c>
      <c r="L72" s="17">
        <v>9967590592</v>
      </c>
      <c r="M72" s="19">
        <v>45658</v>
      </c>
      <c r="O72" s="5" t="s">
        <v>0</v>
      </c>
      <c r="Q72" t="s">
        <v>54</v>
      </c>
      <c r="R72" t="s">
        <v>54</v>
      </c>
      <c r="S72" t="s">
        <v>54</v>
      </c>
      <c r="T72" t="s">
        <v>187</v>
      </c>
      <c r="U72" t="s">
        <v>445</v>
      </c>
      <c r="V72" t="s">
        <v>78</v>
      </c>
      <c r="W72" t="s">
        <v>79</v>
      </c>
      <c r="X72" t="s">
        <v>59</v>
      </c>
      <c r="Z72" t="s">
        <v>81</v>
      </c>
      <c r="AA72" t="s">
        <v>62</v>
      </c>
      <c r="AB72">
        <v>1</v>
      </c>
      <c r="AD72" t="s">
        <v>54</v>
      </c>
      <c r="AE72" t="s">
        <v>54</v>
      </c>
      <c r="AF72" t="s">
        <v>64</v>
      </c>
      <c r="AG72" t="s">
        <v>54</v>
      </c>
      <c r="AH72" t="s">
        <v>131</v>
      </c>
      <c r="AI72" t="s">
        <v>132</v>
      </c>
      <c r="AJ72" t="s">
        <v>54</v>
      </c>
      <c r="AK72" t="s">
        <v>677</v>
      </c>
      <c r="AL72" t="s">
        <v>678</v>
      </c>
      <c r="AN72" s="19">
        <f>IF(ISBLANK(Mentors[[#This Row],[Onboarded Date]]),"",Mentors[[#This Row],[Onboarded Date]]-WEEKDAY(Mentors[[#This Row],[Onboarded Date]],2)+1)</f>
        <v>45656</v>
      </c>
    </row>
    <row r="73" spans="1:40" ht="19.2" customHeight="1" x14ac:dyDescent="0.3">
      <c r="A73" t="s">
        <v>679</v>
      </c>
      <c r="B73" t="s">
        <v>680</v>
      </c>
      <c r="C73" t="s">
        <v>681</v>
      </c>
      <c r="D73" t="s">
        <v>682</v>
      </c>
      <c r="E73" t="s">
        <v>683</v>
      </c>
      <c r="F73">
        <v>1997</v>
      </c>
      <c r="G73">
        <f>IF(OR(Mentors[[#This Row],[Career Start Year]]="NA",ISBLANK(Mentors[[#This Row],[Career Start Year]])),"",2026 - Mentors[[#This Row],[Career Start Year]])</f>
        <v>29</v>
      </c>
      <c r="H7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73" t="s">
        <v>51</v>
      </c>
      <c r="J73" t="s">
        <v>684</v>
      </c>
      <c r="K73" t="s">
        <v>685</v>
      </c>
      <c r="L73" s="17">
        <v>8056723791</v>
      </c>
      <c r="M73" s="19">
        <v>45658</v>
      </c>
      <c r="O73" s="5" t="s">
        <v>0</v>
      </c>
      <c r="Q73" t="s">
        <v>63</v>
      </c>
      <c r="R73" t="s">
        <v>63</v>
      </c>
      <c r="S73" t="s">
        <v>63</v>
      </c>
      <c r="T73" t="s">
        <v>99</v>
      </c>
      <c r="U73" t="s">
        <v>100</v>
      </c>
      <c r="V73" t="s">
        <v>78</v>
      </c>
      <c r="W73" t="s">
        <v>79</v>
      </c>
      <c r="Z73" t="s">
        <v>101</v>
      </c>
      <c r="AA73" t="s">
        <v>62</v>
      </c>
      <c r="AB73">
        <v>1</v>
      </c>
      <c r="AD73" t="s">
        <v>54</v>
      </c>
      <c r="AE73" t="s">
        <v>63</v>
      </c>
      <c r="AF73" t="s">
        <v>64</v>
      </c>
      <c r="AG73" t="s">
        <v>54</v>
      </c>
      <c r="AH73" t="s">
        <v>152</v>
      </c>
      <c r="AI73" t="s">
        <v>248</v>
      </c>
      <c r="AJ73" t="s">
        <v>54</v>
      </c>
      <c r="AK73" t="s">
        <v>686</v>
      </c>
      <c r="AL73" t="s">
        <v>687</v>
      </c>
      <c r="AN73" s="19">
        <f>IF(ISBLANK(Mentors[[#This Row],[Onboarded Date]]),"",Mentors[[#This Row],[Onboarded Date]]-WEEKDAY(Mentors[[#This Row],[Onboarded Date]],2)+1)</f>
        <v>45656</v>
      </c>
    </row>
    <row r="74" spans="1:40" ht="19.2" customHeight="1" x14ac:dyDescent="0.3">
      <c r="A74" t="s">
        <v>688</v>
      </c>
      <c r="B74" t="s">
        <v>680</v>
      </c>
      <c r="C74" t="s">
        <v>689</v>
      </c>
      <c r="D74" t="s">
        <v>690</v>
      </c>
      <c r="E74" t="s">
        <v>691</v>
      </c>
      <c r="F74">
        <v>2010</v>
      </c>
      <c r="G74">
        <f>IF(OR(Mentors[[#This Row],[Career Start Year]]="NA",ISBLANK(Mentors[[#This Row],[Career Start Year]])),"",2026 - Mentors[[#This Row],[Career Start Year]])</f>
        <v>16</v>
      </c>
      <c r="H7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74" t="s">
        <v>51</v>
      </c>
      <c r="J74" t="s">
        <v>692</v>
      </c>
      <c r="K74" t="s">
        <v>693</v>
      </c>
      <c r="L74" s="17">
        <v>9745765777</v>
      </c>
      <c r="M74" s="19">
        <v>45658</v>
      </c>
      <c r="O74" s="5" t="s">
        <v>0</v>
      </c>
      <c r="Q74" t="s">
        <v>63</v>
      </c>
      <c r="R74" t="s">
        <v>63</v>
      </c>
      <c r="S74" t="s">
        <v>63</v>
      </c>
      <c r="T74" t="s">
        <v>265</v>
      </c>
      <c r="U74" t="s">
        <v>187</v>
      </c>
      <c r="V74" t="s">
        <v>78</v>
      </c>
      <c r="W74" t="s">
        <v>79</v>
      </c>
      <c r="Z74" t="s">
        <v>101</v>
      </c>
      <c r="AA74" t="s">
        <v>62</v>
      </c>
      <c r="AB74">
        <v>1</v>
      </c>
      <c r="AD74" t="s">
        <v>54</v>
      </c>
      <c r="AE74" t="s">
        <v>54</v>
      </c>
      <c r="AF74" t="s">
        <v>64</v>
      </c>
      <c r="AG74" t="s">
        <v>54</v>
      </c>
      <c r="AH74" t="s">
        <v>152</v>
      </c>
      <c r="AI74" t="s">
        <v>132</v>
      </c>
      <c r="AJ74" t="s">
        <v>54</v>
      </c>
      <c r="AK74" t="s">
        <v>694</v>
      </c>
      <c r="AL74" t="s">
        <v>695</v>
      </c>
      <c r="AN74" s="19">
        <f>IF(ISBLANK(Mentors[[#This Row],[Onboarded Date]]),"",Mentors[[#This Row],[Onboarded Date]]-WEEKDAY(Mentors[[#This Row],[Onboarded Date]],2)+1)</f>
        <v>45656</v>
      </c>
    </row>
    <row r="75" spans="1:40" ht="19.2" customHeight="1" x14ac:dyDescent="0.3">
      <c r="A75" t="s">
        <v>696</v>
      </c>
      <c r="B75" t="s">
        <v>152</v>
      </c>
      <c r="C75" t="s">
        <v>697</v>
      </c>
      <c r="D75" t="s">
        <v>698</v>
      </c>
      <c r="E75" t="s">
        <v>699</v>
      </c>
      <c r="F75">
        <v>2004</v>
      </c>
      <c r="G75">
        <f>IF(OR(Mentors[[#This Row],[Career Start Year]]="NA",ISBLANK(Mentors[[#This Row],[Career Start Year]])),"",2026 - Mentors[[#This Row],[Career Start Year]])</f>
        <v>22</v>
      </c>
      <c r="H7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75" t="s">
        <v>51</v>
      </c>
      <c r="J75" t="s">
        <v>297</v>
      </c>
      <c r="K75" t="s">
        <v>700</v>
      </c>
      <c r="L75" s="17">
        <v>997948306</v>
      </c>
      <c r="M75" s="19">
        <v>45658</v>
      </c>
      <c r="O75" s="5" t="s">
        <v>0</v>
      </c>
      <c r="Q75" t="s">
        <v>54</v>
      </c>
      <c r="R75" t="s">
        <v>63</v>
      </c>
      <c r="S75" t="s">
        <v>63</v>
      </c>
      <c r="T75" t="s">
        <v>187</v>
      </c>
      <c r="U75" t="s">
        <v>445</v>
      </c>
      <c r="V75" t="s">
        <v>120</v>
      </c>
      <c r="W75" t="s">
        <v>79</v>
      </c>
      <c r="X75" t="s">
        <v>80</v>
      </c>
      <c r="Z75" t="s">
        <v>61</v>
      </c>
      <c r="AA75" t="s">
        <v>62</v>
      </c>
      <c r="AB75">
        <v>1</v>
      </c>
      <c r="AD75" t="s">
        <v>54</v>
      </c>
      <c r="AE75" t="s">
        <v>63</v>
      </c>
      <c r="AG75" t="s">
        <v>54</v>
      </c>
      <c r="AH75" t="s">
        <v>152</v>
      </c>
      <c r="AI75" t="s">
        <v>66</v>
      </c>
      <c r="AJ75" t="s">
        <v>54</v>
      </c>
      <c r="AK75" t="s">
        <v>701</v>
      </c>
      <c r="AL75" t="s">
        <v>702</v>
      </c>
      <c r="AN75" s="19">
        <f>IF(ISBLANK(Mentors[[#This Row],[Onboarded Date]]),"",Mentors[[#This Row],[Onboarded Date]]-WEEKDAY(Mentors[[#This Row],[Onboarded Date]],2)+1)</f>
        <v>45656</v>
      </c>
    </row>
    <row r="76" spans="1:40" ht="19.2" customHeight="1" x14ac:dyDescent="0.3">
      <c r="A76" t="s">
        <v>703</v>
      </c>
      <c r="B76" t="s">
        <v>704</v>
      </c>
      <c r="C76" t="s">
        <v>705</v>
      </c>
      <c r="D76" t="s">
        <v>706</v>
      </c>
      <c r="E76" t="s">
        <v>707</v>
      </c>
      <c r="F76">
        <v>1993</v>
      </c>
      <c r="G76">
        <f>IF(OR(Mentors[[#This Row],[Career Start Year]]="NA",ISBLANK(Mentors[[#This Row],[Career Start Year]])),"",2026 - Mentors[[#This Row],[Career Start Year]])</f>
        <v>33</v>
      </c>
      <c r="H7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76" t="s">
        <v>51</v>
      </c>
      <c r="J76" t="s">
        <v>297</v>
      </c>
      <c r="K76" t="s">
        <v>708</v>
      </c>
      <c r="L76" s="17">
        <v>9560537773</v>
      </c>
      <c r="M76" s="19">
        <v>45658</v>
      </c>
      <c r="O76" s="5" t="s">
        <v>0</v>
      </c>
      <c r="Q76" t="s">
        <v>54</v>
      </c>
      <c r="R76" t="s">
        <v>54</v>
      </c>
      <c r="S76" t="s">
        <v>54</v>
      </c>
      <c r="T76" t="s">
        <v>166</v>
      </c>
      <c r="U76" t="s">
        <v>77</v>
      </c>
      <c r="V76" t="s">
        <v>78</v>
      </c>
      <c r="W76" t="s">
        <v>79</v>
      </c>
      <c r="Z76" t="s">
        <v>61</v>
      </c>
      <c r="AA76" t="s">
        <v>62</v>
      </c>
      <c r="AB76">
        <v>1</v>
      </c>
      <c r="AD76" t="s">
        <v>63</v>
      </c>
      <c r="AG76" t="s">
        <v>54</v>
      </c>
      <c r="AH76" t="s">
        <v>131</v>
      </c>
      <c r="AI76" t="s">
        <v>77</v>
      </c>
      <c r="AJ76" t="s">
        <v>54</v>
      </c>
      <c r="AK76" t="s">
        <v>709</v>
      </c>
      <c r="AL76" t="s">
        <v>710</v>
      </c>
      <c r="AN76" s="19">
        <f>IF(ISBLANK(Mentors[[#This Row],[Onboarded Date]]),"",Mentors[[#This Row],[Onboarded Date]]-WEEKDAY(Mentors[[#This Row],[Onboarded Date]],2)+1)</f>
        <v>45656</v>
      </c>
    </row>
    <row r="77" spans="1:40" ht="19.2" customHeight="1" x14ac:dyDescent="0.3">
      <c r="A77" t="s">
        <v>711</v>
      </c>
      <c r="B77" t="s">
        <v>152</v>
      </c>
      <c r="C77" t="s">
        <v>712</v>
      </c>
      <c r="D77" t="s">
        <v>713</v>
      </c>
      <c r="E77" t="s">
        <v>714</v>
      </c>
      <c r="F77">
        <v>2007</v>
      </c>
      <c r="G77">
        <f>IF(OR(Mentors[[#This Row],[Career Start Year]]="NA",ISBLANK(Mentors[[#This Row],[Career Start Year]])),"",2026 - Mentors[[#This Row],[Career Start Year]])</f>
        <v>19</v>
      </c>
      <c r="H7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77" t="s">
        <v>51</v>
      </c>
      <c r="J77" t="s">
        <v>140</v>
      </c>
      <c r="K77" t="s">
        <v>715</v>
      </c>
      <c r="L77" s="17">
        <v>956021201</v>
      </c>
      <c r="M77" s="19">
        <v>45658</v>
      </c>
      <c r="O77" s="5" t="s">
        <v>0</v>
      </c>
      <c r="Q77" t="s">
        <v>54</v>
      </c>
      <c r="R77" t="s">
        <v>63</v>
      </c>
      <c r="S77" t="s">
        <v>63</v>
      </c>
      <c r="T77" t="s">
        <v>77</v>
      </c>
      <c r="U77" t="s">
        <v>166</v>
      </c>
      <c r="V77" t="s">
        <v>78</v>
      </c>
      <c r="W77" t="s">
        <v>79</v>
      </c>
      <c r="X77" t="s">
        <v>80</v>
      </c>
      <c r="Z77" t="s">
        <v>61</v>
      </c>
      <c r="AA77" t="s">
        <v>62</v>
      </c>
      <c r="AB77">
        <v>1</v>
      </c>
      <c r="AD77" t="s">
        <v>54</v>
      </c>
      <c r="AE77" t="s">
        <v>63</v>
      </c>
      <c r="AG77" t="s">
        <v>54</v>
      </c>
      <c r="AH77" t="s">
        <v>152</v>
      </c>
      <c r="AI77" t="s">
        <v>77</v>
      </c>
      <c r="AJ77" t="s">
        <v>54</v>
      </c>
      <c r="AK77" t="s">
        <v>716</v>
      </c>
      <c r="AL77" t="s">
        <v>717</v>
      </c>
      <c r="AN77" s="19">
        <f>IF(ISBLANK(Mentors[[#This Row],[Onboarded Date]]),"",Mentors[[#This Row],[Onboarded Date]]-WEEKDAY(Mentors[[#This Row],[Onboarded Date]],2)+1)</f>
        <v>45656</v>
      </c>
    </row>
    <row r="78" spans="1:40" ht="19.2" customHeight="1" x14ac:dyDescent="0.3">
      <c r="A78" t="s">
        <v>718</v>
      </c>
      <c r="B78" t="s">
        <v>260</v>
      </c>
      <c r="C78" t="s">
        <v>719</v>
      </c>
      <c r="D78" t="s">
        <v>720</v>
      </c>
      <c r="E78" t="s">
        <v>721</v>
      </c>
      <c r="F78">
        <v>2001</v>
      </c>
      <c r="G78">
        <f>IF(OR(Mentors[[#This Row],[Career Start Year]]="NA",ISBLANK(Mentors[[#This Row],[Career Start Year]])),"",2026 - Mentors[[#This Row],[Career Start Year]])</f>
        <v>25</v>
      </c>
      <c r="H7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78" t="s">
        <v>51</v>
      </c>
      <c r="J78" t="s">
        <v>196</v>
      </c>
      <c r="K78" t="s">
        <v>722</v>
      </c>
      <c r="L78" s="17">
        <v>7012930493</v>
      </c>
      <c r="M78" s="19">
        <v>45658</v>
      </c>
      <c r="O78" s="5" t="s">
        <v>0</v>
      </c>
      <c r="Q78" t="s">
        <v>54</v>
      </c>
      <c r="R78" t="s">
        <v>63</v>
      </c>
      <c r="S78" t="s">
        <v>63</v>
      </c>
      <c r="T78" t="s">
        <v>110</v>
      </c>
      <c r="U78" t="s">
        <v>77</v>
      </c>
      <c r="V78" t="s">
        <v>57</v>
      </c>
      <c r="W78" t="s">
        <v>79</v>
      </c>
      <c r="X78" t="s">
        <v>80</v>
      </c>
      <c r="Y78" t="s">
        <v>59</v>
      </c>
      <c r="Z78" t="s">
        <v>61</v>
      </c>
      <c r="AA78" t="s">
        <v>62</v>
      </c>
      <c r="AB78">
        <v>1</v>
      </c>
      <c r="AD78" t="s">
        <v>63</v>
      </c>
      <c r="AE78" t="s">
        <v>63</v>
      </c>
      <c r="AG78" t="s">
        <v>54</v>
      </c>
      <c r="AH78" t="s">
        <v>152</v>
      </c>
      <c r="AI78" t="s">
        <v>66</v>
      </c>
      <c r="AJ78" t="s">
        <v>54</v>
      </c>
      <c r="AK78" t="s">
        <v>723</v>
      </c>
      <c r="AL78" t="s">
        <v>724</v>
      </c>
      <c r="AN78" s="19">
        <f>IF(ISBLANK(Mentors[[#This Row],[Onboarded Date]]),"",Mentors[[#This Row],[Onboarded Date]]-WEEKDAY(Mentors[[#This Row],[Onboarded Date]],2)+1)</f>
        <v>45656</v>
      </c>
    </row>
    <row r="79" spans="1:40" ht="19.2" customHeight="1" x14ac:dyDescent="0.3">
      <c r="A79" s="4" t="s">
        <v>725</v>
      </c>
      <c r="B79" t="s">
        <v>260</v>
      </c>
      <c r="C79" t="s">
        <v>726</v>
      </c>
      <c r="D79" s="4" t="s">
        <v>727</v>
      </c>
      <c r="E79" s="7" t="s">
        <v>728</v>
      </c>
      <c r="F79">
        <v>2007</v>
      </c>
      <c r="G79">
        <f>IF(OR(Mentors[[#This Row],[Career Start Year]]="NA",ISBLANK(Mentors[[#This Row],[Career Start Year]])),"",2026 - Mentors[[#This Row],[Career Start Year]])</f>
        <v>19</v>
      </c>
      <c r="H7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79" t="s">
        <v>51</v>
      </c>
      <c r="J79" t="s">
        <v>314</v>
      </c>
      <c r="K79" t="s">
        <v>729</v>
      </c>
      <c r="L79" s="17">
        <v>8778936501</v>
      </c>
      <c r="M79" s="19">
        <v>45658</v>
      </c>
      <c r="O79" s="5" t="s">
        <v>0</v>
      </c>
      <c r="Q79" t="s">
        <v>54</v>
      </c>
      <c r="R79" t="s">
        <v>63</v>
      </c>
      <c r="S79" t="s">
        <v>63</v>
      </c>
      <c r="T79" t="s">
        <v>99</v>
      </c>
      <c r="U79" t="s">
        <v>77</v>
      </c>
      <c r="V79" t="s">
        <v>256</v>
      </c>
      <c r="W79" t="s">
        <v>79</v>
      </c>
      <c r="X79" t="s">
        <v>59</v>
      </c>
      <c r="Z79" t="s">
        <v>61</v>
      </c>
      <c r="AA79" t="s">
        <v>62</v>
      </c>
      <c r="AB79">
        <v>1</v>
      </c>
      <c r="AD79" t="s">
        <v>63</v>
      </c>
      <c r="AE79" t="s">
        <v>63</v>
      </c>
      <c r="AG79" t="s">
        <v>54</v>
      </c>
      <c r="AH79" t="s">
        <v>152</v>
      </c>
      <c r="AI79" t="s">
        <v>66</v>
      </c>
      <c r="AJ79" t="s">
        <v>54</v>
      </c>
      <c r="AK79" t="s">
        <v>730</v>
      </c>
      <c r="AL79" t="s">
        <v>731</v>
      </c>
      <c r="AN79" s="19">
        <f>IF(ISBLANK(Mentors[[#This Row],[Onboarded Date]]),"",Mentors[[#This Row],[Onboarded Date]]-WEEKDAY(Mentors[[#This Row],[Onboarded Date]],2)+1)</f>
        <v>45656</v>
      </c>
    </row>
    <row r="80" spans="1:40" ht="19.2" customHeight="1" x14ac:dyDescent="0.3">
      <c r="A80" t="s">
        <v>732</v>
      </c>
      <c r="B80" t="s">
        <v>733</v>
      </c>
      <c r="C80" t="s">
        <v>734</v>
      </c>
      <c r="D80" t="s">
        <v>735</v>
      </c>
      <c r="E80" t="s">
        <v>736</v>
      </c>
      <c r="F80">
        <v>2008</v>
      </c>
      <c r="G80">
        <f>IF(OR(Mentors[[#This Row],[Career Start Year]]="NA",ISBLANK(Mentors[[#This Row],[Career Start Year]])),"",2026 - Mentors[[#This Row],[Career Start Year]])</f>
        <v>18</v>
      </c>
      <c r="H8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80" t="s">
        <v>51</v>
      </c>
      <c r="J80" t="s">
        <v>118</v>
      </c>
      <c r="K80" t="s">
        <v>737</v>
      </c>
      <c r="L80" s="17">
        <v>9029916916</v>
      </c>
      <c r="M80" s="19">
        <v>45658</v>
      </c>
      <c r="N80" t="s">
        <v>4</v>
      </c>
      <c r="O80" t="s">
        <v>0</v>
      </c>
      <c r="P80" t="s">
        <v>738</v>
      </c>
      <c r="Q80" t="s">
        <v>63</v>
      </c>
      <c r="R80" t="s">
        <v>63</v>
      </c>
      <c r="S80" t="s">
        <v>54</v>
      </c>
      <c r="T80" t="s">
        <v>166</v>
      </c>
      <c r="U80" s="4" t="s">
        <v>90</v>
      </c>
      <c r="V80" t="s">
        <v>392</v>
      </c>
      <c r="W80" t="s">
        <v>79</v>
      </c>
      <c r="Z80" t="s">
        <v>61</v>
      </c>
      <c r="AA80" t="s">
        <v>62</v>
      </c>
      <c r="AB80">
        <v>1</v>
      </c>
      <c r="AD80" t="s">
        <v>63</v>
      </c>
      <c r="AE80" t="s">
        <v>63</v>
      </c>
      <c r="AG80" t="s">
        <v>54</v>
      </c>
      <c r="AH80" t="s">
        <v>152</v>
      </c>
      <c r="AI80" t="s">
        <v>66</v>
      </c>
      <c r="AJ80" t="s">
        <v>54</v>
      </c>
      <c r="AK80" t="s">
        <v>739</v>
      </c>
      <c r="AL80" t="s">
        <v>740</v>
      </c>
      <c r="AN80" s="19">
        <f>IF(ISBLANK(Mentors[[#This Row],[Onboarded Date]]),"",Mentors[[#This Row],[Onboarded Date]]-WEEKDAY(Mentors[[#This Row],[Onboarded Date]],2)+1)</f>
        <v>45656</v>
      </c>
    </row>
    <row r="81" spans="1:40" ht="19.2" customHeight="1" x14ac:dyDescent="0.3">
      <c r="A81" t="s">
        <v>741</v>
      </c>
      <c r="B81" t="s">
        <v>742</v>
      </c>
      <c r="C81" t="s">
        <v>743</v>
      </c>
      <c r="D81" t="s">
        <v>744</v>
      </c>
      <c r="E81" t="s">
        <v>745</v>
      </c>
      <c r="F81">
        <v>1998</v>
      </c>
      <c r="G81">
        <f>IF(OR(Mentors[[#This Row],[Career Start Year]]="NA",ISBLANK(Mentors[[#This Row],[Career Start Year]])),"",2026 - Mentors[[#This Row],[Career Start Year]])</f>
        <v>28</v>
      </c>
      <c r="H8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81" t="s">
        <v>51</v>
      </c>
      <c r="J81" t="s">
        <v>196</v>
      </c>
      <c r="K81" t="s">
        <v>746</v>
      </c>
      <c r="L81" s="17" t="s">
        <v>747</v>
      </c>
      <c r="M81" s="19">
        <v>45658</v>
      </c>
      <c r="N81" t="s">
        <v>2</v>
      </c>
      <c r="O81" t="s">
        <v>0</v>
      </c>
      <c r="P81" t="s">
        <v>748</v>
      </c>
      <c r="Q81" t="s">
        <v>54</v>
      </c>
      <c r="R81" t="s">
        <v>63</v>
      </c>
      <c r="S81" t="s">
        <v>54</v>
      </c>
      <c r="T81" t="s">
        <v>55</v>
      </c>
      <c r="U81" t="s">
        <v>65</v>
      </c>
      <c r="V81" s="4" t="s">
        <v>282</v>
      </c>
      <c r="W81" s="4" t="s">
        <v>58</v>
      </c>
      <c r="X81" s="4"/>
      <c r="Y81" s="4"/>
      <c r="Z81" t="s">
        <v>61</v>
      </c>
      <c r="AA81" t="s">
        <v>62</v>
      </c>
      <c r="AB81">
        <v>1</v>
      </c>
      <c r="AD81" t="s">
        <v>63</v>
      </c>
      <c r="AE81" t="s">
        <v>63</v>
      </c>
      <c r="AG81" t="s">
        <v>54</v>
      </c>
      <c r="AH81" t="s">
        <v>152</v>
      </c>
      <c r="AI81" t="s">
        <v>66</v>
      </c>
      <c r="AJ81" t="s">
        <v>54</v>
      </c>
      <c r="AK81" t="s">
        <v>749</v>
      </c>
      <c r="AL81" t="s">
        <v>750</v>
      </c>
      <c r="AN81" s="19">
        <f>IF(ISBLANK(Mentors[[#This Row],[Onboarded Date]]),"",Mentors[[#This Row],[Onboarded Date]]-WEEKDAY(Mentors[[#This Row],[Onboarded Date]],2)+1)</f>
        <v>45656</v>
      </c>
    </row>
    <row r="82" spans="1:40" ht="19.2" customHeight="1" x14ac:dyDescent="0.3">
      <c r="A82" t="s">
        <v>751</v>
      </c>
      <c r="B82" t="s">
        <v>152</v>
      </c>
      <c r="C82" t="s">
        <v>752</v>
      </c>
      <c r="D82" t="s">
        <v>753</v>
      </c>
      <c r="E82" t="s">
        <v>754</v>
      </c>
      <c r="F82">
        <v>2019</v>
      </c>
      <c r="G82">
        <f>IF(OR(Mentors[[#This Row],[Career Start Year]]="NA",ISBLANK(Mentors[[#This Row],[Career Start Year]])),"",2026 - Mentors[[#This Row],[Career Start Year]])</f>
        <v>7</v>
      </c>
      <c r="H8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82" t="s">
        <v>51</v>
      </c>
      <c r="J82" t="s">
        <v>297</v>
      </c>
      <c r="K82" t="s">
        <v>755</v>
      </c>
      <c r="L82" s="17">
        <v>9999818007</v>
      </c>
      <c r="M82" s="19">
        <v>45658</v>
      </c>
      <c r="O82" t="s">
        <v>0</v>
      </c>
      <c r="Q82" t="s">
        <v>54</v>
      </c>
      <c r="R82" t="s">
        <v>63</v>
      </c>
      <c r="S82" t="s">
        <v>63</v>
      </c>
      <c r="T82" s="4" t="s">
        <v>756</v>
      </c>
      <c r="U82" t="s">
        <v>445</v>
      </c>
      <c r="V82" t="s">
        <v>58</v>
      </c>
      <c r="W82" t="s">
        <v>65</v>
      </c>
      <c r="Z82" t="s">
        <v>101</v>
      </c>
      <c r="AA82" t="s">
        <v>62</v>
      </c>
      <c r="AB82">
        <v>1</v>
      </c>
      <c r="AD82" t="s">
        <v>54</v>
      </c>
      <c r="AE82" t="s">
        <v>63</v>
      </c>
      <c r="AG82" t="s">
        <v>54</v>
      </c>
      <c r="AH82" t="s">
        <v>152</v>
      </c>
      <c r="AI82" t="s">
        <v>412</v>
      </c>
      <c r="AJ82" t="s">
        <v>54</v>
      </c>
      <c r="AK82" t="s">
        <v>757</v>
      </c>
      <c r="AL82" t="s">
        <v>758</v>
      </c>
      <c r="AN82" s="19">
        <f>IF(ISBLANK(Mentors[[#This Row],[Onboarded Date]]),"",Mentors[[#This Row],[Onboarded Date]]-WEEKDAY(Mentors[[#This Row],[Onboarded Date]],2)+1)</f>
        <v>45656</v>
      </c>
    </row>
    <row r="83" spans="1:40" ht="19.2" customHeight="1" x14ac:dyDescent="0.3">
      <c r="A83" t="s">
        <v>759</v>
      </c>
      <c r="B83" t="s">
        <v>219</v>
      </c>
      <c r="C83" t="s">
        <v>760</v>
      </c>
      <c r="D83" t="s">
        <v>761</v>
      </c>
      <c r="E83" t="s">
        <v>762</v>
      </c>
      <c r="F83">
        <v>2008</v>
      </c>
      <c r="G83">
        <f>IF(OR(Mentors[[#This Row],[Career Start Year]]="NA",ISBLANK(Mentors[[#This Row],[Career Start Year]])),"",2026 - Mentors[[#This Row],[Career Start Year]])</f>
        <v>18</v>
      </c>
      <c r="H8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83" t="s">
        <v>478</v>
      </c>
      <c r="J83" t="s">
        <v>479</v>
      </c>
      <c r="K83" t="s">
        <v>763</v>
      </c>
      <c r="L83" s="17" t="s">
        <v>764</v>
      </c>
      <c r="M83" s="19">
        <v>45658</v>
      </c>
      <c r="N83" t="s">
        <v>4</v>
      </c>
      <c r="O83" t="s">
        <v>0</v>
      </c>
      <c r="Q83" t="s">
        <v>54</v>
      </c>
      <c r="R83" t="s">
        <v>54</v>
      </c>
      <c r="S83" t="s">
        <v>54</v>
      </c>
      <c r="T83" t="s">
        <v>166</v>
      </c>
      <c r="U83" t="s">
        <v>445</v>
      </c>
      <c r="V83" t="s">
        <v>765</v>
      </c>
      <c r="W83" t="s">
        <v>79</v>
      </c>
      <c r="X83" t="s">
        <v>59</v>
      </c>
      <c r="Z83" t="s">
        <v>101</v>
      </c>
      <c r="AA83" t="s">
        <v>62</v>
      </c>
      <c r="AB83">
        <v>1</v>
      </c>
      <c r="AD83" t="s">
        <v>54</v>
      </c>
      <c r="AE83" t="s">
        <v>54</v>
      </c>
      <c r="AG83" t="s">
        <v>54</v>
      </c>
      <c r="AH83" t="s">
        <v>65</v>
      </c>
      <c r="AI83" t="s">
        <v>66</v>
      </c>
      <c r="AJ83" t="s">
        <v>54</v>
      </c>
      <c r="AK83" t="s">
        <v>766</v>
      </c>
      <c r="AL83" t="s">
        <v>767</v>
      </c>
      <c r="AN83" s="19">
        <f>IF(ISBLANK(Mentors[[#This Row],[Onboarded Date]]),"",Mentors[[#This Row],[Onboarded Date]]-WEEKDAY(Mentors[[#This Row],[Onboarded Date]],2)+1)</f>
        <v>45656</v>
      </c>
    </row>
    <row r="84" spans="1:40" ht="19.2" customHeight="1" x14ac:dyDescent="0.3">
      <c r="A84" t="s">
        <v>768</v>
      </c>
      <c r="B84" t="s">
        <v>769</v>
      </c>
      <c r="C84" t="s">
        <v>770</v>
      </c>
      <c r="D84" t="s">
        <v>771</v>
      </c>
      <c r="E84" t="s">
        <v>772</v>
      </c>
      <c r="F84">
        <v>2011</v>
      </c>
      <c r="G84">
        <f>IF(OR(Mentors[[#This Row],[Career Start Year]]="NA",ISBLANK(Mentors[[#This Row],[Career Start Year]])),"",2026 - Mentors[[#This Row],[Career Start Year]])</f>
        <v>15</v>
      </c>
      <c r="H8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84" t="s">
        <v>51</v>
      </c>
      <c r="J84" t="s">
        <v>118</v>
      </c>
      <c r="K84" t="s">
        <v>773</v>
      </c>
      <c r="L84" s="17">
        <v>7093004841</v>
      </c>
      <c r="M84" s="19">
        <v>45658</v>
      </c>
      <c r="N84" t="s">
        <v>4</v>
      </c>
      <c r="O84" t="s">
        <v>0</v>
      </c>
      <c r="Q84" t="s">
        <v>54</v>
      </c>
      <c r="R84" t="s">
        <v>54</v>
      </c>
      <c r="S84" t="s">
        <v>54</v>
      </c>
      <c r="T84" s="4" t="s">
        <v>756</v>
      </c>
      <c r="U84" s="4" t="s">
        <v>65</v>
      </c>
      <c r="V84" t="s">
        <v>613</v>
      </c>
      <c r="W84" t="s">
        <v>79</v>
      </c>
      <c r="X84" t="s">
        <v>59</v>
      </c>
      <c r="Z84" t="s">
        <v>61</v>
      </c>
      <c r="AA84" t="s">
        <v>62</v>
      </c>
      <c r="AB84">
        <v>1</v>
      </c>
      <c r="AD84" t="s">
        <v>54</v>
      </c>
      <c r="AE84" t="s">
        <v>54</v>
      </c>
      <c r="AG84" t="s">
        <v>54</v>
      </c>
      <c r="AH84" t="s">
        <v>65</v>
      </c>
      <c r="AI84" t="s">
        <v>412</v>
      </c>
      <c r="AJ84" t="s">
        <v>54</v>
      </c>
      <c r="AK84" t="s">
        <v>774</v>
      </c>
      <c r="AL84" t="s">
        <v>775</v>
      </c>
      <c r="AN84" s="19">
        <f>IF(ISBLANK(Mentors[[#This Row],[Onboarded Date]]),"",Mentors[[#This Row],[Onboarded Date]]-WEEKDAY(Mentors[[#This Row],[Onboarded Date]],2)+1)</f>
        <v>45656</v>
      </c>
    </row>
    <row r="85" spans="1:40" ht="19.2" customHeight="1" x14ac:dyDescent="0.3">
      <c r="A85" t="s">
        <v>776</v>
      </c>
      <c r="B85" t="s">
        <v>777</v>
      </c>
      <c r="C85" t="s">
        <v>778</v>
      </c>
      <c r="D85" t="s">
        <v>779</v>
      </c>
      <c r="E85" t="s">
        <v>780</v>
      </c>
      <c r="F85">
        <v>2006</v>
      </c>
      <c r="G85">
        <f>IF(OR(Mentors[[#This Row],[Career Start Year]]="NA",ISBLANK(Mentors[[#This Row],[Career Start Year]])),"",2026 - Mentors[[#This Row],[Career Start Year]])</f>
        <v>20</v>
      </c>
      <c r="H8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85" t="s">
        <v>51</v>
      </c>
      <c r="J85" t="s">
        <v>297</v>
      </c>
      <c r="K85" t="s">
        <v>781</v>
      </c>
      <c r="L85" s="17">
        <v>9818069843</v>
      </c>
      <c r="M85" s="19">
        <v>45658</v>
      </c>
      <c r="N85" t="s">
        <v>2</v>
      </c>
      <c r="O85" t="s">
        <v>0</v>
      </c>
      <c r="Q85" t="s">
        <v>63</v>
      </c>
      <c r="R85" t="s">
        <v>63</v>
      </c>
      <c r="S85" t="s">
        <v>63</v>
      </c>
      <c r="T85" t="s">
        <v>55</v>
      </c>
      <c r="U85" t="s">
        <v>65</v>
      </c>
      <c r="V85" t="s">
        <v>382</v>
      </c>
      <c r="W85" t="s">
        <v>79</v>
      </c>
      <c r="X85" t="s">
        <v>59</v>
      </c>
      <c r="Z85" t="s">
        <v>61</v>
      </c>
      <c r="AA85" t="s">
        <v>62</v>
      </c>
      <c r="AB85">
        <v>1</v>
      </c>
      <c r="AD85" t="s">
        <v>54</v>
      </c>
      <c r="AE85" t="s">
        <v>54</v>
      </c>
      <c r="AG85" t="s">
        <v>54</v>
      </c>
      <c r="AH85" t="s">
        <v>152</v>
      </c>
      <c r="AI85" t="s">
        <v>66</v>
      </c>
      <c r="AJ85" t="s">
        <v>54</v>
      </c>
      <c r="AK85" t="s">
        <v>782</v>
      </c>
      <c r="AL85" t="s">
        <v>783</v>
      </c>
      <c r="AN85" s="19">
        <f>IF(ISBLANK(Mentors[[#This Row],[Onboarded Date]]),"",Mentors[[#This Row],[Onboarded Date]]-WEEKDAY(Mentors[[#This Row],[Onboarded Date]],2)+1)</f>
        <v>45656</v>
      </c>
    </row>
    <row r="86" spans="1:40" ht="19.2" customHeight="1" x14ac:dyDescent="0.3">
      <c r="A86" t="s">
        <v>784</v>
      </c>
      <c r="B86" t="s">
        <v>785</v>
      </c>
      <c r="C86" t="s">
        <v>786</v>
      </c>
      <c r="D86" t="s">
        <v>787</v>
      </c>
      <c r="E86" t="s">
        <v>788</v>
      </c>
      <c r="F86">
        <v>2013</v>
      </c>
      <c r="G86">
        <f>IF(OR(Mentors[[#This Row],[Career Start Year]]="NA",ISBLANK(Mentors[[#This Row],[Career Start Year]])),"",2026 - Mentors[[#This Row],[Career Start Year]])</f>
        <v>13</v>
      </c>
      <c r="H8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86" t="s">
        <v>789</v>
      </c>
      <c r="J86" t="s">
        <v>790</v>
      </c>
      <c r="K86" t="s">
        <v>791</v>
      </c>
      <c r="L86" s="17">
        <v>9871270744</v>
      </c>
      <c r="M86" s="19">
        <v>45658</v>
      </c>
      <c r="O86" t="s">
        <v>0</v>
      </c>
      <c r="Q86" t="s">
        <v>54</v>
      </c>
      <c r="R86" t="s">
        <v>54</v>
      </c>
      <c r="S86" t="s">
        <v>63</v>
      </c>
      <c r="T86" s="4" t="s">
        <v>756</v>
      </c>
      <c r="U86" t="s">
        <v>79</v>
      </c>
      <c r="V86" t="s">
        <v>120</v>
      </c>
      <c r="W86" t="s">
        <v>79</v>
      </c>
      <c r="Z86" t="s">
        <v>81</v>
      </c>
      <c r="AA86" t="s">
        <v>62</v>
      </c>
      <c r="AB86">
        <v>1</v>
      </c>
      <c r="AD86" t="s">
        <v>54</v>
      </c>
      <c r="AE86" t="s">
        <v>54</v>
      </c>
      <c r="AF86" t="s">
        <v>64</v>
      </c>
      <c r="AG86" t="s">
        <v>54</v>
      </c>
      <c r="AH86" t="s">
        <v>65</v>
      </c>
      <c r="AI86" t="s">
        <v>412</v>
      </c>
      <c r="AJ86" t="s">
        <v>54</v>
      </c>
      <c r="AK86" t="s">
        <v>792</v>
      </c>
      <c r="AL86" t="s">
        <v>793</v>
      </c>
      <c r="AN86" s="19">
        <f>IF(ISBLANK(Mentors[[#This Row],[Onboarded Date]]),"",Mentors[[#This Row],[Onboarded Date]]-WEEKDAY(Mentors[[#This Row],[Onboarded Date]],2)+1)</f>
        <v>45656</v>
      </c>
    </row>
    <row r="87" spans="1:40" ht="19.2" customHeight="1" x14ac:dyDescent="0.3">
      <c r="A87" t="s">
        <v>794</v>
      </c>
      <c r="B87" t="s">
        <v>219</v>
      </c>
      <c r="C87" t="s">
        <v>85</v>
      </c>
      <c r="D87" s="4" t="s">
        <v>795</v>
      </c>
      <c r="E87" s="7" t="s">
        <v>796</v>
      </c>
      <c r="F87">
        <v>1988</v>
      </c>
      <c r="G87">
        <f>IF(OR(Mentors[[#This Row],[Career Start Year]]="NA",ISBLANK(Mentors[[#This Row],[Career Start Year]])),"",2026 - Mentors[[#This Row],[Career Start Year]])</f>
        <v>38</v>
      </c>
      <c r="H8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87" t="s">
        <v>51</v>
      </c>
      <c r="J87" t="s">
        <v>118</v>
      </c>
      <c r="K87" t="s">
        <v>797</v>
      </c>
      <c r="L87" s="17">
        <v>9833097575</v>
      </c>
      <c r="M87" s="19">
        <v>45658</v>
      </c>
      <c r="N87" t="s">
        <v>2</v>
      </c>
      <c r="O87" t="s">
        <v>0</v>
      </c>
      <c r="Q87" t="s">
        <v>54</v>
      </c>
      <c r="R87" t="s">
        <v>63</v>
      </c>
      <c r="S87" t="s">
        <v>63</v>
      </c>
      <c r="T87" t="s">
        <v>411</v>
      </c>
      <c r="U87" t="s">
        <v>56</v>
      </c>
      <c r="V87" t="s">
        <v>392</v>
      </c>
      <c r="W87" t="s">
        <v>79</v>
      </c>
      <c r="Z87" t="s">
        <v>61</v>
      </c>
      <c r="AA87" t="s">
        <v>62</v>
      </c>
      <c r="AB87">
        <v>1</v>
      </c>
      <c r="AD87" t="s">
        <v>63</v>
      </c>
      <c r="AE87" t="s">
        <v>54</v>
      </c>
      <c r="AG87" t="s">
        <v>54</v>
      </c>
      <c r="AH87" t="s">
        <v>65</v>
      </c>
      <c r="AI87" t="s">
        <v>412</v>
      </c>
      <c r="AJ87" t="s">
        <v>54</v>
      </c>
      <c r="AK87" t="s">
        <v>798</v>
      </c>
      <c r="AL87" t="s">
        <v>799</v>
      </c>
      <c r="AN87" s="19">
        <f>IF(ISBLANK(Mentors[[#This Row],[Onboarded Date]]),"",Mentors[[#This Row],[Onboarded Date]]-WEEKDAY(Mentors[[#This Row],[Onboarded Date]],2)+1)</f>
        <v>45656</v>
      </c>
    </row>
    <row r="88" spans="1:40" ht="19.2" customHeight="1" x14ac:dyDescent="0.3">
      <c r="A88" t="s">
        <v>800</v>
      </c>
      <c r="B88" t="s">
        <v>396</v>
      </c>
      <c r="C88" t="s">
        <v>801</v>
      </c>
      <c r="D88" t="s">
        <v>802</v>
      </c>
      <c r="E88" t="s">
        <v>803</v>
      </c>
      <c r="F88">
        <v>2013</v>
      </c>
      <c r="G88">
        <f>IF(OR(Mentors[[#This Row],[Career Start Year]]="NA",ISBLANK(Mentors[[#This Row],[Career Start Year]])),"",2026 - Mentors[[#This Row],[Career Start Year]])</f>
        <v>13</v>
      </c>
      <c r="H8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88" t="s">
        <v>51</v>
      </c>
      <c r="J88" t="s">
        <v>74</v>
      </c>
      <c r="K88" t="s">
        <v>804</v>
      </c>
      <c r="L88" s="17">
        <v>9920456478</v>
      </c>
      <c r="M88" s="19">
        <v>45658</v>
      </c>
      <c r="N88" t="s">
        <v>2</v>
      </c>
      <c r="O88" t="s">
        <v>0</v>
      </c>
      <c r="Q88" t="s">
        <v>54</v>
      </c>
      <c r="R88" t="s">
        <v>63</v>
      </c>
      <c r="S88" t="s">
        <v>63</v>
      </c>
      <c r="T88" t="s">
        <v>411</v>
      </c>
      <c r="U88" t="s">
        <v>76</v>
      </c>
      <c r="V88" t="s">
        <v>120</v>
      </c>
      <c r="W88" t="s">
        <v>79</v>
      </c>
      <c r="Z88" t="s">
        <v>81</v>
      </c>
      <c r="AA88" t="s">
        <v>62</v>
      </c>
      <c r="AB88">
        <v>1</v>
      </c>
      <c r="AD88" t="s">
        <v>63</v>
      </c>
      <c r="AE88" t="s">
        <v>54</v>
      </c>
      <c r="AF88" t="s">
        <v>64</v>
      </c>
      <c r="AG88" t="s">
        <v>54</v>
      </c>
      <c r="AH88" t="s">
        <v>152</v>
      </c>
      <c r="AI88" t="s">
        <v>412</v>
      </c>
      <c r="AJ88" t="s">
        <v>54</v>
      </c>
      <c r="AK88" t="s">
        <v>805</v>
      </c>
      <c r="AL88" t="s">
        <v>172</v>
      </c>
      <c r="AN88" s="19">
        <f>IF(ISBLANK(Mentors[[#This Row],[Onboarded Date]]),"",Mentors[[#This Row],[Onboarded Date]]-WEEKDAY(Mentors[[#This Row],[Onboarded Date]],2)+1)</f>
        <v>45656</v>
      </c>
    </row>
    <row r="89" spans="1:40" ht="19.2" customHeight="1" x14ac:dyDescent="0.3">
      <c r="A89" t="s">
        <v>806</v>
      </c>
      <c r="B89" t="s">
        <v>807</v>
      </c>
      <c r="C89" t="s">
        <v>808</v>
      </c>
      <c r="D89" t="s">
        <v>809</v>
      </c>
      <c r="E89" s="7" t="s">
        <v>810</v>
      </c>
      <c r="F89">
        <v>2002</v>
      </c>
      <c r="G89">
        <f>IF(OR(Mentors[[#This Row],[Career Start Year]]="NA",ISBLANK(Mentors[[#This Row],[Career Start Year]])),"",2026 - Mentors[[#This Row],[Career Start Year]])</f>
        <v>24</v>
      </c>
      <c r="H8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89" t="s">
        <v>51</v>
      </c>
      <c r="J89" t="s">
        <v>118</v>
      </c>
      <c r="K89" t="s">
        <v>811</v>
      </c>
      <c r="L89" s="17">
        <v>9168104666</v>
      </c>
      <c r="M89" s="19">
        <v>45658</v>
      </c>
      <c r="O89" t="s">
        <v>0</v>
      </c>
      <c r="Q89" t="s">
        <v>54</v>
      </c>
      <c r="R89" t="s">
        <v>63</v>
      </c>
      <c r="S89" t="s">
        <v>63</v>
      </c>
      <c r="T89" t="s">
        <v>77</v>
      </c>
      <c r="U89" t="s">
        <v>65</v>
      </c>
      <c r="V89" t="s">
        <v>58</v>
      </c>
      <c r="W89" s="4" t="s">
        <v>282</v>
      </c>
      <c r="X89" s="4" t="s">
        <v>59</v>
      </c>
      <c r="Y89" s="4"/>
      <c r="Z89" t="s">
        <v>81</v>
      </c>
      <c r="AA89" t="s">
        <v>62</v>
      </c>
      <c r="AB89">
        <v>1</v>
      </c>
      <c r="AD89" t="s">
        <v>54</v>
      </c>
      <c r="AE89" t="s">
        <v>63</v>
      </c>
      <c r="AG89" t="s">
        <v>54</v>
      </c>
      <c r="AH89" t="s">
        <v>65</v>
      </c>
      <c r="AI89" t="s">
        <v>66</v>
      </c>
      <c r="AJ89" t="s">
        <v>54</v>
      </c>
      <c r="AK89" t="s">
        <v>812</v>
      </c>
      <c r="AL89" t="s">
        <v>813</v>
      </c>
      <c r="AN89" s="19">
        <f>IF(ISBLANK(Mentors[[#This Row],[Onboarded Date]]),"",Mentors[[#This Row],[Onboarded Date]]-WEEKDAY(Mentors[[#This Row],[Onboarded Date]],2)+1)</f>
        <v>45656</v>
      </c>
    </row>
    <row r="90" spans="1:40" ht="19.2" customHeight="1" x14ac:dyDescent="0.3">
      <c r="A90" t="s">
        <v>814</v>
      </c>
      <c r="B90" t="s">
        <v>815</v>
      </c>
      <c r="C90" t="s">
        <v>816</v>
      </c>
      <c r="D90" t="s">
        <v>817</v>
      </c>
      <c r="E90" t="s">
        <v>818</v>
      </c>
      <c r="F90">
        <v>1991</v>
      </c>
      <c r="G90">
        <f>IF(OR(Mentors[[#This Row],[Career Start Year]]="NA",ISBLANK(Mentors[[#This Row],[Career Start Year]])),"",2026 - Mentors[[#This Row],[Career Start Year]])</f>
        <v>35</v>
      </c>
      <c r="H9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90" t="s">
        <v>51</v>
      </c>
      <c r="J90" t="s">
        <v>819</v>
      </c>
      <c r="K90" t="s">
        <v>820</v>
      </c>
      <c r="L90" s="17">
        <v>9717687648</v>
      </c>
      <c r="M90" s="19">
        <v>45658</v>
      </c>
      <c r="O90" t="s">
        <v>0</v>
      </c>
      <c r="Q90" t="s">
        <v>54</v>
      </c>
      <c r="R90" t="s">
        <v>63</v>
      </c>
      <c r="S90" t="s">
        <v>63</v>
      </c>
      <c r="T90" t="s">
        <v>166</v>
      </c>
      <c r="U90" t="s">
        <v>79</v>
      </c>
      <c r="V90" t="s">
        <v>58</v>
      </c>
      <c r="W90" t="s">
        <v>78</v>
      </c>
      <c r="Z90" t="s">
        <v>81</v>
      </c>
      <c r="AA90" t="s">
        <v>62</v>
      </c>
      <c r="AB90">
        <v>1</v>
      </c>
      <c r="AD90" t="s">
        <v>63</v>
      </c>
      <c r="AE90" t="s">
        <v>54</v>
      </c>
      <c r="AG90" t="s">
        <v>54</v>
      </c>
      <c r="AH90" t="s">
        <v>65</v>
      </c>
      <c r="AI90" t="s">
        <v>66</v>
      </c>
      <c r="AJ90" t="s">
        <v>54</v>
      </c>
      <c r="AK90" t="s">
        <v>821</v>
      </c>
      <c r="AL90" t="s">
        <v>822</v>
      </c>
      <c r="AN90" s="19">
        <f>IF(ISBLANK(Mentors[[#This Row],[Onboarded Date]]),"",Mentors[[#This Row],[Onboarded Date]]-WEEKDAY(Mentors[[#This Row],[Onboarded Date]],2)+1)</f>
        <v>45656</v>
      </c>
    </row>
    <row r="91" spans="1:40" ht="19.2" customHeight="1" x14ac:dyDescent="0.3">
      <c r="A91" t="s">
        <v>823</v>
      </c>
      <c r="B91" t="s">
        <v>824</v>
      </c>
      <c r="C91" t="s">
        <v>825</v>
      </c>
      <c r="D91" t="s">
        <v>826</v>
      </c>
      <c r="E91" t="s">
        <v>827</v>
      </c>
      <c r="F91">
        <v>2009</v>
      </c>
      <c r="G91">
        <f>IF(OR(Mentors[[#This Row],[Career Start Year]]="NA",ISBLANK(Mentors[[#This Row],[Career Start Year]])),"",2026 - Mentors[[#This Row],[Career Start Year]])</f>
        <v>17</v>
      </c>
      <c r="H9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91" t="s">
        <v>51</v>
      </c>
      <c r="J91" t="s">
        <v>314</v>
      </c>
      <c r="K91" t="s">
        <v>828</v>
      </c>
      <c r="L91" s="17">
        <v>9500133122</v>
      </c>
      <c r="M91" s="19">
        <v>45658</v>
      </c>
      <c r="O91" t="s">
        <v>0</v>
      </c>
      <c r="Q91" t="s">
        <v>54</v>
      </c>
      <c r="R91" t="s">
        <v>63</v>
      </c>
      <c r="S91" t="s">
        <v>63</v>
      </c>
      <c r="T91" t="s">
        <v>77</v>
      </c>
      <c r="U91" t="s">
        <v>99</v>
      </c>
      <c r="V91" t="s">
        <v>78</v>
      </c>
      <c r="W91" t="s">
        <v>65</v>
      </c>
      <c r="X91" t="s">
        <v>59</v>
      </c>
      <c r="Z91" t="s">
        <v>61</v>
      </c>
      <c r="AA91" t="s">
        <v>62</v>
      </c>
      <c r="AB91">
        <v>1</v>
      </c>
      <c r="AD91" t="s">
        <v>54</v>
      </c>
      <c r="AE91" t="s">
        <v>54</v>
      </c>
      <c r="AF91" t="s">
        <v>64</v>
      </c>
      <c r="AG91" t="s">
        <v>54</v>
      </c>
      <c r="AH91" t="s">
        <v>215</v>
      </c>
      <c r="AI91" t="s">
        <v>66</v>
      </c>
      <c r="AJ91" t="s">
        <v>54</v>
      </c>
      <c r="AK91" t="s">
        <v>829</v>
      </c>
      <c r="AL91" t="s">
        <v>830</v>
      </c>
      <c r="AN91" s="19">
        <f>IF(ISBLANK(Mentors[[#This Row],[Onboarded Date]]),"",Mentors[[#This Row],[Onboarded Date]]-WEEKDAY(Mentors[[#This Row],[Onboarded Date]],2)+1)</f>
        <v>45656</v>
      </c>
    </row>
    <row r="92" spans="1:40" ht="19.2" customHeight="1" x14ac:dyDescent="0.3">
      <c r="A92" t="s">
        <v>831</v>
      </c>
      <c r="B92" t="s">
        <v>152</v>
      </c>
      <c r="C92" t="s">
        <v>832</v>
      </c>
      <c r="D92" t="s">
        <v>833</v>
      </c>
      <c r="E92" s="7" t="s">
        <v>834</v>
      </c>
      <c r="F92">
        <v>2010</v>
      </c>
      <c r="G92">
        <f>IF(OR(Mentors[[#This Row],[Career Start Year]]="NA",ISBLANK(Mentors[[#This Row],[Career Start Year]])),"",2026 - Mentors[[#This Row],[Career Start Year]])</f>
        <v>16</v>
      </c>
      <c r="H9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92" t="s">
        <v>51</v>
      </c>
      <c r="J92" t="s">
        <v>835</v>
      </c>
      <c r="K92" t="s">
        <v>836</v>
      </c>
      <c r="L92" s="17">
        <v>9953550137</v>
      </c>
      <c r="M92" s="19">
        <v>45658</v>
      </c>
      <c r="O92" t="s">
        <v>0</v>
      </c>
      <c r="Q92" t="s">
        <v>54</v>
      </c>
      <c r="R92" t="s">
        <v>63</v>
      </c>
      <c r="S92" t="s">
        <v>63</v>
      </c>
      <c r="T92" t="s">
        <v>381</v>
      </c>
      <c r="U92" t="s">
        <v>56</v>
      </c>
      <c r="V92" t="s">
        <v>78</v>
      </c>
      <c r="W92" t="s">
        <v>256</v>
      </c>
      <c r="X92" t="s">
        <v>59</v>
      </c>
      <c r="Z92" t="s">
        <v>61</v>
      </c>
      <c r="AA92" t="s">
        <v>62</v>
      </c>
      <c r="AB92">
        <v>1</v>
      </c>
      <c r="AD92" t="s">
        <v>54</v>
      </c>
      <c r="AE92" t="s">
        <v>63</v>
      </c>
      <c r="AG92" t="s">
        <v>54</v>
      </c>
      <c r="AH92" t="s">
        <v>152</v>
      </c>
      <c r="AI92" t="s">
        <v>66</v>
      </c>
      <c r="AJ92" t="s">
        <v>54</v>
      </c>
      <c r="AK92" t="s">
        <v>837</v>
      </c>
      <c r="AL92" t="s">
        <v>838</v>
      </c>
      <c r="AN92" s="19">
        <f>IF(ISBLANK(Mentors[[#This Row],[Onboarded Date]]),"",Mentors[[#This Row],[Onboarded Date]]-WEEKDAY(Mentors[[#This Row],[Onboarded Date]],2)+1)</f>
        <v>45656</v>
      </c>
    </row>
    <row r="93" spans="1:40" ht="19.2" customHeight="1" x14ac:dyDescent="0.3">
      <c r="A93" t="s">
        <v>839</v>
      </c>
      <c r="B93" t="s">
        <v>840</v>
      </c>
      <c r="C93" t="s">
        <v>841</v>
      </c>
      <c r="D93" t="s">
        <v>842</v>
      </c>
      <c r="E93" t="s">
        <v>843</v>
      </c>
      <c r="F93">
        <v>2007</v>
      </c>
      <c r="G93">
        <f>IF(OR(Mentors[[#This Row],[Career Start Year]]="NA",ISBLANK(Mentors[[#This Row],[Career Start Year]])),"",2026 - Mentors[[#This Row],[Career Start Year]])</f>
        <v>19</v>
      </c>
      <c r="H9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93" t="s">
        <v>51</v>
      </c>
      <c r="J93" t="s">
        <v>118</v>
      </c>
      <c r="K93" t="s">
        <v>844</v>
      </c>
      <c r="L93" s="17">
        <v>9833774327</v>
      </c>
      <c r="M93" s="19">
        <v>45658</v>
      </c>
      <c r="O93" t="s">
        <v>0</v>
      </c>
      <c r="Q93" t="s">
        <v>54</v>
      </c>
      <c r="R93" t="s">
        <v>63</v>
      </c>
      <c r="S93" t="s">
        <v>63</v>
      </c>
      <c r="T93" t="s">
        <v>56</v>
      </c>
      <c r="U93" t="s">
        <v>187</v>
      </c>
      <c r="V93" t="s">
        <v>78</v>
      </c>
      <c r="W93" t="s">
        <v>65</v>
      </c>
      <c r="X93" t="s">
        <v>80</v>
      </c>
      <c r="Z93" t="s">
        <v>101</v>
      </c>
      <c r="AA93" t="s">
        <v>62</v>
      </c>
      <c r="AB93">
        <v>1</v>
      </c>
      <c r="AD93" t="s">
        <v>54</v>
      </c>
      <c r="AE93" t="s">
        <v>54</v>
      </c>
      <c r="AF93" t="s">
        <v>54</v>
      </c>
      <c r="AG93" t="s">
        <v>54</v>
      </c>
      <c r="AH93" t="s">
        <v>65</v>
      </c>
      <c r="AI93" t="s">
        <v>132</v>
      </c>
      <c r="AJ93" t="s">
        <v>54</v>
      </c>
      <c r="AK93" t="s">
        <v>845</v>
      </c>
      <c r="AL93" t="s">
        <v>846</v>
      </c>
      <c r="AN93" s="19">
        <f>IF(ISBLANK(Mentors[[#This Row],[Onboarded Date]]),"",Mentors[[#This Row],[Onboarded Date]]-WEEKDAY(Mentors[[#This Row],[Onboarded Date]],2)+1)</f>
        <v>45656</v>
      </c>
    </row>
    <row r="94" spans="1:40" ht="19.2" customHeight="1" x14ac:dyDescent="0.3">
      <c r="A94" t="s">
        <v>847</v>
      </c>
      <c r="B94" t="s">
        <v>848</v>
      </c>
      <c r="C94" t="s">
        <v>849</v>
      </c>
      <c r="D94" t="s">
        <v>850</v>
      </c>
      <c r="E94" t="s">
        <v>851</v>
      </c>
      <c r="F94">
        <v>1994</v>
      </c>
      <c r="G94">
        <f>IF(OR(Mentors[[#This Row],[Career Start Year]]="NA",ISBLANK(Mentors[[#This Row],[Career Start Year]])),"",2026 - Mentors[[#This Row],[Career Start Year]])</f>
        <v>32</v>
      </c>
      <c r="H9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94" t="s">
        <v>51</v>
      </c>
      <c r="J94" t="s">
        <v>118</v>
      </c>
      <c r="K94" t="s">
        <v>852</v>
      </c>
      <c r="L94" s="17">
        <v>9930447575</v>
      </c>
      <c r="M94" s="19">
        <v>45658</v>
      </c>
      <c r="O94" t="s">
        <v>0</v>
      </c>
      <c r="Q94" t="s">
        <v>54</v>
      </c>
      <c r="R94" t="s">
        <v>54</v>
      </c>
      <c r="S94" t="s">
        <v>54</v>
      </c>
      <c r="T94" t="s">
        <v>77</v>
      </c>
      <c r="U94" t="s">
        <v>100</v>
      </c>
      <c r="V94" t="s">
        <v>57</v>
      </c>
      <c r="W94" t="s">
        <v>198</v>
      </c>
      <c r="X94" t="s">
        <v>59</v>
      </c>
      <c r="Z94" t="s">
        <v>81</v>
      </c>
      <c r="AA94" t="s">
        <v>62</v>
      </c>
      <c r="AB94">
        <v>1</v>
      </c>
      <c r="AD94" t="s">
        <v>54</v>
      </c>
      <c r="AE94" t="s">
        <v>63</v>
      </c>
      <c r="AF94" t="s">
        <v>54</v>
      </c>
      <c r="AG94" t="s">
        <v>54</v>
      </c>
      <c r="AH94" t="s">
        <v>131</v>
      </c>
      <c r="AI94" t="s">
        <v>66</v>
      </c>
      <c r="AJ94" t="s">
        <v>54</v>
      </c>
      <c r="AK94" t="s">
        <v>853</v>
      </c>
      <c r="AL94" t="s">
        <v>854</v>
      </c>
      <c r="AN94" s="19">
        <f>IF(ISBLANK(Mentors[[#This Row],[Onboarded Date]]),"",Mentors[[#This Row],[Onboarded Date]]-WEEKDAY(Mentors[[#This Row],[Onboarded Date]],2)+1)</f>
        <v>45656</v>
      </c>
    </row>
    <row r="95" spans="1:40" ht="19.2" customHeight="1" x14ac:dyDescent="0.3">
      <c r="A95" t="s">
        <v>855</v>
      </c>
      <c r="B95" t="s">
        <v>856</v>
      </c>
      <c r="C95" t="s">
        <v>857</v>
      </c>
      <c r="D95" t="s">
        <v>858</v>
      </c>
      <c r="E95" t="s">
        <v>859</v>
      </c>
      <c r="F95">
        <v>2003</v>
      </c>
      <c r="G95">
        <f>IF(OR(Mentors[[#This Row],[Career Start Year]]="NA",ISBLANK(Mentors[[#This Row],[Career Start Year]])),"",2026 - Mentors[[#This Row],[Career Start Year]])</f>
        <v>23</v>
      </c>
      <c r="H9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95" t="s">
        <v>51</v>
      </c>
      <c r="J95" t="s">
        <v>297</v>
      </c>
      <c r="K95" t="s">
        <v>860</v>
      </c>
      <c r="L95" s="17">
        <v>9650935759</v>
      </c>
      <c r="M95" s="19">
        <v>45658</v>
      </c>
      <c r="O95" t="s">
        <v>0</v>
      </c>
      <c r="Q95" t="s">
        <v>54</v>
      </c>
      <c r="R95" t="s">
        <v>63</v>
      </c>
      <c r="S95" t="s">
        <v>63</v>
      </c>
      <c r="T95" t="s">
        <v>77</v>
      </c>
      <c r="U95" t="s">
        <v>65</v>
      </c>
      <c r="V95" t="s">
        <v>57</v>
      </c>
      <c r="W95" t="s">
        <v>198</v>
      </c>
      <c r="X95" t="s">
        <v>59</v>
      </c>
      <c r="Y95" t="s">
        <v>60</v>
      </c>
      <c r="Z95" t="s">
        <v>61</v>
      </c>
      <c r="AA95" t="s">
        <v>62</v>
      </c>
      <c r="AB95">
        <v>1</v>
      </c>
      <c r="AD95" t="s">
        <v>54</v>
      </c>
      <c r="AE95" t="s">
        <v>54</v>
      </c>
      <c r="AF95" t="s">
        <v>54</v>
      </c>
      <c r="AG95" t="s">
        <v>54</v>
      </c>
      <c r="AH95" t="s">
        <v>131</v>
      </c>
      <c r="AI95" t="s">
        <v>66</v>
      </c>
      <c r="AJ95" t="s">
        <v>54</v>
      </c>
      <c r="AK95" t="s">
        <v>861</v>
      </c>
      <c r="AL95" t="s">
        <v>862</v>
      </c>
      <c r="AN95" s="19">
        <f>IF(ISBLANK(Mentors[[#This Row],[Onboarded Date]]),"",Mentors[[#This Row],[Onboarded Date]]-WEEKDAY(Mentors[[#This Row],[Onboarded Date]],2)+1)</f>
        <v>45656</v>
      </c>
    </row>
    <row r="96" spans="1:40" ht="19.2" customHeight="1" x14ac:dyDescent="0.3">
      <c r="A96" t="s">
        <v>863</v>
      </c>
      <c r="B96" t="s">
        <v>215</v>
      </c>
      <c r="C96" t="s">
        <v>864</v>
      </c>
      <c r="D96" t="s">
        <v>865</v>
      </c>
      <c r="E96" t="s">
        <v>866</v>
      </c>
      <c r="F96">
        <v>2000</v>
      </c>
      <c r="G96">
        <f>IF(OR(Mentors[[#This Row],[Career Start Year]]="NA",ISBLANK(Mentors[[#This Row],[Career Start Year]])),"",2026 - Mentors[[#This Row],[Career Start Year]])</f>
        <v>26</v>
      </c>
      <c r="H9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96" t="s">
        <v>51</v>
      </c>
      <c r="J96" t="s">
        <v>196</v>
      </c>
      <c r="K96" t="s">
        <v>867</v>
      </c>
      <c r="M96" s="19">
        <v>45658</v>
      </c>
      <c r="O96" t="s">
        <v>0</v>
      </c>
      <c r="Q96" t="s">
        <v>54</v>
      </c>
      <c r="R96" t="s">
        <v>63</v>
      </c>
      <c r="S96" t="s">
        <v>54</v>
      </c>
      <c r="T96" t="s">
        <v>166</v>
      </c>
      <c r="U96" t="s">
        <v>77</v>
      </c>
      <c r="V96" t="s">
        <v>58</v>
      </c>
      <c r="W96" t="s">
        <v>78</v>
      </c>
      <c r="X96" t="s">
        <v>59</v>
      </c>
      <c r="Z96" t="s">
        <v>81</v>
      </c>
      <c r="AA96" t="s">
        <v>62</v>
      </c>
      <c r="AB96">
        <v>1</v>
      </c>
      <c r="AD96" t="s">
        <v>54</v>
      </c>
      <c r="AE96" t="s">
        <v>54</v>
      </c>
      <c r="AF96" t="s">
        <v>63</v>
      </c>
      <c r="AG96" t="s">
        <v>54</v>
      </c>
      <c r="AH96" t="s">
        <v>215</v>
      </c>
      <c r="AI96" t="s">
        <v>66</v>
      </c>
      <c r="AJ96" t="s">
        <v>54</v>
      </c>
      <c r="AK96" t="s">
        <v>868</v>
      </c>
      <c r="AL96" t="s">
        <v>869</v>
      </c>
      <c r="AN96" s="19">
        <f>IF(ISBLANK(Mentors[[#This Row],[Onboarded Date]]),"",Mentors[[#This Row],[Onboarded Date]]-WEEKDAY(Mentors[[#This Row],[Onboarded Date]],2)+1)</f>
        <v>45656</v>
      </c>
    </row>
    <row r="97" spans="1:40" ht="19.2" customHeight="1" x14ac:dyDescent="0.3">
      <c r="A97" t="s">
        <v>870</v>
      </c>
      <c r="B97" t="s">
        <v>152</v>
      </c>
      <c r="C97" t="s">
        <v>871</v>
      </c>
      <c r="D97" t="s">
        <v>872</v>
      </c>
      <c r="E97" s="7" t="s">
        <v>873</v>
      </c>
      <c r="F97">
        <v>1993</v>
      </c>
      <c r="G97">
        <f>IF(OR(Mentors[[#This Row],[Career Start Year]]="NA",ISBLANK(Mentors[[#This Row],[Career Start Year]])),"",2026 - Mentors[[#This Row],[Career Start Year]])</f>
        <v>33</v>
      </c>
      <c r="H9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97" t="s">
        <v>51</v>
      </c>
      <c r="J97" t="s">
        <v>88</v>
      </c>
      <c r="K97" t="s">
        <v>874</v>
      </c>
      <c r="L97" s="17">
        <v>9849013327</v>
      </c>
      <c r="M97" s="19">
        <v>45658</v>
      </c>
      <c r="O97" t="s">
        <v>0</v>
      </c>
      <c r="Q97" t="s">
        <v>54</v>
      </c>
      <c r="R97" t="s">
        <v>63</v>
      </c>
      <c r="S97" t="s">
        <v>63</v>
      </c>
      <c r="T97" t="s">
        <v>77</v>
      </c>
      <c r="U97" t="s">
        <v>100</v>
      </c>
      <c r="V97" t="s">
        <v>58</v>
      </c>
      <c r="W97" t="s">
        <v>65</v>
      </c>
      <c r="X97" t="s">
        <v>80</v>
      </c>
      <c r="Y97" t="s">
        <v>59</v>
      </c>
      <c r="Z97" t="s">
        <v>61</v>
      </c>
      <c r="AA97" t="s">
        <v>62</v>
      </c>
      <c r="AB97">
        <v>1</v>
      </c>
      <c r="AD97" t="s">
        <v>54</v>
      </c>
      <c r="AE97" t="s">
        <v>63</v>
      </c>
      <c r="AF97" t="s">
        <v>63</v>
      </c>
      <c r="AG97" t="s">
        <v>54</v>
      </c>
      <c r="AH97" t="s">
        <v>152</v>
      </c>
      <c r="AI97" t="s">
        <v>77</v>
      </c>
      <c r="AJ97" t="s">
        <v>54</v>
      </c>
      <c r="AK97" t="s">
        <v>875</v>
      </c>
      <c r="AL97" t="s">
        <v>876</v>
      </c>
      <c r="AN97" s="19">
        <f>IF(ISBLANK(Mentors[[#This Row],[Onboarded Date]]),"",Mentors[[#This Row],[Onboarded Date]]-WEEKDAY(Mentors[[#This Row],[Onboarded Date]],2)+1)</f>
        <v>45656</v>
      </c>
    </row>
    <row r="98" spans="1:40" ht="19.2" customHeight="1" x14ac:dyDescent="0.3">
      <c r="A98" t="s">
        <v>877</v>
      </c>
      <c r="B98" t="s">
        <v>704</v>
      </c>
      <c r="C98" t="s">
        <v>878</v>
      </c>
      <c r="D98" t="s">
        <v>879</v>
      </c>
      <c r="E98" t="s">
        <v>880</v>
      </c>
      <c r="F98">
        <v>2013</v>
      </c>
      <c r="G98">
        <f>IF(OR(Mentors[[#This Row],[Career Start Year]]="NA",ISBLANK(Mentors[[#This Row],[Career Start Year]])),"",2026 - Mentors[[#This Row],[Career Start Year]])</f>
        <v>13</v>
      </c>
      <c r="H9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98" t="s">
        <v>51</v>
      </c>
      <c r="J98" t="s">
        <v>88</v>
      </c>
      <c r="K98" t="s">
        <v>881</v>
      </c>
      <c r="L98" s="17">
        <v>9666780546</v>
      </c>
      <c r="M98" s="19">
        <v>45658</v>
      </c>
      <c r="O98" t="s">
        <v>0</v>
      </c>
      <c r="Q98" t="s">
        <v>54</v>
      </c>
      <c r="R98" t="s">
        <v>63</v>
      </c>
      <c r="S98" t="s">
        <v>54</v>
      </c>
      <c r="T98" t="s">
        <v>110</v>
      </c>
      <c r="U98" t="s">
        <v>65</v>
      </c>
      <c r="V98" t="s">
        <v>78</v>
      </c>
      <c r="W98" t="s">
        <v>79</v>
      </c>
      <c r="Z98" t="s">
        <v>101</v>
      </c>
      <c r="AA98" t="s">
        <v>62</v>
      </c>
      <c r="AB98">
        <v>1</v>
      </c>
      <c r="AD98" t="s">
        <v>54</v>
      </c>
      <c r="AE98" t="s">
        <v>54</v>
      </c>
      <c r="AF98" t="s">
        <v>64</v>
      </c>
      <c r="AG98" t="s">
        <v>54</v>
      </c>
      <c r="AH98" t="s">
        <v>131</v>
      </c>
      <c r="AI98" t="s">
        <v>66</v>
      </c>
      <c r="AJ98" t="s">
        <v>54</v>
      </c>
      <c r="AK98" t="s">
        <v>882</v>
      </c>
      <c r="AL98" t="s">
        <v>883</v>
      </c>
      <c r="AN98" s="19">
        <f>IF(ISBLANK(Mentors[[#This Row],[Onboarded Date]]),"",Mentors[[#This Row],[Onboarded Date]]-WEEKDAY(Mentors[[#This Row],[Onboarded Date]],2)+1)</f>
        <v>45656</v>
      </c>
    </row>
    <row r="99" spans="1:40" ht="19.2" customHeight="1" x14ac:dyDescent="0.3">
      <c r="A99" t="s">
        <v>884</v>
      </c>
      <c r="D99" t="s">
        <v>885</v>
      </c>
      <c r="E99" t="s">
        <v>886</v>
      </c>
      <c r="F99">
        <v>2016</v>
      </c>
      <c r="G99">
        <f>IF(OR(Mentors[[#This Row],[Career Start Year]]="NA",ISBLANK(Mentors[[#This Row],[Career Start Year]])),"",2026 - Mentors[[#This Row],[Career Start Year]])</f>
        <v>10</v>
      </c>
      <c r="H9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99" t="s">
        <v>51</v>
      </c>
      <c r="J99" t="s">
        <v>297</v>
      </c>
      <c r="K99" t="s">
        <v>887</v>
      </c>
      <c r="L99" s="17">
        <v>9711231112</v>
      </c>
      <c r="M99" s="19">
        <v>45658</v>
      </c>
      <c r="N99" t="s">
        <v>2</v>
      </c>
      <c r="O99" t="s">
        <v>0</v>
      </c>
      <c r="Q99" t="s">
        <v>54</v>
      </c>
      <c r="R99" t="s">
        <v>63</v>
      </c>
      <c r="S99" t="s">
        <v>54</v>
      </c>
      <c r="T99" t="s">
        <v>55</v>
      </c>
      <c r="U99" t="s">
        <v>77</v>
      </c>
      <c r="V99" t="s">
        <v>120</v>
      </c>
      <c r="W99" t="s">
        <v>168</v>
      </c>
      <c r="Z99" t="s">
        <v>61</v>
      </c>
      <c r="AA99" t="s">
        <v>62</v>
      </c>
      <c r="AB99">
        <v>1</v>
      </c>
      <c r="AD99" t="s">
        <v>63</v>
      </c>
      <c r="AG99" t="s">
        <v>54</v>
      </c>
      <c r="AH99" t="s">
        <v>65</v>
      </c>
      <c r="AI99" t="s">
        <v>66</v>
      </c>
      <c r="AJ99" t="s">
        <v>54</v>
      </c>
      <c r="AK99" t="s">
        <v>888</v>
      </c>
      <c r="AL99" t="s">
        <v>889</v>
      </c>
      <c r="AN99" s="19">
        <f>IF(ISBLANK(Mentors[[#This Row],[Onboarded Date]]),"",Mentors[[#This Row],[Onboarded Date]]-WEEKDAY(Mentors[[#This Row],[Onboarded Date]],2)+1)</f>
        <v>45656</v>
      </c>
    </row>
    <row r="100" spans="1:40" ht="19.2" customHeight="1" x14ac:dyDescent="0.3">
      <c r="A100" t="s">
        <v>890</v>
      </c>
      <c r="B100" t="s">
        <v>891</v>
      </c>
      <c r="C100" t="s">
        <v>892</v>
      </c>
      <c r="D100" t="s">
        <v>893</v>
      </c>
      <c r="E100" t="s">
        <v>894</v>
      </c>
      <c r="F100">
        <v>2016</v>
      </c>
      <c r="G100">
        <f>IF(OR(Mentors[[#This Row],[Career Start Year]]="NA",ISBLANK(Mentors[[#This Row],[Career Start Year]])),"",2026 - Mentors[[#This Row],[Career Start Year]])</f>
        <v>10</v>
      </c>
      <c r="H10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100" t="s">
        <v>51</v>
      </c>
      <c r="J100" t="s">
        <v>196</v>
      </c>
      <c r="K100" t="s">
        <v>895</v>
      </c>
      <c r="L100" s="17">
        <v>9035911155</v>
      </c>
      <c r="M100" s="19">
        <v>45658</v>
      </c>
      <c r="O100" t="s">
        <v>0</v>
      </c>
      <c r="Q100" t="s">
        <v>54</v>
      </c>
      <c r="R100" t="s">
        <v>54</v>
      </c>
      <c r="S100" t="s">
        <v>63</v>
      </c>
      <c r="T100" t="s">
        <v>77</v>
      </c>
      <c r="U100" t="s">
        <v>65</v>
      </c>
      <c r="V100" s="4" t="s">
        <v>256</v>
      </c>
      <c r="W100" t="s">
        <v>79</v>
      </c>
      <c r="X100" t="s">
        <v>59</v>
      </c>
      <c r="Z100" t="s">
        <v>61</v>
      </c>
      <c r="AA100" t="s">
        <v>62</v>
      </c>
      <c r="AB100">
        <v>1</v>
      </c>
      <c r="AD100" t="s">
        <v>63</v>
      </c>
      <c r="AE100" t="s">
        <v>54</v>
      </c>
      <c r="AG100" t="s">
        <v>54</v>
      </c>
      <c r="AH100" t="s">
        <v>94</v>
      </c>
      <c r="AI100" t="s">
        <v>66</v>
      </c>
      <c r="AJ100" t="s">
        <v>54</v>
      </c>
      <c r="AK100" t="s">
        <v>896</v>
      </c>
      <c r="AL100" t="s">
        <v>897</v>
      </c>
      <c r="AN100" s="19">
        <f>IF(ISBLANK(Mentors[[#This Row],[Onboarded Date]]),"",Mentors[[#This Row],[Onboarded Date]]-WEEKDAY(Mentors[[#This Row],[Onboarded Date]],2)+1)</f>
        <v>45656</v>
      </c>
    </row>
    <row r="101" spans="1:40" ht="19.2" customHeight="1" x14ac:dyDescent="0.3">
      <c r="A101" t="s">
        <v>898</v>
      </c>
      <c r="B101" t="s">
        <v>899</v>
      </c>
      <c r="C101" t="s">
        <v>900</v>
      </c>
      <c r="D101" t="s">
        <v>901</v>
      </c>
      <c r="E101" t="s">
        <v>902</v>
      </c>
      <c r="F101">
        <v>1998</v>
      </c>
      <c r="G101">
        <f>IF(OR(Mentors[[#This Row],[Career Start Year]]="NA",ISBLANK(Mentors[[#This Row],[Career Start Year]])),"",2026 - Mentors[[#This Row],[Career Start Year]])</f>
        <v>28</v>
      </c>
      <c r="H10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01" t="s">
        <v>51</v>
      </c>
      <c r="J101" t="s">
        <v>118</v>
      </c>
      <c r="K101" t="s">
        <v>903</v>
      </c>
      <c r="L101" s="17">
        <v>9819839790</v>
      </c>
      <c r="M101" s="19">
        <v>45658</v>
      </c>
      <c r="N101" t="s">
        <v>2</v>
      </c>
      <c r="O101" t="s">
        <v>0</v>
      </c>
      <c r="Q101" t="s">
        <v>63</v>
      </c>
      <c r="R101" t="s">
        <v>63</v>
      </c>
      <c r="S101" t="s">
        <v>63</v>
      </c>
      <c r="T101" t="s">
        <v>55</v>
      </c>
      <c r="U101" t="s">
        <v>100</v>
      </c>
      <c r="V101" t="s">
        <v>57</v>
      </c>
      <c r="W101" t="s">
        <v>79</v>
      </c>
      <c r="X101" t="s">
        <v>59</v>
      </c>
      <c r="Z101" t="s">
        <v>61</v>
      </c>
      <c r="AA101" t="s">
        <v>62</v>
      </c>
      <c r="AB101">
        <v>1</v>
      </c>
      <c r="AD101" t="s">
        <v>63</v>
      </c>
      <c r="AE101" t="s">
        <v>63</v>
      </c>
      <c r="AF101" t="s">
        <v>64</v>
      </c>
      <c r="AG101" t="s">
        <v>54</v>
      </c>
      <c r="AH101" t="s">
        <v>152</v>
      </c>
      <c r="AI101" t="s">
        <v>66</v>
      </c>
      <c r="AJ101" t="s">
        <v>54</v>
      </c>
      <c r="AK101" t="s">
        <v>904</v>
      </c>
      <c r="AL101" t="s">
        <v>905</v>
      </c>
      <c r="AN101" s="19">
        <f>IF(ISBLANK(Mentors[[#This Row],[Onboarded Date]]),"",Mentors[[#This Row],[Onboarded Date]]-WEEKDAY(Mentors[[#This Row],[Onboarded Date]],2)+1)</f>
        <v>45656</v>
      </c>
    </row>
    <row r="102" spans="1:40" ht="19.2" customHeight="1" x14ac:dyDescent="0.3">
      <c r="A102" t="s">
        <v>906</v>
      </c>
      <c r="B102" t="s">
        <v>260</v>
      </c>
      <c r="C102" t="s">
        <v>907</v>
      </c>
      <c r="D102" t="s">
        <v>908</v>
      </c>
      <c r="E102" t="s">
        <v>909</v>
      </c>
      <c r="F102">
        <v>1998</v>
      </c>
      <c r="G102">
        <f>IF(OR(Mentors[[#This Row],[Career Start Year]]="NA",ISBLANK(Mentors[[#This Row],[Career Start Year]])),"",2026 - Mentors[[#This Row],[Career Start Year]])</f>
        <v>28</v>
      </c>
      <c r="H10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02" t="s">
        <v>51</v>
      </c>
      <c r="J102" t="s">
        <v>196</v>
      </c>
      <c r="K102" t="s">
        <v>910</v>
      </c>
      <c r="L102" s="17">
        <v>8147500232</v>
      </c>
      <c r="M102" s="19">
        <v>45658</v>
      </c>
      <c r="N102" t="s">
        <v>2</v>
      </c>
      <c r="O102" t="s">
        <v>0</v>
      </c>
      <c r="Q102" t="s">
        <v>54</v>
      </c>
      <c r="R102" t="s">
        <v>63</v>
      </c>
      <c r="S102" t="s">
        <v>63</v>
      </c>
      <c r="T102" t="s">
        <v>55</v>
      </c>
      <c r="U102" t="s">
        <v>77</v>
      </c>
      <c r="V102" t="s">
        <v>306</v>
      </c>
      <c r="W102" t="s">
        <v>79</v>
      </c>
      <c r="X102" t="s">
        <v>80</v>
      </c>
      <c r="Y102" t="s">
        <v>59</v>
      </c>
      <c r="Z102" t="s">
        <v>81</v>
      </c>
      <c r="AA102" t="s">
        <v>62</v>
      </c>
      <c r="AB102">
        <v>1</v>
      </c>
      <c r="AD102" t="s">
        <v>54</v>
      </c>
      <c r="AE102" t="s">
        <v>63</v>
      </c>
      <c r="AF102" t="s">
        <v>64</v>
      </c>
      <c r="AG102" t="s">
        <v>54</v>
      </c>
      <c r="AH102" t="s">
        <v>152</v>
      </c>
      <c r="AI102" t="s">
        <v>66</v>
      </c>
      <c r="AJ102" t="s">
        <v>54</v>
      </c>
      <c r="AK102" t="s">
        <v>911</v>
      </c>
      <c r="AL102" t="s">
        <v>912</v>
      </c>
      <c r="AN102" s="19">
        <f>IF(ISBLANK(Mentors[[#This Row],[Onboarded Date]]),"",Mentors[[#This Row],[Onboarded Date]]-WEEKDAY(Mentors[[#This Row],[Onboarded Date]],2)+1)</f>
        <v>45656</v>
      </c>
    </row>
    <row r="103" spans="1:40" ht="19.2" customHeight="1" x14ac:dyDescent="0.3">
      <c r="A103" t="s">
        <v>913</v>
      </c>
      <c r="B103" t="s">
        <v>152</v>
      </c>
      <c r="C103" t="s">
        <v>914</v>
      </c>
      <c r="D103" t="s">
        <v>915</v>
      </c>
      <c r="E103" s="7" t="s">
        <v>916</v>
      </c>
      <c r="F103">
        <v>2003</v>
      </c>
      <c r="G103">
        <f>IF(OR(Mentors[[#This Row],[Career Start Year]]="NA",ISBLANK(Mentors[[#This Row],[Career Start Year]])),"",2026 - Mentors[[#This Row],[Career Start Year]])</f>
        <v>23</v>
      </c>
      <c r="H10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03" t="s">
        <v>51</v>
      </c>
      <c r="J103" t="s">
        <v>917</v>
      </c>
      <c r="K103" t="s">
        <v>918</v>
      </c>
      <c r="L103" s="17">
        <v>7607359820</v>
      </c>
      <c r="M103" s="19">
        <v>45658</v>
      </c>
      <c r="O103" t="s">
        <v>0</v>
      </c>
      <c r="Q103" t="s">
        <v>63</v>
      </c>
      <c r="R103" t="s">
        <v>63</v>
      </c>
      <c r="S103" t="s">
        <v>63</v>
      </c>
      <c r="T103" t="s">
        <v>919</v>
      </c>
      <c r="U103" t="s">
        <v>100</v>
      </c>
      <c r="V103" t="s">
        <v>78</v>
      </c>
      <c r="W103" t="s">
        <v>79</v>
      </c>
      <c r="X103" t="s">
        <v>80</v>
      </c>
      <c r="Z103" t="s">
        <v>101</v>
      </c>
      <c r="AA103" t="s">
        <v>62</v>
      </c>
      <c r="AB103">
        <v>1</v>
      </c>
      <c r="AD103" t="s">
        <v>54</v>
      </c>
      <c r="AE103" t="s">
        <v>63</v>
      </c>
      <c r="AF103" t="s">
        <v>64</v>
      </c>
      <c r="AG103" t="s">
        <v>54</v>
      </c>
      <c r="AH103" t="s">
        <v>152</v>
      </c>
      <c r="AI103" t="s">
        <v>66</v>
      </c>
      <c r="AJ103" t="s">
        <v>54</v>
      </c>
      <c r="AK103" t="s">
        <v>920</v>
      </c>
      <c r="AL103" t="s">
        <v>921</v>
      </c>
      <c r="AN103" s="19">
        <f>IF(ISBLANK(Mentors[[#This Row],[Onboarded Date]]),"",Mentors[[#This Row],[Onboarded Date]]-WEEKDAY(Mentors[[#This Row],[Onboarded Date]],2)+1)</f>
        <v>45656</v>
      </c>
    </row>
    <row r="104" spans="1:40" ht="19.2" customHeight="1" x14ac:dyDescent="0.3">
      <c r="A104" t="s">
        <v>922</v>
      </c>
      <c r="B104" t="s">
        <v>923</v>
      </c>
      <c r="C104" t="s">
        <v>924</v>
      </c>
      <c r="D104" t="s">
        <v>925</v>
      </c>
      <c r="E104" t="s">
        <v>926</v>
      </c>
      <c r="F104">
        <v>1978</v>
      </c>
      <c r="G104">
        <f>IF(OR(Mentors[[#This Row],[Career Start Year]]="NA",ISBLANK(Mentors[[#This Row],[Career Start Year]])),"",2026 - Mentors[[#This Row],[Career Start Year]])</f>
        <v>48</v>
      </c>
      <c r="H10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04" t="s">
        <v>927</v>
      </c>
      <c r="J104" t="s">
        <v>928</v>
      </c>
      <c r="K104" t="s">
        <v>929</v>
      </c>
      <c r="L104" s="17">
        <v>9098199405</v>
      </c>
      <c r="M104" s="19">
        <v>45658</v>
      </c>
      <c r="O104" t="s">
        <v>0</v>
      </c>
      <c r="Q104" t="s">
        <v>54</v>
      </c>
      <c r="R104" t="s">
        <v>63</v>
      </c>
      <c r="S104" t="s">
        <v>54</v>
      </c>
      <c r="T104" t="s">
        <v>77</v>
      </c>
      <c r="U104" t="s">
        <v>166</v>
      </c>
      <c r="V104" t="s">
        <v>78</v>
      </c>
      <c r="W104" t="s">
        <v>79</v>
      </c>
      <c r="Z104" t="s">
        <v>81</v>
      </c>
      <c r="AA104" t="s">
        <v>62</v>
      </c>
      <c r="AB104">
        <v>1</v>
      </c>
      <c r="AD104" t="s">
        <v>54</v>
      </c>
      <c r="AE104" t="s">
        <v>54</v>
      </c>
      <c r="AF104" t="s">
        <v>64</v>
      </c>
      <c r="AG104" t="s">
        <v>54</v>
      </c>
      <c r="AH104" t="s">
        <v>65</v>
      </c>
      <c r="AI104" t="s">
        <v>66</v>
      </c>
      <c r="AJ104" t="s">
        <v>54</v>
      </c>
      <c r="AK104" t="s">
        <v>888</v>
      </c>
      <c r="AL104" t="s">
        <v>930</v>
      </c>
      <c r="AN104" s="19">
        <f>IF(ISBLANK(Mentors[[#This Row],[Onboarded Date]]),"",Mentors[[#This Row],[Onboarded Date]]-WEEKDAY(Mentors[[#This Row],[Onboarded Date]],2)+1)</f>
        <v>45656</v>
      </c>
    </row>
    <row r="105" spans="1:40" ht="19.2" customHeight="1" x14ac:dyDescent="0.3">
      <c r="A105" t="s">
        <v>931</v>
      </c>
      <c r="B105" t="s">
        <v>260</v>
      </c>
      <c r="C105" t="s">
        <v>932</v>
      </c>
      <c r="D105" t="s">
        <v>933</v>
      </c>
      <c r="E105" t="s">
        <v>934</v>
      </c>
      <c r="F105">
        <v>2015</v>
      </c>
      <c r="G105">
        <f>IF(OR(Mentors[[#This Row],[Career Start Year]]="NA",ISBLANK(Mentors[[#This Row],[Career Start Year]])),"",2026 - Mentors[[#This Row],[Career Start Year]])</f>
        <v>11</v>
      </c>
      <c r="H10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05" t="s">
        <v>51</v>
      </c>
      <c r="J105" t="s">
        <v>935</v>
      </c>
      <c r="K105" t="s">
        <v>936</v>
      </c>
      <c r="L105" s="17">
        <v>9464016331</v>
      </c>
      <c r="M105" s="19">
        <v>45658</v>
      </c>
      <c r="N105" t="s">
        <v>2</v>
      </c>
      <c r="O105" t="s">
        <v>0</v>
      </c>
      <c r="Q105" t="s">
        <v>54</v>
      </c>
      <c r="R105" t="s">
        <v>63</v>
      </c>
      <c r="S105" t="s">
        <v>63</v>
      </c>
      <c r="T105" t="s">
        <v>55</v>
      </c>
      <c r="U105" t="s">
        <v>77</v>
      </c>
      <c r="V105" s="4" t="s">
        <v>481</v>
      </c>
      <c r="W105" t="s">
        <v>79</v>
      </c>
      <c r="X105" t="s">
        <v>59</v>
      </c>
      <c r="Z105" t="s">
        <v>61</v>
      </c>
      <c r="AA105" t="s">
        <v>62</v>
      </c>
      <c r="AB105">
        <v>1</v>
      </c>
      <c r="AD105" t="s">
        <v>54</v>
      </c>
      <c r="AE105" t="s">
        <v>63</v>
      </c>
      <c r="AF105" t="s">
        <v>64</v>
      </c>
      <c r="AG105" t="s">
        <v>54</v>
      </c>
      <c r="AH105" t="s">
        <v>152</v>
      </c>
      <c r="AI105" t="s">
        <v>66</v>
      </c>
      <c r="AJ105" t="s">
        <v>54</v>
      </c>
      <c r="AK105" t="s">
        <v>937</v>
      </c>
      <c r="AL105" t="s">
        <v>938</v>
      </c>
      <c r="AN105" s="19">
        <f>IF(ISBLANK(Mentors[[#This Row],[Onboarded Date]]),"",Mentors[[#This Row],[Onboarded Date]]-WEEKDAY(Mentors[[#This Row],[Onboarded Date]],2)+1)</f>
        <v>45656</v>
      </c>
    </row>
    <row r="106" spans="1:40" ht="19.2" customHeight="1" x14ac:dyDescent="0.3">
      <c r="A106" t="s">
        <v>939</v>
      </c>
      <c r="B106" t="s">
        <v>260</v>
      </c>
      <c r="C106" t="s">
        <v>940</v>
      </c>
      <c r="D106" s="4" t="s">
        <v>941</v>
      </c>
      <c r="E106" t="s">
        <v>942</v>
      </c>
      <c r="F106">
        <v>2002</v>
      </c>
      <c r="G106">
        <f>IF(OR(Mentors[[#This Row],[Career Start Year]]="NA",ISBLANK(Mentors[[#This Row],[Career Start Year]])),"",2026 - Mentors[[#This Row],[Career Start Year]])</f>
        <v>24</v>
      </c>
      <c r="H10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06" t="s">
        <v>943</v>
      </c>
      <c r="J106" t="s">
        <v>943</v>
      </c>
      <c r="K106" t="s">
        <v>944</v>
      </c>
      <c r="L106" s="17">
        <v>8138011900</v>
      </c>
      <c r="M106" s="19">
        <v>45658</v>
      </c>
      <c r="O106" t="s">
        <v>0</v>
      </c>
      <c r="Q106" t="s">
        <v>54</v>
      </c>
      <c r="R106" t="s">
        <v>54</v>
      </c>
      <c r="S106" t="s">
        <v>63</v>
      </c>
      <c r="T106" t="s">
        <v>110</v>
      </c>
      <c r="U106" t="s">
        <v>79</v>
      </c>
      <c r="V106" t="s">
        <v>78</v>
      </c>
      <c r="W106" t="s">
        <v>79</v>
      </c>
      <c r="Z106" t="s">
        <v>101</v>
      </c>
      <c r="AA106" t="s">
        <v>62</v>
      </c>
      <c r="AB106">
        <v>1</v>
      </c>
      <c r="AD106" t="s">
        <v>54</v>
      </c>
      <c r="AE106" t="s">
        <v>63</v>
      </c>
      <c r="AF106" t="s">
        <v>64</v>
      </c>
      <c r="AG106" t="s">
        <v>54</v>
      </c>
      <c r="AH106" t="s">
        <v>152</v>
      </c>
      <c r="AI106" t="s">
        <v>122</v>
      </c>
      <c r="AJ106" t="s">
        <v>54</v>
      </c>
      <c r="AK106" t="s">
        <v>945</v>
      </c>
      <c r="AL106" t="s">
        <v>946</v>
      </c>
      <c r="AN106" s="19">
        <f>IF(ISBLANK(Mentors[[#This Row],[Onboarded Date]]),"",Mentors[[#This Row],[Onboarded Date]]-WEEKDAY(Mentors[[#This Row],[Onboarded Date]],2)+1)</f>
        <v>45656</v>
      </c>
    </row>
    <row r="107" spans="1:40" ht="19.2" customHeight="1" x14ac:dyDescent="0.3">
      <c r="A107" t="s">
        <v>947</v>
      </c>
      <c r="B107" t="s">
        <v>152</v>
      </c>
      <c r="C107" t="s">
        <v>948</v>
      </c>
      <c r="D107" t="s">
        <v>949</v>
      </c>
      <c r="E107" t="s">
        <v>950</v>
      </c>
      <c r="F107">
        <v>2000</v>
      </c>
      <c r="G107">
        <f>IF(OR(Mentors[[#This Row],[Career Start Year]]="NA",ISBLANK(Mentors[[#This Row],[Career Start Year]])),"",2026 - Mentors[[#This Row],[Career Start Year]])</f>
        <v>26</v>
      </c>
      <c r="H10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07" t="s">
        <v>51</v>
      </c>
      <c r="J107" t="s">
        <v>389</v>
      </c>
      <c r="K107" t="s">
        <v>951</v>
      </c>
      <c r="L107" s="17">
        <v>9810387898</v>
      </c>
      <c r="M107" s="19">
        <v>45658</v>
      </c>
      <c r="N107" t="s">
        <v>2</v>
      </c>
      <c r="O107" t="s">
        <v>0</v>
      </c>
      <c r="Q107" t="s">
        <v>63</v>
      </c>
      <c r="R107" t="s">
        <v>63</v>
      </c>
      <c r="S107" t="s">
        <v>63</v>
      </c>
      <c r="T107" t="s">
        <v>55</v>
      </c>
      <c r="U107" t="s">
        <v>77</v>
      </c>
      <c r="V107" t="s">
        <v>198</v>
      </c>
      <c r="W107" t="s">
        <v>79</v>
      </c>
      <c r="X107" t="s">
        <v>59</v>
      </c>
      <c r="Y107" t="s">
        <v>60</v>
      </c>
      <c r="Z107" t="s">
        <v>61</v>
      </c>
      <c r="AA107" t="s">
        <v>62</v>
      </c>
      <c r="AB107">
        <v>1</v>
      </c>
      <c r="AD107" t="s">
        <v>54</v>
      </c>
      <c r="AE107" t="s">
        <v>63</v>
      </c>
      <c r="AF107" t="s">
        <v>64</v>
      </c>
      <c r="AG107" t="s">
        <v>54</v>
      </c>
      <c r="AH107" t="s">
        <v>152</v>
      </c>
      <c r="AI107" t="s">
        <v>66</v>
      </c>
      <c r="AJ107" t="s">
        <v>54</v>
      </c>
      <c r="AK107" t="s">
        <v>952</v>
      </c>
      <c r="AL107" t="s">
        <v>953</v>
      </c>
      <c r="AN107" s="19">
        <f>IF(ISBLANK(Mentors[[#This Row],[Onboarded Date]]),"",Mentors[[#This Row],[Onboarded Date]]-WEEKDAY(Mentors[[#This Row],[Onboarded Date]],2)+1)</f>
        <v>45656</v>
      </c>
    </row>
    <row r="108" spans="1:40" ht="19.2" customHeight="1" x14ac:dyDescent="0.3">
      <c r="A108" t="s">
        <v>954</v>
      </c>
      <c r="B108" t="s">
        <v>152</v>
      </c>
      <c r="C108" t="s">
        <v>955</v>
      </c>
      <c r="D108" t="s">
        <v>956</v>
      </c>
      <c r="E108" t="s">
        <v>957</v>
      </c>
      <c r="F108">
        <v>1990</v>
      </c>
      <c r="G108">
        <f>IF(OR(Mentors[[#This Row],[Career Start Year]]="NA",ISBLANK(Mentors[[#This Row],[Career Start Year]])),"",2026 - Mentors[[#This Row],[Career Start Year]])</f>
        <v>36</v>
      </c>
      <c r="H10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08" t="s">
        <v>51</v>
      </c>
      <c r="J108" t="s">
        <v>140</v>
      </c>
      <c r="K108" t="s">
        <v>958</v>
      </c>
      <c r="L108" s="17">
        <v>8800154025</v>
      </c>
      <c r="M108" s="19">
        <v>45658</v>
      </c>
      <c r="O108" t="s">
        <v>0</v>
      </c>
      <c r="Q108" t="s">
        <v>63</v>
      </c>
      <c r="R108" t="s">
        <v>63</v>
      </c>
      <c r="S108" t="s">
        <v>63</v>
      </c>
      <c r="T108" t="s">
        <v>99</v>
      </c>
      <c r="U108" t="s">
        <v>77</v>
      </c>
      <c r="V108" t="s">
        <v>57</v>
      </c>
      <c r="W108" t="s">
        <v>79</v>
      </c>
      <c r="Z108" t="s">
        <v>81</v>
      </c>
      <c r="AA108" t="s">
        <v>62</v>
      </c>
      <c r="AB108">
        <v>1</v>
      </c>
      <c r="AD108" t="s">
        <v>54</v>
      </c>
      <c r="AE108" t="s">
        <v>63</v>
      </c>
      <c r="AF108" t="s">
        <v>64</v>
      </c>
      <c r="AG108" t="s">
        <v>54</v>
      </c>
      <c r="AH108" t="s">
        <v>152</v>
      </c>
      <c r="AI108" t="s">
        <v>132</v>
      </c>
      <c r="AJ108" t="s">
        <v>54</v>
      </c>
      <c r="AK108" t="s">
        <v>959</v>
      </c>
      <c r="AL108" t="s">
        <v>960</v>
      </c>
      <c r="AN108" s="19">
        <f>IF(ISBLANK(Mentors[[#This Row],[Onboarded Date]]),"",Mentors[[#This Row],[Onboarded Date]]-WEEKDAY(Mentors[[#This Row],[Onboarded Date]],2)+1)</f>
        <v>45656</v>
      </c>
    </row>
    <row r="109" spans="1:40" ht="19.2" customHeight="1" x14ac:dyDescent="0.3">
      <c r="A109" t="s">
        <v>961</v>
      </c>
      <c r="B109" t="s">
        <v>962</v>
      </c>
      <c r="C109" t="s">
        <v>963</v>
      </c>
      <c r="D109" t="s">
        <v>964</v>
      </c>
      <c r="E109" t="s">
        <v>965</v>
      </c>
      <c r="F109">
        <v>2020</v>
      </c>
      <c r="G109">
        <f>IF(OR(Mentors[[#This Row],[Career Start Year]]="NA",ISBLANK(Mentors[[#This Row],[Career Start Year]])),"",2026 - Mentors[[#This Row],[Career Start Year]])</f>
        <v>6</v>
      </c>
      <c r="H10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109" t="s">
        <v>51</v>
      </c>
      <c r="J109" t="s">
        <v>52</v>
      </c>
      <c r="K109" t="s">
        <v>966</v>
      </c>
      <c r="L109" s="17">
        <v>9430082338</v>
      </c>
      <c r="M109" s="19">
        <v>45658</v>
      </c>
      <c r="O109" t="s">
        <v>0</v>
      </c>
      <c r="Q109" t="s">
        <v>54</v>
      </c>
      <c r="R109" t="s">
        <v>63</v>
      </c>
      <c r="S109" t="s">
        <v>63</v>
      </c>
      <c r="T109" t="s">
        <v>77</v>
      </c>
      <c r="U109" t="s">
        <v>100</v>
      </c>
      <c r="V109" t="s">
        <v>78</v>
      </c>
      <c r="W109" t="s">
        <v>79</v>
      </c>
      <c r="X109" t="s">
        <v>59</v>
      </c>
      <c r="Z109" t="s">
        <v>101</v>
      </c>
      <c r="AA109" t="s">
        <v>62</v>
      </c>
      <c r="AB109">
        <v>1</v>
      </c>
      <c r="AD109" t="s">
        <v>54</v>
      </c>
      <c r="AE109" t="s">
        <v>63</v>
      </c>
      <c r="AF109" t="s">
        <v>64</v>
      </c>
      <c r="AG109" t="s">
        <v>54</v>
      </c>
      <c r="AH109" t="s">
        <v>152</v>
      </c>
      <c r="AI109" t="s">
        <v>66</v>
      </c>
      <c r="AJ109" t="s">
        <v>54</v>
      </c>
      <c r="AK109" t="s">
        <v>967</v>
      </c>
      <c r="AL109" t="s">
        <v>968</v>
      </c>
      <c r="AN109" s="19">
        <f>IF(ISBLANK(Mentors[[#This Row],[Onboarded Date]]),"",Mentors[[#This Row],[Onboarded Date]]-WEEKDAY(Mentors[[#This Row],[Onboarded Date]],2)+1)</f>
        <v>45656</v>
      </c>
    </row>
    <row r="110" spans="1:40" ht="19.2" customHeight="1" x14ac:dyDescent="0.3">
      <c r="A110" t="s">
        <v>969</v>
      </c>
      <c r="B110" t="s">
        <v>970</v>
      </c>
      <c r="C110" t="s">
        <v>971</v>
      </c>
      <c r="D110" t="s">
        <v>972</v>
      </c>
      <c r="E110" t="s">
        <v>973</v>
      </c>
      <c r="F110">
        <v>2018</v>
      </c>
      <c r="G110">
        <f>IF(OR(Mentors[[#This Row],[Career Start Year]]="NA",ISBLANK(Mentors[[#This Row],[Career Start Year]])),"",2026 - Mentors[[#This Row],[Career Start Year]])</f>
        <v>8</v>
      </c>
      <c r="H11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110" t="s">
        <v>51</v>
      </c>
      <c r="J110" t="s">
        <v>196</v>
      </c>
      <c r="K110" t="s">
        <v>974</v>
      </c>
      <c r="L110" s="17" t="s">
        <v>975</v>
      </c>
      <c r="M110" s="19">
        <v>45658</v>
      </c>
      <c r="O110" t="s">
        <v>0</v>
      </c>
      <c r="Q110" t="s">
        <v>54</v>
      </c>
      <c r="R110" t="s">
        <v>63</v>
      </c>
      <c r="S110" t="s">
        <v>63</v>
      </c>
      <c r="T110" t="s">
        <v>77</v>
      </c>
      <c r="U110" t="s">
        <v>79</v>
      </c>
      <c r="V110" s="4" t="s">
        <v>481</v>
      </c>
      <c r="W110" t="s">
        <v>65</v>
      </c>
      <c r="Z110" t="s">
        <v>101</v>
      </c>
      <c r="AA110" t="s">
        <v>62</v>
      </c>
      <c r="AB110">
        <v>1</v>
      </c>
      <c r="AD110" t="s">
        <v>54</v>
      </c>
      <c r="AE110" t="s">
        <v>54</v>
      </c>
      <c r="AF110" t="s">
        <v>64</v>
      </c>
      <c r="AG110" t="s">
        <v>54</v>
      </c>
      <c r="AH110" t="s">
        <v>65</v>
      </c>
      <c r="AI110" t="s">
        <v>66</v>
      </c>
      <c r="AJ110" t="s">
        <v>54</v>
      </c>
      <c r="AK110" t="s">
        <v>976</v>
      </c>
      <c r="AL110" t="s">
        <v>977</v>
      </c>
      <c r="AN110" s="19">
        <f>IF(ISBLANK(Mentors[[#This Row],[Onboarded Date]]),"",Mentors[[#This Row],[Onboarded Date]]-WEEKDAY(Mentors[[#This Row],[Onboarded Date]],2)+1)</f>
        <v>45656</v>
      </c>
    </row>
    <row r="111" spans="1:40" ht="19.2" customHeight="1" x14ac:dyDescent="0.3">
      <c r="A111" t="s">
        <v>978</v>
      </c>
      <c r="B111" t="s">
        <v>260</v>
      </c>
      <c r="C111" t="s">
        <v>979</v>
      </c>
      <c r="D111" t="s">
        <v>980</v>
      </c>
      <c r="E111" t="s">
        <v>981</v>
      </c>
      <c r="F111">
        <v>2013</v>
      </c>
      <c r="G111">
        <f>IF(OR(Mentors[[#This Row],[Career Start Year]]="NA",ISBLANK(Mentors[[#This Row],[Career Start Year]])),"",2026 - Mentors[[#This Row],[Career Start Year]])</f>
        <v>13</v>
      </c>
      <c r="H11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11" t="s">
        <v>51</v>
      </c>
      <c r="J111" t="s">
        <v>196</v>
      </c>
      <c r="K111" t="s">
        <v>982</v>
      </c>
      <c r="L111" s="17">
        <v>9207992770</v>
      </c>
      <c r="M111" s="19">
        <v>45658</v>
      </c>
      <c r="N111" t="s">
        <v>2</v>
      </c>
      <c r="O111" t="s">
        <v>0</v>
      </c>
      <c r="Q111" t="s">
        <v>54</v>
      </c>
      <c r="R111" t="s">
        <v>54</v>
      </c>
      <c r="S111" t="s">
        <v>63</v>
      </c>
      <c r="T111" t="s">
        <v>411</v>
      </c>
      <c r="U111" t="s">
        <v>77</v>
      </c>
      <c r="V111" t="s">
        <v>198</v>
      </c>
      <c r="W111" t="s">
        <v>65</v>
      </c>
      <c r="X111" t="s">
        <v>59</v>
      </c>
      <c r="Z111" t="s">
        <v>101</v>
      </c>
      <c r="AA111" t="s">
        <v>62</v>
      </c>
      <c r="AB111">
        <v>1</v>
      </c>
      <c r="AD111" t="s">
        <v>63</v>
      </c>
      <c r="AF111" t="s">
        <v>64</v>
      </c>
      <c r="AG111" t="s">
        <v>54</v>
      </c>
      <c r="AH111" t="s">
        <v>152</v>
      </c>
      <c r="AI111" t="s">
        <v>248</v>
      </c>
      <c r="AJ111" t="s">
        <v>54</v>
      </c>
      <c r="AK111" t="s">
        <v>983</v>
      </c>
      <c r="AL111" t="s">
        <v>984</v>
      </c>
      <c r="AN111" s="19">
        <f>IF(ISBLANK(Mentors[[#This Row],[Onboarded Date]]),"",Mentors[[#This Row],[Onboarded Date]]-WEEKDAY(Mentors[[#This Row],[Onboarded Date]],2)+1)</f>
        <v>45656</v>
      </c>
    </row>
    <row r="112" spans="1:40" ht="19.2" customHeight="1" x14ac:dyDescent="0.3">
      <c r="A112" t="s">
        <v>985</v>
      </c>
      <c r="C112" t="s">
        <v>986</v>
      </c>
      <c r="F112">
        <v>2013</v>
      </c>
      <c r="G112">
        <f>IF(OR(Mentors[[#This Row],[Career Start Year]]="NA",ISBLANK(Mentors[[#This Row],[Career Start Year]])),"",2026 - Mentors[[#This Row],[Career Start Year]])</f>
        <v>13</v>
      </c>
      <c r="H11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12" t="s">
        <v>51</v>
      </c>
      <c r="J112" t="s">
        <v>297</v>
      </c>
      <c r="M112" s="19">
        <v>45658</v>
      </c>
      <c r="N112" t="s">
        <v>10</v>
      </c>
      <c r="Q112" t="s">
        <v>54</v>
      </c>
      <c r="R112" t="s">
        <v>54</v>
      </c>
      <c r="S112" t="s">
        <v>54</v>
      </c>
      <c r="T112" t="s">
        <v>55</v>
      </c>
      <c r="U112" t="s">
        <v>187</v>
      </c>
      <c r="V112" t="s">
        <v>256</v>
      </c>
      <c r="W112" t="s">
        <v>79</v>
      </c>
      <c r="Z112" t="s">
        <v>169</v>
      </c>
      <c r="AA112" t="s">
        <v>170</v>
      </c>
      <c r="AB112">
        <v>1</v>
      </c>
      <c r="AD112" t="s">
        <v>63</v>
      </c>
      <c r="AG112" t="s">
        <v>54</v>
      </c>
      <c r="AH112" t="s">
        <v>65</v>
      </c>
      <c r="AI112" t="s">
        <v>66</v>
      </c>
      <c r="AJ112" t="s">
        <v>54</v>
      </c>
      <c r="AK112" t="s">
        <v>987</v>
      </c>
      <c r="AL112" t="s">
        <v>988</v>
      </c>
      <c r="AN112" s="19">
        <f>IF(ISBLANK(Mentors[[#This Row],[Onboarded Date]]),"",Mentors[[#This Row],[Onboarded Date]]-WEEKDAY(Mentors[[#This Row],[Onboarded Date]],2)+1)</f>
        <v>45656</v>
      </c>
    </row>
    <row r="113" spans="1:40" ht="19.2" customHeight="1" x14ac:dyDescent="0.3">
      <c r="A113" t="s">
        <v>989</v>
      </c>
      <c r="C113" t="s">
        <v>986</v>
      </c>
      <c r="F113">
        <v>2013</v>
      </c>
      <c r="G113">
        <f>IF(OR(Mentors[[#This Row],[Career Start Year]]="NA",ISBLANK(Mentors[[#This Row],[Career Start Year]])),"",2026 - Mentors[[#This Row],[Career Start Year]])</f>
        <v>13</v>
      </c>
      <c r="H11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13" t="s">
        <v>51</v>
      </c>
      <c r="J113" t="s">
        <v>88</v>
      </c>
      <c r="M113" s="19">
        <v>45658</v>
      </c>
      <c r="N113" t="s">
        <v>10</v>
      </c>
      <c r="Q113" t="s">
        <v>54</v>
      </c>
      <c r="R113" t="s">
        <v>54</v>
      </c>
      <c r="S113" t="s">
        <v>54</v>
      </c>
      <c r="T113" t="s">
        <v>55</v>
      </c>
      <c r="U113" t="s">
        <v>187</v>
      </c>
      <c r="V113" t="s">
        <v>256</v>
      </c>
      <c r="W113" t="s">
        <v>79</v>
      </c>
      <c r="Z113" t="s">
        <v>169</v>
      </c>
      <c r="AA113" t="s">
        <v>170</v>
      </c>
      <c r="AB113">
        <v>1</v>
      </c>
      <c r="AD113" t="s">
        <v>63</v>
      </c>
      <c r="AG113" t="s">
        <v>54</v>
      </c>
      <c r="AH113" t="s">
        <v>65</v>
      </c>
      <c r="AI113" t="s">
        <v>66</v>
      </c>
      <c r="AJ113" t="s">
        <v>54</v>
      </c>
      <c r="AK113" t="s">
        <v>987</v>
      </c>
      <c r="AL113" t="s">
        <v>988</v>
      </c>
      <c r="AN113" s="19">
        <f>IF(ISBLANK(Mentors[[#This Row],[Onboarded Date]]),"",Mentors[[#This Row],[Onboarded Date]]-WEEKDAY(Mentors[[#This Row],[Onboarded Date]],2)+1)</f>
        <v>45656</v>
      </c>
    </row>
    <row r="114" spans="1:40" ht="19.2" customHeight="1" x14ac:dyDescent="0.3">
      <c r="A114" t="s">
        <v>990</v>
      </c>
      <c r="C114" t="s">
        <v>986</v>
      </c>
      <c r="F114">
        <v>2013</v>
      </c>
      <c r="G114">
        <f>IF(OR(Mentors[[#This Row],[Career Start Year]]="NA",ISBLANK(Mentors[[#This Row],[Career Start Year]])),"",2026 - Mentors[[#This Row],[Career Start Year]])</f>
        <v>13</v>
      </c>
      <c r="H11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14" t="s">
        <v>51</v>
      </c>
      <c r="J114" t="s">
        <v>196</v>
      </c>
      <c r="M114" s="19">
        <v>45658</v>
      </c>
      <c r="N114" t="s">
        <v>10</v>
      </c>
      <c r="Q114" t="s">
        <v>54</v>
      </c>
      <c r="R114" t="s">
        <v>54</v>
      </c>
      <c r="S114" t="s">
        <v>54</v>
      </c>
      <c r="T114" t="s">
        <v>55</v>
      </c>
      <c r="U114" t="s">
        <v>187</v>
      </c>
      <c r="V114" t="s">
        <v>256</v>
      </c>
      <c r="W114" t="s">
        <v>79</v>
      </c>
      <c r="Z114" t="s">
        <v>169</v>
      </c>
      <c r="AA114" t="s">
        <v>170</v>
      </c>
      <c r="AB114">
        <v>1</v>
      </c>
      <c r="AD114" t="s">
        <v>63</v>
      </c>
      <c r="AG114" t="s">
        <v>54</v>
      </c>
      <c r="AH114" t="s">
        <v>65</v>
      </c>
      <c r="AI114" t="s">
        <v>66</v>
      </c>
      <c r="AJ114" t="s">
        <v>54</v>
      </c>
      <c r="AK114" t="s">
        <v>987</v>
      </c>
      <c r="AL114" t="s">
        <v>988</v>
      </c>
      <c r="AN114" s="19">
        <f>IF(ISBLANK(Mentors[[#This Row],[Onboarded Date]]),"",Mentors[[#This Row],[Onboarded Date]]-WEEKDAY(Mentors[[#This Row],[Onboarded Date]],2)+1)</f>
        <v>45656</v>
      </c>
    </row>
    <row r="115" spans="1:40" ht="19.2" customHeight="1" x14ac:dyDescent="0.3">
      <c r="A115" t="s">
        <v>991</v>
      </c>
      <c r="C115" t="s">
        <v>986</v>
      </c>
      <c r="F115">
        <v>2013</v>
      </c>
      <c r="G115">
        <f>IF(OR(Mentors[[#This Row],[Career Start Year]]="NA",ISBLANK(Mentors[[#This Row],[Career Start Year]])),"",2026 - Mentors[[#This Row],[Career Start Year]])</f>
        <v>13</v>
      </c>
      <c r="H11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15" t="s">
        <v>51</v>
      </c>
      <c r="J115" t="s">
        <v>297</v>
      </c>
      <c r="M115" s="19">
        <v>45658</v>
      </c>
      <c r="N115" t="s">
        <v>10</v>
      </c>
      <c r="Q115" t="s">
        <v>54</v>
      </c>
      <c r="R115" t="s">
        <v>54</v>
      </c>
      <c r="S115" t="s">
        <v>54</v>
      </c>
      <c r="T115" t="s">
        <v>55</v>
      </c>
      <c r="U115" t="s">
        <v>187</v>
      </c>
      <c r="V115" t="s">
        <v>256</v>
      </c>
      <c r="W115" t="s">
        <v>79</v>
      </c>
      <c r="Z115" t="s">
        <v>169</v>
      </c>
      <c r="AA115" t="s">
        <v>170</v>
      </c>
      <c r="AB115">
        <v>1</v>
      </c>
      <c r="AD115" t="s">
        <v>63</v>
      </c>
      <c r="AG115" t="s">
        <v>54</v>
      </c>
      <c r="AH115" t="s">
        <v>65</v>
      </c>
      <c r="AI115" t="s">
        <v>66</v>
      </c>
      <c r="AJ115" t="s">
        <v>54</v>
      </c>
      <c r="AK115" t="s">
        <v>987</v>
      </c>
      <c r="AL115" t="s">
        <v>988</v>
      </c>
      <c r="AN115" s="19">
        <f>IF(ISBLANK(Mentors[[#This Row],[Onboarded Date]]),"",Mentors[[#This Row],[Onboarded Date]]-WEEKDAY(Mentors[[#This Row],[Onboarded Date]],2)+1)</f>
        <v>45656</v>
      </c>
    </row>
    <row r="116" spans="1:40" ht="19.2" customHeight="1" x14ac:dyDescent="0.3">
      <c r="A116" t="s">
        <v>992</v>
      </c>
      <c r="C116" t="s">
        <v>986</v>
      </c>
      <c r="F116">
        <v>2013</v>
      </c>
      <c r="G116">
        <f>IF(OR(Mentors[[#This Row],[Career Start Year]]="NA",ISBLANK(Mentors[[#This Row],[Career Start Year]])),"",2026 - Mentors[[#This Row],[Career Start Year]])</f>
        <v>13</v>
      </c>
      <c r="H11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16" t="s">
        <v>51</v>
      </c>
      <c r="J116" t="s">
        <v>993</v>
      </c>
      <c r="M116" s="19">
        <v>45658</v>
      </c>
      <c r="N116" t="s">
        <v>10</v>
      </c>
      <c r="Q116" t="s">
        <v>54</v>
      </c>
      <c r="R116" t="s">
        <v>54</v>
      </c>
      <c r="S116" t="s">
        <v>54</v>
      </c>
      <c r="T116" t="s">
        <v>55</v>
      </c>
      <c r="U116" t="s">
        <v>187</v>
      </c>
      <c r="V116" t="s">
        <v>256</v>
      </c>
      <c r="W116" t="s">
        <v>79</v>
      </c>
      <c r="Z116" t="s">
        <v>169</v>
      </c>
      <c r="AA116" t="s">
        <v>170</v>
      </c>
      <c r="AB116">
        <v>1</v>
      </c>
      <c r="AD116" t="s">
        <v>63</v>
      </c>
      <c r="AG116" t="s">
        <v>54</v>
      </c>
      <c r="AH116" t="s">
        <v>65</v>
      </c>
      <c r="AI116" t="s">
        <v>66</v>
      </c>
      <c r="AJ116" t="s">
        <v>54</v>
      </c>
      <c r="AK116" t="s">
        <v>987</v>
      </c>
      <c r="AL116" t="s">
        <v>988</v>
      </c>
      <c r="AN116" s="19">
        <f>IF(ISBLANK(Mentors[[#This Row],[Onboarded Date]]),"",Mentors[[#This Row],[Onboarded Date]]-WEEKDAY(Mentors[[#This Row],[Onboarded Date]],2)+1)</f>
        <v>45656</v>
      </c>
    </row>
    <row r="117" spans="1:40" ht="19.2" customHeight="1" x14ac:dyDescent="0.3">
      <c r="A117" t="s">
        <v>994</v>
      </c>
      <c r="C117" t="s">
        <v>986</v>
      </c>
      <c r="F117">
        <v>2013</v>
      </c>
      <c r="G117">
        <f>IF(OR(Mentors[[#This Row],[Career Start Year]]="NA",ISBLANK(Mentors[[#This Row],[Career Start Year]])),"",2026 - Mentors[[#This Row],[Career Start Year]])</f>
        <v>13</v>
      </c>
      <c r="H11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17" t="s">
        <v>51</v>
      </c>
      <c r="J117" t="s">
        <v>995</v>
      </c>
      <c r="M117" s="19">
        <v>45658</v>
      </c>
      <c r="N117" t="s">
        <v>10</v>
      </c>
      <c r="Q117" t="s">
        <v>54</v>
      </c>
      <c r="R117" t="s">
        <v>54</v>
      </c>
      <c r="S117" t="s">
        <v>54</v>
      </c>
      <c r="T117" t="s">
        <v>55</v>
      </c>
      <c r="U117" t="s">
        <v>187</v>
      </c>
      <c r="V117" t="s">
        <v>256</v>
      </c>
      <c r="W117" t="s">
        <v>79</v>
      </c>
      <c r="Z117" t="s">
        <v>169</v>
      </c>
      <c r="AA117" t="s">
        <v>170</v>
      </c>
      <c r="AB117">
        <v>1</v>
      </c>
      <c r="AD117" t="s">
        <v>63</v>
      </c>
      <c r="AG117" t="s">
        <v>54</v>
      </c>
      <c r="AH117" t="s">
        <v>65</v>
      </c>
      <c r="AI117" t="s">
        <v>66</v>
      </c>
      <c r="AJ117" t="s">
        <v>54</v>
      </c>
      <c r="AK117" t="s">
        <v>987</v>
      </c>
      <c r="AL117" t="s">
        <v>988</v>
      </c>
      <c r="AN117" s="19">
        <f>IF(ISBLANK(Mentors[[#This Row],[Onboarded Date]]),"",Mentors[[#This Row],[Onboarded Date]]-WEEKDAY(Mentors[[#This Row],[Onboarded Date]],2)+1)</f>
        <v>45656</v>
      </c>
    </row>
    <row r="118" spans="1:40" ht="19.2" customHeight="1" x14ac:dyDescent="0.3">
      <c r="A118" t="s">
        <v>996</v>
      </c>
      <c r="C118" t="s">
        <v>986</v>
      </c>
      <c r="F118">
        <v>2013</v>
      </c>
      <c r="G118">
        <f>IF(OR(Mentors[[#This Row],[Career Start Year]]="NA",ISBLANK(Mentors[[#This Row],[Career Start Year]])),"",2026 - Mentors[[#This Row],[Career Start Year]])</f>
        <v>13</v>
      </c>
      <c r="H11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18" t="s">
        <v>51</v>
      </c>
      <c r="J118" t="s">
        <v>196</v>
      </c>
      <c r="M118" s="19">
        <v>45658</v>
      </c>
      <c r="N118" t="s">
        <v>10</v>
      </c>
      <c r="Q118" t="s">
        <v>54</v>
      </c>
      <c r="R118" t="s">
        <v>54</v>
      </c>
      <c r="S118" t="s">
        <v>54</v>
      </c>
      <c r="T118" t="s">
        <v>55</v>
      </c>
      <c r="U118" t="s">
        <v>187</v>
      </c>
      <c r="V118" t="s">
        <v>256</v>
      </c>
      <c r="W118" t="s">
        <v>79</v>
      </c>
      <c r="Z118" t="s">
        <v>169</v>
      </c>
      <c r="AA118" t="s">
        <v>170</v>
      </c>
      <c r="AB118">
        <v>1</v>
      </c>
      <c r="AD118" t="s">
        <v>63</v>
      </c>
      <c r="AG118" t="s">
        <v>54</v>
      </c>
      <c r="AH118" t="s">
        <v>65</v>
      </c>
      <c r="AI118" t="s">
        <v>66</v>
      </c>
      <c r="AJ118" t="s">
        <v>54</v>
      </c>
      <c r="AK118" t="s">
        <v>987</v>
      </c>
      <c r="AL118" t="s">
        <v>988</v>
      </c>
      <c r="AN118" s="19">
        <f>IF(ISBLANK(Mentors[[#This Row],[Onboarded Date]]),"",Mentors[[#This Row],[Onboarded Date]]-WEEKDAY(Mentors[[#This Row],[Onboarded Date]],2)+1)</f>
        <v>45656</v>
      </c>
    </row>
    <row r="119" spans="1:40" ht="19.2" customHeight="1" x14ac:dyDescent="0.3">
      <c r="A119" t="s">
        <v>997</v>
      </c>
      <c r="C119" t="s">
        <v>986</v>
      </c>
      <c r="F119">
        <v>2013</v>
      </c>
      <c r="G119">
        <f>IF(OR(Mentors[[#This Row],[Career Start Year]]="NA",ISBLANK(Mentors[[#This Row],[Career Start Year]])),"",2026 - Mentors[[#This Row],[Career Start Year]])</f>
        <v>13</v>
      </c>
      <c r="H11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19" t="s">
        <v>51</v>
      </c>
      <c r="J119" t="s">
        <v>389</v>
      </c>
      <c r="M119" s="19">
        <v>45658</v>
      </c>
      <c r="N119" t="s">
        <v>10</v>
      </c>
      <c r="Q119" t="s">
        <v>54</v>
      </c>
      <c r="R119" t="s">
        <v>54</v>
      </c>
      <c r="S119" t="s">
        <v>54</v>
      </c>
      <c r="T119" t="s">
        <v>55</v>
      </c>
      <c r="U119" t="s">
        <v>187</v>
      </c>
      <c r="V119" t="s">
        <v>256</v>
      </c>
      <c r="W119" t="s">
        <v>79</v>
      </c>
      <c r="Z119" t="s">
        <v>169</v>
      </c>
      <c r="AA119" t="s">
        <v>170</v>
      </c>
      <c r="AB119">
        <v>1</v>
      </c>
      <c r="AD119" t="s">
        <v>63</v>
      </c>
      <c r="AG119" t="s">
        <v>54</v>
      </c>
      <c r="AH119" t="s">
        <v>65</v>
      </c>
      <c r="AI119" t="s">
        <v>66</v>
      </c>
      <c r="AJ119" t="s">
        <v>54</v>
      </c>
      <c r="AK119" t="s">
        <v>987</v>
      </c>
      <c r="AL119" t="s">
        <v>988</v>
      </c>
      <c r="AN119" s="19">
        <f>IF(ISBLANK(Mentors[[#This Row],[Onboarded Date]]),"",Mentors[[#This Row],[Onboarded Date]]-WEEKDAY(Mentors[[#This Row],[Onboarded Date]],2)+1)</f>
        <v>45656</v>
      </c>
    </row>
    <row r="120" spans="1:40" ht="19.2" customHeight="1" x14ac:dyDescent="0.3">
      <c r="A120" t="s">
        <v>998</v>
      </c>
      <c r="C120" t="s">
        <v>986</v>
      </c>
      <c r="F120">
        <v>2013</v>
      </c>
      <c r="G120">
        <f>IF(OR(Mentors[[#This Row],[Career Start Year]]="NA",ISBLANK(Mentors[[#This Row],[Career Start Year]])),"",2026 - Mentors[[#This Row],[Career Start Year]])</f>
        <v>13</v>
      </c>
      <c r="H12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20" t="s">
        <v>51</v>
      </c>
      <c r="J120" t="s">
        <v>999</v>
      </c>
      <c r="M120" s="19">
        <v>45658</v>
      </c>
      <c r="N120" t="s">
        <v>10</v>
      </c>
      <c r="Q120" t="s">
        <v>54</v>
      </c>
      <c r="R120" t="s">
        <v>54</v>
      </c>
      <c r="S120" t="s">
        <v>54</v>
      </c>
      <c r="T120" t="s">
        <v>55</v>
      </c>
      <c r="U120" t="s">
        <v>187</v>
      </c>
      <c r="V120" t="s">
        <v>256</v>
      </c>
      <c r="W120" t="s">
        <v>79</v>
      </c>
      <c r="Z120" t="s">
        <v>169</v>
      </c>
      <c r="AA120" t="s">
        <v>170</v>
      </c>
      <c r="AB120">
        <v>1</v>
      </c>
      <c r="AD120" t="s">
        <v>63</v>
      </c>
      <c r="AG120" t="s">
        <v>54</v>
      </c>
      <c r="AH120" t="s">
        <v>65</v>
      </c>
      <c r="AI120" t="s">
        <v>66</v>
      </c>
      <c r="AJ120" t="s">
        <v>54</v>
      </c>
      <c r="AK120" t="s">
        <v>987</v>
      </c>
      <c r="AL120" t="s">
        <v>988</v>
      </c>
      <c r="AN120" s="19">
        <f>IF(ISBLANK(Mentors[[#This Row],[Onboarded Date]]),"",Mentors[[#This Row],[Onboarded Date]]-WEEKDAY(Mentors[[#This Row],[Onboarded Date]],2)+1)</f>
        <v>45656</v>
      </c>
    </row>
    <row r="121" spans="1:40" ht="19.2" customHeight="1" x14ac:dyDescent="0.3">
      <c r="A121" t="s">
        <v>1000</v>
      </c>
      <c r="C121" t="s">
        <v>986</v>
      </c>
      <c r="F121">
        <v>2013</v>
      </c>
      <c r="G121">
        <f>IF(OR(Mentors[[#This Row],[Career Start Year]]="NA",ISBLANK(Mentors[[#This Row],[Career Start Year]])),"",2026 - Mentors[[#This Row],[Career Start Year]])</f>
        <v>13</v>
      </c>
      <c r="H12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21" t="s">
        <v>51</v>
      </c>
      <c r="J121" t="s">
        <v>1001</v>
      </c>
      <c r="M121" s="19">
        <v>45658</v>
      </c>
      <c r="N121" t="s">
        <v>10</v>
      </c>
      <c r="Q121" t="s">
        <v>54</v>
      </c>
      <c r="R121" t="s">
        <v>54</v>
      </c>
      <c r="S121" t="s">
        <v>54</v>
      </c>
      <c r="T121" t="s">
        <v>55</v>
      </c>
      <c r="U121" t="s">
        <v>187</v>
      </c>
      <c r="V121" t="s">
        <v>256</v>
      </c>
      <c r="W121" t="s">
        <v>79</v>
      </c>
      <c r="Z121" t="s">
        <v>169</v>
      </c>
      <c r="AA121" t="s">
        <v>170</v>
      </c>
      <c r="AB121">
        <v>1</v>
      </c>
      <c r="AD121" t="s">
        <v>63</v>
      </c>
      <c r="AG121" t="s">
        <v>54</v>
      </c>
      <c r="AH121" t="s">
        <v>65</v>
      </c>
      <c r="AI121" t="s">
        <v>66</v>
      </c>
      <c r="AJ121" t="s">
        <v>54</v>
      </c>
      <c r="AK121" t="s">
        <v>987</v>
      </c>
      <c r="AL121" t="s">
        <v>988</v>
      </c>
      <c r="AN121" s="19">
        <f>IF(ISBLANK(Mentors[[#This Row],[Onboarded Date]]),"",Mentors[[#This Row],[Onboarded Date]]-WEEKDAY(Mentors[[#This Row],[Onboarded Date]],2)+1)</f>
        <v>45656</v>
      </c>
    </row>
    <row r="122" spans="1:40" ht="19.2" customHeight="1" x14ac:dyDescent="0.3">
      <c r="A122" t="s">
        <v>1002</v>
      </c>
      <c r="C122" t="s">
        <v>986</v>
      </c>
      <c r="F122">
        <v>2013</v>
      </c>
      <c r="G122">
        <f>IF(OR(Mentors[[#This Row],[Career Start Year]]="NA",ISBLANK(Mentors[[#This Row],[Career Start Year]])),"",2026 - Mentors[[#This Row],[Career Start Year]])</f>
        <v>13</v>
      </c>
      <c r="H12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22" t="s">
        <v>51</v>
      </c>
      <c r="J122" t="s">
        <v>297</v>
      </c>
      <c r="M122" s="19">
        <v>45658</v>
      </c>
      <c r="N122" t="s">
        <v>2</v>
      </c>
      <c r="Q122" t="s">
        <v>54</v>
      </c>
      <c r="R122" t="s">
        <v>54</v>
      </c>
      <c r="S122" t="s">
        <v>54</v>
      </c>
      <c r="T122" t="s">
        <v>55</v>
      </c>
      <c r="U122" t="s">
        <v>187</v>
      </c>
      <c r="V122" t="s">
        <v>256</v>
      </c>
      <c r="W122" t="s">
        <v>79</v>
      </c>
      <c r="Z122" t="s">
        <v>169</v>
      </c>
      <c r="AA122" t="s">
        <v>170</v>
      </c>
      <c r="AB122">
        <v>1</v>
      </c>
      <c r="AD122" t="s">
        <v>63</v>
      </c>
      <c r="AG122" t="s">
        <v>54</v>
      </c>
      <c r="AH122" t="s">
        <v>65</v>
      </c>
      <c r="AI122" t="s">
        <v>66</v>
      </c>
      <c r="AJ122" t="s">
        <v>54</v>
      </c>
      <c r="AK122" t="s">
        <v>987</v>
      </c>
      <c r="AL122" t="s">
        <v>988</v>
      </c>
      <c r="AN122" s="19">
        <f>IF(ISBLANK(Mentors[[#This Row],[Onboarded Date]]),"",Mentors[[#This Row],[Onboarded Date]]-WEEKDAY(Mentors[[#This Row],[Onboarded Date]],2)+1)</f>
        <v>45656</v>
      </c>
    </row>
    <row r="123" spans="1:40" ht="19.2" customHeight="1" x14ac:dyDescent="0.3">
      <c r="A123" t="s">
        <v>1003</v>
      </c>
      <c r="C123" t="s">
        <v>986</v>
      </c>
      <c r="F123">
        <v>2013</v>
      </c>
      <c r="G123">
        <f>IF(OR(Mentors[[#This Row],[Career Start Year]]="NA",ISBLANK(Mentors[[#This Row],[Career Start Year]])),"",2026 - Mentors[[#This Row],[Career Start Year]])</f>
        <v>13</v>
      </c>
      <c r="H12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23" t="s">
        <v>51</v>
      </c>
      <c r="J123" t="s">
        <v>419</v>
      </c>
      <c r="M123" s="19">
        <v>45658</v>
      </c>
      <c r="N123" t="s">
        <v>2</v>
      </c>
      <c r="Q123" t="s">
        <v>54</v>
      </c>
      <c r="R123" t="s">
        <v>54</v>
      </c>
      <c r="S123" t="s">
        <v>54</v>
      </c>
      <c r="T123" t="s">
        <v>55</v>
      </c>
      <c r="U123" t="s">
        <v>187</v>
      </c>
      <c r="V123" t="s">
        <v>256</v>
      </c>
      <c r="W123" t="s">
        <v>79</v>
      </c>
      <c r="Z123" t="s">
        <v>169</v>
      </c>
      <c r="AA123" t="s">
        <v>170</v>
      </c>
      <c r="AB123">
        <v>1</v>
      </c>
      <c r="AD123" t="s">
        <v>63</v>
      </c>
      <c r="AG123" t="s">
        <v>54</v>
      </c>
      <c r="AH123" t="s">
        <v>65</v>
      </c>
      <c r="AI123" t="s">
        <v>66</v>
      </c>
      <c r="AJ123" t="s">
        <v>54</v>
      </c>
      <c r="AK123" t="s">
        <v>987</v>
      </c>
      <c r="AL123" t="s">
        <v>988</v>
      </c>
      <c r="AN123" s="19">
        <f>IF(ISBLANK(Mentors[[#This Row],[Onboarded Date]]),"",Mentors[[#This Row],[Onboarded Date]]-WEEKDAY(Mentors[[#This Row],[Onboarded Date]],2)+1)</f>
        <v>45656</v>
      </c>
    </row>
    <row r="124" spans="1:40" ht="19.2" customHeight="1" x14ac:dyDescent="0.3">
      <c r="A124" t="s">
        <v>1004</v>
      </c>
      <c r="C124" t="s">
        <v>986</v>
      </c>
      <c r="F124">
        <v>2013</v>
      </c>
      <c r="G124">
        <f>IF(OR(Mentors[[#This Row],[Career Start Year]]="NA",ISBLANK(Mentors[[#This Row],[Career Start Year]])),"",2026 - Mentors[[#This Row],[Career Start Year]])</f>
        <v>13</v>
      </c>
      <c r="H12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24" t="s">
        <v>51</v>
      </c>
      <c r="J124" t="s">
        <v>140</v>
      </c>
      <c r="M124" s="19">
        <v>45658</v>
      </c>
      <c r="N124" t="s">
        <v>2</v>
      </c>
      <c r="Q124" t="s">
        <v>54</v>
      </c>
      <c r="R124" t="s">
        <v>54</v>
      </c>
      <c r="S124" t="s">
        <v>54</v>
      </c>
      <c r="T124" t="s">
        <v>55</v>
      </c>
      <c r="U124" t="s">
        <v>187</v>
      </c>
      <c r="V124" t="s">
        <v>256</v>
      </c>
      <c r="W124" t="s">
        <v>79</v>
      </c>
      <c r="Z124" t="s">
        <v>169</v>
      </c>
      <c r="AA124" t="s">
        <v>170</v>
      </c>
      <c r="AB124">
        <v>1</v>
      </c>
      <c r="AD124" t="s">
        <v>63</v>
      </c>
      <c r="AG124" t="s">
        <v>54</v>
      </c>
      <c r="AH124" t="s">
        <v>65</v>
      </c>
      <c r="AI124" t="s">
        <v>66</v>
      </c>
      <c r="AJ124" t="s">
        <v>54</v>
      </c>
      <c r="AK124" t="s">
        <v>987</v>
      </c>
      <c r="AL124" t="s">
        <v>988</v>
      </c>
      <c r="AN124" s="19">
        <f>IF(ISBLANK(Mentors[[#This Row],[Onboarded Date]]),"",Mentors[[#This Row],[Onboarded Date]]-WEEKDAY(Mentors[[#This Row],[Onboarded Date]],2)+1)</f>
        <v>45656</v>
      </c>
    </row>
    <row r="125" spans="1:40" ht="19.2" customHeight="1" x14ac:dyDescent="0.3">
      <c r="A125" t="s">
        <v>1005</v>
      </c>
      <c r="C125" t="s">
        <v>986</v>
      </c>
      <c r="F125">
        <v>2013</v>
      </c>
      <c r="G125">
        <f>IF(OR(Mentors[[#This Row],[Career Start Year]]="NA",ISBLANK(Mentors[[#This Row],[Career Start Year]])),"",2026 - Mentors[[#This Row],[Career Start Year]])</f>
        <v>13</v>
      </c>
      <c r="H12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25" t="s">
        <v>51</v>
      </c>
      <c r="J125" t="s">
        <v>196</v>
      </c>
      <c r="M125" s="19">
        <v>45658</v>
      </c>
      <c r="N125" t="s">
        <v>2</v>
      </c>
      <c r="Q125" t="s">
        <v>54</v>
      </c>
      <c r="R125" t="s">
        <v>54</v>
      </c>
      <c r="S125" t="s">
        <v>54</v>
      </c>
      <c r="T125" t="s">
        <v>55</v>
      </c>
      <c r="U125" t="s">
        <v>187</v>
      </c>
      <c r="V125" t="s">
        <v>256</v>
      </c>
      <c r="W125" t="s">
        <v>79</v>
      </c>
      <c r="Z125" t="s">
        <v>169</v>
      </c>
      <c r="AA125" t="s">
        <v>170</v>
      </c>
      <c r="AB125">
        <v>1</v>
      </c>
      <c r="AD125" t="s">
        <v>63</v>
      </c>
      <c r="AG125" t="s">
        <v>54</v>
      </c>
      <c r="AH125" t="s">
        <v>65</v>
      </c>
      <c r="AI125" t="s">
        <v>66</v>
      </c>
      <c r="AJ125" t="s">
        <v>54</v>
      </c>
      <c r="AK125" t="s">
        <v>987</v>
      </c>
      <c r="AL125" t="s">
        <v>988</v>
      </c>
      <c r="AN125" s="19">
        <f>IF(ISBLANK(Mentors[[#This Row],[Onboarded Date]]),"",Mentors[[#This Row],[Onboarded Date]]-WEEKDAY(Mentors[[#This Row],[Onboarded Date]],2)+1)</f>
        <v>45656</v>
      </c>
    </row>
    <row r="126" spans="1:40" ht="19.2" customHeight="1" x14ac:dyDescent="0.3">
      <c r="A126" t="s">
        <v>1006</v>
      </c>
      <c r="C126" t="s">
        <v>986</v>
      </c>
      <c r="F126">
        <v>2013</v>
      </c>
      <c r="G126">
        <f>IF(OR(Mentors[[#This Row],[Career Start Year]]="NA",ISBLANK(Mentors[[#This Row],[Career Start Year]])),"",2026 - Mentors[[#This Row],[Career Start Year]])</f>
        <v>13</v>
      </c>
      <c r="H12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26" t="s">
        <v>51</v>
      </c>
      <c r="J126" t="s">
        <v>1007</v>
      </c>
      <c r="M126" s="19">
        <v>45658</v>
      </c>
      <c r="N126" t="s">
        <v>2</v>
      </c>
      <c r="Q126" t="s">
        <v>54</v>
      </c>
      <c r="R126" t="s">
        <v>54</v>
      </c>
      <c r="S126" t="s">
        <v>54</v>
      </c>
      <c r="T126" t="s">
        <v>55</v>
      </c>
      <c r="U126" t="s">
        <v>187</v>
      </c>
      <c r="V126" t="s">
        <v>256</v>
      </c>
      <c r="W126" t="s">
        <v>79</v>
      </c>
      <c r="Z126" t="s">
        <v>169</v>
      </c>
      <c r="AA126" t="s">
        <v>170</v>
      </c>
      <c r="AB126">
        <v>1</v>
      </c>
      <c r="AD126" t="s">
        <v>63</v>
      </c>
      <c r="AG126" t="s">
        <v>54</v>
      </c>
      <c r="AH126" t="s">
        <v>65</v>
      </c>
      <c r="AI126" t="s">
        <v>66</v>
      </c>
      <c r="AJ126" t="s">
        <v>54</v>
      </c>
      <c r="AK126" t="s">
        <v>987</v>
      </c>
      <c r="AL126" t="s">
        <v>988</v>
      </c>
      <c r="AN126" s="19">
        <f>IF(ISBLANK(Mentors[[#This Row],[Onboarded Date]]),"",Mentors[[#This Row],[Onboarded Date]]-WEEKDAY(Mentors[[#This Row],[Onboarded Date]],2)+1)</f>
        <v>45656</v>
      </c>
    </row>
    <row r="127" spans="1:40" ht="19.2" customHeight="1" x14ac:dyDescent="0.3">
      <c r="A127" t="s">
        <v>1008</v>
      </c>
      <c r="C127" t="s">
        <v>986</v>
      </c>
      <c r="F127">
        <v>2013</v>
      </c>
      <c r="G127">
        <f>IF(OR(Mentors[[#This Row],[Career Start Year]]="NA",ISBLANK(Mentors[[#This Row],[Career Start Year]])),"",2026 - Mentors[[#This Row],[Career Start Year]])</f>
        <v>13</v>
      </c>
      <c r="H12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27" t="s">
        <v>51</v>
      </c>
      <c r="J127" t="s">
        <v>140</v>
      </c>
      <c r="M127" s="19">
        <v>45658</v>
      </c>
      <c r="N127" t="s">
        <v>2</v>
      </c>
      <c r="Q127" t="s">
        <v>54</v>
      </c>
      <c r="R127" t="s">
        <v>54</v>
      </c>
      <c r="S127" t="s">
        <v>54</v>
      </c>
      <c r="T127" t="s">
        <v>55</v>
      </c>
      <c r="U127" t="s">
        <v>187</v>
      </c>
      <c r="V127" t="s">
        <v>256</v>
      </c>
      <c r="W127" t="s">
        <v>79</v>
      </c>
      <c r="Z127" t="s">
        <v>169</v>
      </c>
      <c r="AA127" t="s">
        <v>170</v>
      </c>
      <c r="AB127">
        <v>1</v>
      </c>
      <c r="AD127" t="s">
        <v>63</v>
      </c>
      <c r="AG127" t="s">
        <v>54</v>
      </c>
      <c r="AH127" t="s">
        <v>65</v>
      </c>
      <c r="AI127" t="s">
        <v>66</v>
      </c>
      <c r="AJ127" t="s">
        <v>54</v>
      </c>
      <c r="AK127" t="s">
        <v>987</v>
      </c>
      <c r="AL127" t="s">
        <v>988</v>
      </c>
      <c r="AN127" s="19">
        <f>IF(ISBLANK(Mentors[[#This Row],[Onboarded Date]]),"",Mentors[[#This Row],[Onboarded Date]]-WEEKDAY(Mentors[[#This Row],[Onboarded Date]],2)+1)</f>
        <v>45656</v>
      </c>
    </row>
    <row r="128" spans="1:40" ht="19.2" customHeight="1" x14ac:dyDescent="0.3">
      <c r="A128" t="s">
        <v>1009</v>
      </c>
      <c r="C128" t="s">
        <v>986</v>
      </c>
      <c r="F128">
        <v>2013</v>
      </c>
      <c r="G128">
        <f>IF(OR(Mentors[[#This Row],[Career Start Year]]="NA",ISBLANK(Mentors[[#This Row],[Career Start Year]])),"",2026 - Mentors[[#This Row],[Career Start Year]])</f>
        <v>13</v>
      </c>
      <c r="H12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28" t="s">
        <v>51</v>
      </c>
      <c r="J128" t="s">
        <v>52</v>
      </c>
      <c r="M128" s="19">
        <v>45658</v>
      </c>
      <c r="N128" t="s">
        <v>2</v>
      </c>
      <c r="Q128" t="s">
        <v>54</v>
      </c>
      <c r="R128" t="s">
        <v>54</v>
      </c>
      <c r="S128" t="s">
        <v>54</v>
      </c>
      <c r="T128" t="s">
        <v>55</v>
      </c>
      <c r="U128" t="s">
        <v>187</v>
      </c>
      <c r="V128" t="s">
        <v>256</v>
      </c>
      <c r="W128" t="s">
        <v>79</v>
      </c>
      <c r="Z128" t="s">
        <v>169</v>
      </c>
      <c r="AA128" t="s">
        <v>170</v>
      </c>
      <c r="AB128">
        <v>1</v>
      </c>
      <c r="AD128" t="s">
        <v>63</v>
      </c>
      <c r="AG128" t="s">
        <v>54</v>
      </c>
      <c r="AH128" t="s">
        <v>65</v>
      </c>
      <c r="AI128" t="s">
        <v>66</v>
      </c>
      <c r="AJ128" t="s">
        <v>54</v>
      </c>
      <c r="AK128" t="s">
        <v>987</v>
      </c>
      <c r="AL128" t="s">
        <v>988</v>
      </c>
      <c r="AN128" s="19">
        <f>IF(ISBLANK(Mentors[[#This Row],[Onboarded Date]]),"",Mentors[[#This Row],[Onboarded Date]]-WEEKDAY(Mentors[[#This Row],[Onboarded Date]],2)+1)</f>
        <v>45656</v>
      </c>
    </row>
    <row r="129" spans="1:40" ht="19.2" customHeight="1" x14ac:dyDescent="0.3">
      <c r="A129" t="s">
        <v>1010</v>
      </c>
      <c r="C129" t="s">
        <v>986</v>
      </c>
      <c r="F129">
        <v>2013</v>
      </c>
      <c r="G129">
        <f>IF(OR(Mentors[[#This Row],[Career Start Year]]="NA",ISBLANK(Mentors[[#This Row],[Career Start Year]])),"",2026 - Mentors[[#This Row],[Career Start Year]])</f>
        <v>13</v>
      </c>
      <c r="H12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29" t="s">
        <v>51</v>
      </c>
      <c r="J129" t="s">
        <v>196</v>
      </c>
      <c r="M129" s="19">
        <v>45658</v>
      </c>
      <c r="N129" t="s">
        <v>2</v>
      </c>
      <c r="Q129" t="s">
        <v>54</v>
      </c>
      <c r="R129" t="s">
        <v>54</v>
      </c>
      <c r="S129" t="s">
        <v>54</v>
      </c>
      <c r="T129" t="s">
        <v>55</v>
      </c>
      <c r="U129" t="s">
        <v>187</v>
      </c>
      <c r="V129" t="s">
        <v>256</v>
      </c>
      <c r="W129" t="s">
        <v>79</v>
      </c>
      <c r="Z129" t="s">
        <v>169</v>
      </c>
      <c r="AA129" t="s">
        <v>170</v>
      </c>
      <c r="AB129">
        <v>1</v>
      </c>
      <c r="AD129" t="s">
        <v>63</v>
      </c>
      <c r="AG129" t="s">
        <v>54</v>
      </c>
      <c r="AH129" t="s">
        <v>65</v>
      </c>
      <c r="AI129" t="s">
        <v>66</v>
      </c>
      <c r="AJ129" t="s">
        <v>54</v>
      </c>
      <c r="AK129" t="s">
        <v>987</v>
      </c>
      <c r="AL129" t="s">
        <v>988</v>
      </c>
      <c r="AN129" s="19">
        <f>IF(ISBLANK(Mentors[[#This Row],[Onboarded Date]]),"",Mentors[[#This Row],[Onboarded Date]]-WEEKDAY(Mentors[[#This Row],[Onboarded Date]],2)+1)</f>
        <v>45656</v>
      </c>
    </row>
    <row r="130" spans="1:40" ht="19.2" customHeight="1" x14ac:dyDescent="0.3">
      <c r="A130" t="s">
        <v>1011</v>
      </c>
      <c r="C130" t="s">
        <v>986</v>
      </c>
      <c r="F130">
        <v>2013</v>
      </c>
      <c r="G130">
        <f>IF(OR(Mentors[[#This Row],[Career Start Year]]="NA",ISBLANK(Mentors[[#This Row],[Career Start Year]])),"",2026 - Mentors[[#This Row],[Career Start Year]])</f>
        <v>13</v>
      </c>
      <c r="H13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30" t="s">
        <v>51</v>
      </c>
      <c r="J130" t="s">
        <v>140</v>
      </c>
      <c r="M130" s="19">
        <v>45658</v>
      </c>
      <c r="N130" t="s">
        <v>2</v>
      </c>
      <c r="Q130" t="s">
        <v>54</v>
      </c>
      <c r="R130" t="s">
        <v>54</v>
      </c>
      <c r="S130" t="s">
        <v>54</v>
      </c>
      <c r="T130" t="s">
        <v>55</v>
      </c>
      <c r="U130" t="s">
        <v>187</v>
      </c>
      <c r="V130" t="s">
        <v>256</v>
      </c>
      <c r="W130" t="s">
        <v>79</v>
      </c>
      <c r="Z130" t="s">
        <v>169</v>
      </c>
      <c r="AA130" t="s">
        <v>170</v>
      </c>
      <c r="AB130">
        <v>1</v>
      </c>
      <c r="AD130" t="s">
        <v>63</v>
      </c>
      <c r="AG130" t="s">
        <v>54</v>
      </c>
      <c r="AH130" t="s">
        <v>65</v>
      </c>
      <c r="AI130" t="s">
        <v>66</v>
      </c>
      <c r="AJ130" t="s">
        <v>54</v>
      </c>
      <c r="AK130" t="s">
        <v>987</v>
      </c>
      <c r="AL130" t="s">
        <v>988</v>
      </c>
      <c r="AN130" s="19">
        <f>IF(ISBLANK(Mentors[[#This Row],[Onboarded Date]]),"",Mentors[[#This Row],[Onboarded Date]]-WEEKDAY(Mentors[[#This Row],[Onboarded Date]],2)+1)</f>
        <v>45656</v>
      </c>
    </row>
    <row r="131" spans="1:40" ht="19.2" customHeight="1" x14ac:dyDescent="0.3">
      <c r="A131" t="s">
        <v>1012</v>
      </c>
      <c r="C131" t="s">
        <v>986</v>
      </c>
      <c r="F131">
        <v>2013</v>
      </c>
      <c r="G131">
        <f>IF(OR(Mentors[[#This Row],[Career Start Year]]="NA",ISBLANK(Mentors[[#This Row],[Career Start Year]])),"",2026 - Mentors[[#This Row],[Career Start Year]])</f>
        <v>13</v>
      </c>
      <c r="H13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31" t="s">
        <v>51</v>
      </c>
      <c r="J131" t="s">
        <v>196</v>
      </c>
      <c r="M131" s="19">
        <v>45658</v>
      </c>
      <c r="N131" t="s">
        <v>2</v>
      </c>
      <c r="Q131" t="s">
        <v>54</v>
      </c>
      <c r="R131" t="s">
        <v>54</v>
      </c>
      <c r="S131" t="s">
        <v>54</v>
      </c>
      <c r="T131" t="s">
        <v>55</v>
      </c>
      <c r="U131" t="s">
        <v>187</v>
      </c>
      <c r="V131" t="s">
        <v>256</v>
      </c>
      <c r="W131" t="s">
        <v>79</v>
      </c>
      <c r="Z131" t="s">
        <v>169</v>
      </c>
      <c r="AA131" t="s">
        <v>170</v>
      </c>
      <c r="AB131">
        <v>1</v>
      </c>
      <c r="AD131" t="s">
        <v>63</v>
      </c>
      <c r="AG131" t="s">
        <v>54</v>
      </c>
      <c r="AH131" t="s">
        <v>65</v>
      </c>
      <c r="AI131" t="s">
        <v>66</v>
      </c>
      <c r="AJ131" t="s">
        <v>54</v>
      </c>
      <c r="AK131" t="s">
        <v>987</v>
      </c>
      <c r="AL131" t="s">
        <v>988</v>
      </c>
      <c r="AN131" s="19">
        <f>IF(ISBLANK(Mentors[[#This Row],[Onboarded Date]]),"",Mentors[[#This Row],[Onboarded Date]]-WEEKDAY(Mentors[[#This Row],[Onboarded Date]],2)+1)</f>
        <v>45656</v>
      </c>
    </row>
    <row r="132" spans="1:40" ht="19.2" customHeight="1" x14ac:dyDescent="0.3">
      <c r="A132" t="s">
        <v>1013</v>
      </c>
      <c r="C132" t="s">
        <v>986</v>
      </c>
      <c r="F132">
        <v>2013</v>
      </c>
      <c r="G132">
        <f>IF(OR(Mentors[[#This Row],[Career Start Year]]="NA",ISBLANK(Mentors[[#This Row],[Career Start Year]])),"",2026 - Mentors[[#This Row],[Career Start Year]])</f>
        <v>13</v>
      </c>
      <c r="H13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32" t="s">
        <v>51</v>
      </c>
      <c r="J132" t="s">
        <v>314</v>
      </c>
      <c r="M132" s="19">
        <v>45658</v>
      </c>
      <c r="N132" t="s">
        <v>4</v>
      </c>
      <c r="Q132" t="s">
        <v>54</v>
      </c>
      <c r="R132" t="s">
        <v>54</v>
      </c>
      <c r="S132" t="s">
        <v>54</v>
      </c>
      <c r="T132" t="s">
        <v>55</v>
      </c>
      <c r="U132" t="s">
        <v>187</v>
      </c>
      <c r="V132" t="s">
        <v>256</v>
      </c>
      <c r="W132" t="s">
        <v>79</v>
      </c>
      <c r="Z132" t="s">
        <v>169</v>
      </c>
      <c r="AA132" t="s">
        <v>170</v>
      </c>
      <c r="AB132">
        <v>1</v>
      </c>
      <c r="AD132" t="s">
        <v>63</v>
      </c>
      <c r="AG132" t="s">
        <v>54</v>
      </c>
      <c r="AH132" t="s">
        <v>65</v>
      </c>
      <c r="AI132" t="s">
        <v>66</v>
      </c>
      <c r="AJ132" t="s">
        <v>54</v>
      </c>
      <c r="AK132" t="s">
        <v>987</v>
      </c>
      <c r="AL132" t="s">
        <v>988</v>
      </c>
      <c r="AN132" s="19">
        <f>IF(ISBLANK(Mentors[[#This Row],[Onboarded Date]]),"",Mentors[[#This Row],[Onboarded Date]]-WEEKDAY(Mentors[[#This Row],[Onboarded Date]],2)+1)</f>
        <v>45656</v>
      </c>
    </row>
    <row r="133" spans="1:40" ht="19.2" customHeight="1" x14ac:dyDescent="0.3">
      <c r="A133" t="s">
        <v>1014</v>
      </c>
      <c r="C133" t="s">
        <v>986</v>
      </c>
      <c r="F133">
        <v>2013</v>
      </c>
      <c r="G133">
        <f>IF(OR(Mentors[[#This Row],[Career Start Year]]="NA",ISBLANK(Mentors[[#This Row],[Career Start Year]])),"",2026 - Mentors[[#This Row],[Career Start Year]])</f>
        <v>13</v>
      </c>
      <c r="H13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33" t="s">
        <v>51</v>
      </c>
      <c r="J133" t="s">
        <v>196</v>
      </c>
      <c r="M133" s="19">
        <v>45658</v>
      </c>
      <c r="N133" t="s">
        <v>4</v>
      </c>
      <c r="Q133" t="s">
        <v>54</v>
      </c>
      <c r="R133" t="s">
        <v>54</v>
      </c>
      <c r="S133" t="s">
        <v>54</v>
      </c>
      <c r="T133" t="s">
        <v>55</v>
      </c>
      <c r="U133" t="s">
        <v>187</v>
      </c>
      <c r="V133" t="s">
        <v>256</v>
      </c>
      <c r="W133" t="s">
        <v>79</v>
      </c>
      <c r="Z133" t="s">
        <v>169</v>
      </c>
      <c r="AA133" t="s">
        <v>170</v>
      </c>
      <c r="AB133">
        <v>1</v>
      </c>
      <c r="AD133" t="s">
        <v>63</v>
      </c>
      <c r="AG133" t="s">
        <v>54</v>
      </c>
      <c r="AH133" t="s">
        <v>65</v>
      </c>
      <c r="AI133" t="s">
        <v>66</v>
      </c>
      <c r="AJ133" t="s">
        <v>54</v>
      </c>
      <c r="AK133" t="s">
        <v>987</v>
      </c>
      <c r="AL133" t="s">
        <v>988</v>
      </c>
      <c r="AN133" s="19">
        <f>IF(ISBLANK(Mentors[[#This Row],[Onboarded Date]]),"",Mentors[[#This Row],[Onboarded Date]]-WEEKDAY(Mentors[[#This Row],[Onboarded Date]],2)+1)</f>
        <v>45656</v>
      </c>
    </row>
    <row r="134" spans="1:40" ht="19.2" customHeight="1" x14ac:dyDescent="0.3">
      <c r="A134" t="s">
        <v>1015</v>
      </c>
      <c r="C134" t="s">
        <v>986</v>
      </c>
      <c r="F134">
        <v>2013</v>
      </c>
      <c r="G134">
        <f>IF(OR(Mentors[[#This Row],[Career Start Year]]="NA",ISBLANK(Mentors[[#This Row],[Career Start Year]])),"",2026 - Mentors[[#This Row],[Career Start Year]])</f>
        <v>13</v>
      </c>
      <c r="H13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34" t="s">
        <v>51</v>
      </c>
      <c r="J134" t="s">
        <v>118</v>
      </c>
      <c r="M134" s="19">
        <v>45658</v>
      </c>
      <c r="N134" t="s">
        <v>4</v>
      </c>
      <c r="Q134" t="s">
        <v>54</v>
      </c>
      <c r="R134" t="s">
        <v>54</v>
      </c>
      <c r="S134" t="s">
        <v>54</v>
      </c>
      <c r="T134" t="s">
        <v>55</v>
      </c>
      <c r="U134" t="s">
        <v>187</v>
      </c>
      <c r="V134" t="s">
        <v>256</v>
      </c>
      <c r="W134" t="s">
        <v>79</v>
      </c>
      <c r="Z134" t="s">
        <v>169</v>
      </c>
      <c r="AA134" t="s">
        <v>170</v>
      </c>
      <c r="AB134">
        <v>1</v>
      </c>
      <c r="AD134" t="s">
        <v>63</v>
      </c>
      <c r="AG134" t="s">
        <v>54</v>
      </c>
      <c r="AH134" t="s">
        <v>65</v>
      </c>
      <c r="AI134" t="s">
        <v>66</v>
      </c>
      <c r="AJ134" t="s">
        <v>54</v>
      </c>
      <c r="AK134" t="s">
        <v>987</v>
      </c>
      <c r="AL134" t="s">
        <v>988</v>
      </c>
      <c r="AN134" s="19">
        <f>IF(ISBLANK(Mentors[[#This Row],[Onboarded Date]]),"",Mentors[[#This Row],[Onboarded Date]]-WEEKDAY(Mentors[[#This Row],[Onboarded Date]],2)+1)</f>
        <v>45656</v>
      </c>
    </row>
    <row r="135" spans="1:40" ht="19.2" customHeight="1" x14ac:dyDescent="0.3">
      <c r="A135" t="s">
        <v>1016</v>
      </c>
      <c r="C135" t="s">
        <v>986</v>
      </c>
      <c r="F135">
        <v>2013</v>
      </c>
      <c r="G135">
        <f>IF(OR(Mentors[[#This Row],[Career Start Year]]="NA",ISBLANK(Mentors[[#This Row],[Career Start Year]])),"",2026 - Mentors[[#This Row],[Career Start Year]])</f>
        <v>13</v>
      </c>
      <c r="H13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35" t="s">
        <v>51</v>
      </c>
      <c r="J135" t="s">
        <v>52</v>
      </c>
      <c r="M135" s="19">
        <v>45658</v>
      </c>
      <c r="N135" t="s">
        <v>4</v>
      </c>
      <c r="Q135" t="s">
        <v>54</v>
      </c>
      <c r="R135" t="s">
        <v>54</v>
      </c>
      <c r="S135" t="s">
        <v>54</v>
      </c>
      <c r="T135" t="s">
        <v>55</v>
      </c>
      <c r="U135" t="s">
        <v>187</v>
      </c>
      <c r="V135" t="s">
        <v>256</v>
      </c>
      <c r="W135" t="s">
        <v>79</v>
      </c>
      <c r="Z135" t="s">
        <v>169</v>
      </c>
      <c r="AA135" t="s">
        <v>170</v>
      </c>
      <c r="AB135">
        <v>1</v>
      </c>
      <c r="AD135" t="s">
        <v>63</v>
      </c>
      <c r="AG135" t="s">
        <v>54</v>
      </c>
      <c r="AH135" t="s">
        <v>65</v>
      </c>
      <c r="AI135" t="s">
        <v>66</v>
      </c>
      <c r="AJ135" t="s">
        <v>54</v>
      </c>
      <c r="AK135" t="s">
        <v>987</v>
      </c>
      <c r="AL135" t="s">
        <v>988</v>
      </c>
      <c r="AN135" s="19">
        <f>IF(ISBLANK(Mentors[[#This Row],[Onboarded Date]]),"",Mentors[[#This Row],[Onboarded Date]]-WEEKDAY(Mentors[[#This Row],[Onboarded Date]],2)+1)</f>
        <v>45656</v>
      </c>
    </row>
    <row r="136" spans="1:40" ht="19.2" customHeight="1" x14ac:dyDescent="0.3">
      <c r="A136" t="s">
        <v>1017</v>
      </c>
      <c r="C136" t="s">
        <v>986</v>
      </c>
      <c r="F136">
        <v>2013</v>
      </c>
      <c r="G136">
        <f>IF(OR(Mentors[[#This Row],[Career Start Year]]="NA",ISBLANK(Mentors[[#This Row],[Career Start Year]])),"",2026 - Mentors[[#This Row],[Career Start Year]])</f>
        <v>13</v>
      </c>
      <c r="H13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36" t="s">
        <v>51</v>
      </c>
      <c r="J136" t="s">
        <v>118</v>
      </c>
      <c r="M136" s="19">
        <v>45658</v>
      </c>
      <c r="N136" t="s">
        <v>4</v>
      </c>
      <c r="Q136" t="s">
        <v>54</v>
      </c>
      <c r="R136" t="s">
        <v>54</v>
      </c>
      <c r="S136" t="s">
        <v>54</v>
      </c>
      <c r="T136" t="s">
        <v>55</v>
      </c>
      <c r="U136" t="s">
        <v>187</v>
      </c>
      <c r="V136" t="s">
        <v>256</v>
      </c>
      <c r="W136" t="s">
        <v>79</v>
      </c>
      <c r="Z136" t="s">
        <v>169</v>
      </c>
      <c r="AA136" t="s">
        <v>170</v>
      </c>
      <c r="AB136">
        <v>1</v>
      </c>
      <c r="AD136" t="s">
        <v>63</v>
      </c>
      <c r="AG136" t="s">
        <v>54</v>
      </c>
      <c r="AH136" t="s">
        <v>65</v>
      </c>
      <c r="AI136" t="s">
        <v>66</v>
      </c>
      <c r="AJ136" t="s">
        <v>54</v>
      </c>
      <c r="AK136" t="s">
        <v>987</v>
      </c>
      <c r="AL136" t="s">
        <v>988</v>
      </c>
      <c r="AN136" s="19">
        <f>IF(ISBLANK(Mentors[[#This Row],[Onboarded Date]]),"",Mentors[[#This Row],[Onboarded Date]]-WEEKDAY(Mentors[[#This Row],[Onboarded Date]],2)+1)</f>
        <v>45656</v>
      </c>
    </row>
    <row r="137" spans="1:40" ht="19.2" customHeight="1" x14ac:dyDescent="0.3">
      <c r="A137" t="s">
        <v>1018</v>
      </c>
      <c r="C137" t="s">
        <v>986</v>
      </c>
      <c r="F137">
        <v>2013</v>
      </c>
      <c r="G137">
        <f>IF(OR(Mentors[[#This Row],[Career Start Year]]="NA",ISBLANK(Mentors[[#This Row],[Career Start Year]])),"",2026 - Mentors[[#This Row],[Career Start Year]])</f>
        <v>13</v>
      </c>
      <c r="H13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37" t="s">
        <v>51</v>
      </c>
      <c r="J137" t="s">
        <v>389</v>
      </c>
      <c r="M137" s="19">
        <v>45658</v>
      </c>
      <c r="N137" t="s">
        <v>4</v>
      </c>
      <c r="Q137" t="s">
        <v>54</v>
      </c>
      <c r="R137" t="s">
        <v>54</v>
      </c>
      <c r="S137" t="s">
        <v>54</v>
      </c>
      <c r="T137" t="s">
        <v>55</v>
      </c>
      <c r="U137" t="s">
        <v>187</v>
      </c>
      <c r="V137" t="s">
        <v>256</v>
      </c>
      <c r="W137" t="s">
        <v>79</v>
      </c>
      <c r="Z137" t="s">
        <v>169</v>
      </c>
      <c r="AA137" t="s">
        <v>170</v>
      </c>
      <c r="AB137">
        <v>1</v>
      </c>
      <c r="AD137" t="s">
        <v>63</v>
      </c>
      <c r="AG137" t="s">
        <v>54</v>
      </c>
      <c r="AH137" t="s">
        <v>65</v>
      </c>
      <c r="AI137" t="s">
        <v>66</v>
      </c>
      <c r="AJ137" t="s">
        <v>54</v>
      </c>
      <c r="AK137" t="s">
        <v>987</v>
      </c>
      <c r="AL137" t="s">
        <v>988</v>
      </c>
      <c r="AN137" s="19">
        <f>IF(ISBLANK(Mentors[[#This Row],[Onboarded Date]]),"",Mentors[[#This Row],[Onboarded Date]]-WEEKDAY(Mentors[[#This Row],[Onboarded Date]],2)+1)</f>
        <v>45656</v>
      </c>
    </row>
    <row r="138" spans="1:40" ht="19.2" customHeight="1" x14ac:dyDescent="0.3">
      <c r="A138" t="s">
        <v>1019</v>
      </c>
      <c r="C138" t="s">
        <v>986</v>
      </c>
      <c r="F138">
        <v>2013</v>
      </c>
      <c r="G138">
        <f>IF(OR(Mentors[[#This Row],[Career Start Year]]="NA",ISBLANK(Mentors[[#This Row],[Career Start Year]])),"",2026 - Mentors[[#This Row],[Career Start Year]])</f>
        <v>13</v>
      </c>
      <c r="H13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38" t="s">
        <v>51</v>
      </c>
      <c r="J138" t="s">
        <v>995</v>
      </c>
      <c r="M138" s="19">
        <v>45658</v>
      </c>
      <c r="N138" t="s">
        <v>4</v>
      </c>
      <c r="Q138" t="s">
        <v>54</v>
      </c>
      <c r="R138" t="s">
        <v>54</v>
      </c>
      <c r="S138" t="s">
        <v>54</v>
      </c>
      <c r="T138" t="s">
        <v>55</v>
      </c>
      <c r="U138" t="s">
        <v>187</v>
      </c>
      <c r="V138" t="s">
        <v>421</v>
      </c>
      <c r="W138" t="s">
        <v>79</v>
      </c>
      <c r="Z138" t="s">
        <v>169</v>
      </c>
      <c r="AA138" t="s">
        <v>170</v>
      </c>
      <c r="AB138">
        <v>1</v>
      </c>
      <c r="AD138" t="s">
        <v>63</v>
      </c>
      <c r="AG138" t="s">
        <v>54</v>
      </c>
      <c r="AH138" t="s">
        <v>65</v>
      </c>
      <c r="AI138" t="s">
        <v>66</v>
      </c>
      <c r="AJ138" t="s">
        <v>54</v>
      </c>
      <c r="AK138" t="s">
        <v>987</v>
      </c>
      <c r="AL138" t="s">
        <v>1020</v>
      </c>
      <c r="AN138" s="19">
        <f>IF(ISBLANK(Mentors[[#This Row],[Onboarded Date]]),"",Mentors[[#This Row],[Onboarded Date]]-WEEKDAY(Mentors[[#This Row],[Onboarded Date]],2)+1)</f>
        <v>45656</v>
      </c>
    </row>
    <row r="139" spans="1:40" ht="19.2" customHeight="1" x14ac:dyDescent="0.3">
      <c r="A139" t="s">
        <v>1021</v>
      </c>
      <c r="C139" t="s">
        <v>986</v>
      </c>
      <c r="F139">
        <v>2013</v>
      </c>
      <c r="G139">
        <f>IF(OR(Mentors[[#This Row],[Career Start Year]]="NA",ISBLANK(Mentors[[#This Row],[Career Start Year]])),"",2026 - Mentors[[#This Row],[Career Start Year]])</f>
        <v>13</v>
      </c>
      <c r="H13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39" t="s">
        <v>51</v>
      </c>
      <c r="J139" t="s">
        <v>314</v>
      </c>
      <c r="M139" s="19">
        <v>45658</v>
      </c>
      <c r="N139" t="s">
        <v>4</v>
      </c>
      <c r="Q139" t="s">
        <v>54</v>
      </c>
      <c r="R139" t="s">
        <v>54</v>
      </c>
      <c r="S139" t="s">
        <v>54</v>
      </c>
      <c r="T139" t="s">
        <v>55</v>
      </c>
      <c r="U139" t="s">
        <v>187</v>
      </c>
      <c r="V139" t="s">
        <v>421</v>
      </c>
      <c r="W139" t="s">
        <v>79</v>
      </c>
      <c r="Z139" t="s">
        <v>169</v>
      </c>
      <c r="AA139" t="s">
        <v>170</v>
      </c>
      <c r="AB139">
        <v>1</v>
      </c>
      <c r="AD139" t="s">
        <v>63</v>
      </c>
      <c r="AG139" t="s">
        <v>54</v>
      </c>
      <c r="AH139" t="s">
        <v>65</v>
      </c>
      <c r="AI139" t="s">
        <v>66</v>
      </c>
      <c r="AJ139" t="s">
        <v>54</v>
      </c>
      <c r="AK139" t="s">
        <v>987</v>
      </c>
      <c r="AL139" t="s">
        <v>1020</v>
      </c>
      <c r="AN139" s="19">
        <f>IF(ISBLANK(Mentors[[#This Row],[Onboarded Date]]),"",Mentors[[#This Row],[Onboarded Date]]-WEEKDAY(Mentors[[#This Row],[Onboarded Date]],2)+1)</f>
        <v>45656</v>
      </c>
    </row>
    <row r="140" spans="1:40" ht="19.2" customHeight="1" x14ac:dyDescent="0.3">
      <c r="A140" t="s">
        <v>1022</v>
      </c>
      <c r="C140" t="s">
        <v>986</v>
      </c>
      <c r="F140">
        <v>2013</v>
      </c>
      <c r="G140">
        <f>IF(OR(Mentors[[#This Row],[Career Start Year]]="NA",ISBLANK(Mentors[[#This Row],[Career Start Year]])),"",2026 - Mentors[[#This Row],[Career Start Year]])</f>
        <v>13</v>
      </c>
      <c r="H14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40" t="s">
        <v>51</v>
      </c>
      <c r="J140" t="s">
        <v>314</v>
      </c>
      <c r="M140" s="19">
        <v>45658</v>
      </c>
      <c r="N140" t="s">
        <v>4</v>
      </c>
      <c r="Q140" t="s">
        <v>54</v>
      </c>
      <c r="R140" t="s">
        <v>54</v>
      </c>
      <c r="S140" t="s">
        <v>54</v>
      </c>
      <c r="T140" t="s">
        <v>55</v>
      </c>
      <c r="U140" t="s">
        <v>187</v>
      </c>
      <c r="V140" t="s">
        <v>421</v>
      </c>
      <c r="W140" t="s">
        <v>79</v>
      </c>
      <c r="Z140" t="s">
        <v>169</v>
      </c>
      <c r="AA140" t="s">
        <v>170</v>
      </c>
      <c r="AB140">
        <v>1</v>
      </c>
      <c r="AD140" t="s">
        <v>63</v>
      </c>
      <c r="AG140" t="s">
        <v>54</v>
      </c>
      <c r="AH140" t="s">
        <v>65</v>
      </c>
      <c r="AI140" t="s">
        <v>66</v>
      </c>
      <c r="AJ140" t="s">
        <v>54</v>
      </c>
      <c r="AK140" t="s">
        <v>987</v>
      </c>
      <c r="AL140" t="s">
        <v>1020</v>
      </c>
      <c r="AN140" s="19">
        <f>IF(ISBLANK(Mentors[[#This Row],[Onboarded Date]]),"",Mentors[[#This Row],[Onboarded Date]]-WEEKDAY(Mentors[[#This Row],[Onboarded Date]],2)+1)</f>
        <v>45656</v>
      </c>
    </row>
    <row r="141" spans="1:40" ht="19.2" customHeight="1" x14ac:dyDescent="0.3">
      <c r="A141" t="s">
        <v>1023</v>
      </c>
      <c r="C141" t="s">
        <v>986</v>
      </c>
      <c r="F141">
        <v>2013</v>
      </c>
      <c r="G141">
        <f>IF(OR(Mentors[[#This Row],[Career Start Year]]="NA",ISBLANK(Mentors[[#This Row],[Career Start Year]])),"",2026 - Mentors[[#This Row],[Career Start Year]])</f>
        <v>13</v>
      </c>
      <c r="H14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41" t="s">
        <v>51</v>
      </c>
      <c r="J141" t="s">
        <v>196</v>
      </c>
      <c r="M141" s="19">
        <v>45658</v>
      </c>
      <c r="N141" t="s">
        <v>4</v>
      </c>
      <c r="Q141" t="s">
        <v>54</v>
      </c>
      <c r="R141" t="s">
        <v>54</v>
      </c>
      <c r="S141" t="s">
        <v>54</v>
      </c>
      <c r="T141" t="s">
        <v>55</v>
      </c>
      <c r="U141" t="s">
        <v>187</v>
      </c>
      <c r="V141" t="s">
        <v>421</v>
      </c>
      <c r="W141" t="s">
        <v>79</v>
      </c>
      <c r="Z141" t="s">
        <v>169</v>
      </c>
      <c r="AA141" t="s">
        <v>170</v>
      </c>
      <c r="AB141">
        <v>1</v>
      </c>
      <c r="AD141" t="s">
        <v>63</v>
      </c>
      <c r="AG141" t="s">
        <v>54</v>
      </c>
      <c r="AH141" t="s">
        <v>65</v>
      </c>
      <c r="AI141" t="s">
        <v>66</v>
      </c>
      <c r="AJ141" t="s">
        <v>54</v>
      </c>
      <c r="AK141" t="s">
        <v>987</v>
      </c>
      <c r="AL141" t="s">
        <v>1020</v>
      </c>
      <c r="AN141" s="19">
        <f>IF(ISBLANK(Mentors[[#This Row],[Onboarded Date]]),"",Mentors[[#This Row],[Onboarded Date]]-WEEKDAY(Mentors[[#This Row],[Onboarded Date]],2)+1)</f>
        <v>45656</v>
      </c>
    </row>
    <row r="142" spans="1:40" ht="19.2" customHeight="1" x14ac:dyDescent="0.3">
      <c r="A142" t="s">
        <v>1024</v>
      </c>
      <c r="C142" t="s">
        <v>986</v>
      </c>
      <c r="F142">
        <v>2013</v>
      </c>
      <c r="G142">
        <f>IF(OR(Mentors[[#This Row],[Career Start Year]]="NA",ISBLANK(Mentors[[#This Row],[Career Start Year]])),"",2026 - Mentors[[#This Row],[Career Start Year]])</f>
        <v>13</v>
      </c>
      <c r="H14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42" t="s">
        <v>51</v>
      </c>
      <c r="J142" t="s">
        <v>52</v>
      </c>
      <c r="M142" s="19">
        <v>45658</v>
      </c>
      <c r="N142" t="s">
        <v>4</v>
      </c>
      <c r="Q142" t="s">
        <v>54</v>
      </c>
      <c r="R142" t="s">
        <v>54</v>
      </c>
      <c r="S142" t="s">
        <v>54</v>
      </c>
      <c r="T142" t="s">
        <v>411</v>
      </c>
      <c r="U142" t="s">
        <v>55</v>
      </c>
      <c r="V142" t="s">
        <v>421</v>
      </c>
      <c r="W142" t="s">
        <v>79</v>
      </c>
      <c r="Z142" t="s">
        <v>169</v>
      </c>
      <c r="AA142" t="s">
        <v>170</v>
      </c>
      <c r="AB142">
        <v>1</v>
      </c>
      <c r="AD142" t="s">
        <v>63</v>
      </c>
      <c r="AG142" t="s">
        <v>54</v>
      </c>
      <c r="AH142" t="s">
        <v>65</v>
      </c>
      <c r="AI142" t="s">
        <v>66</v>
      </c>
      <c r="AJ142" t="s">
        <v>54</v>
      </c>
      <c r="AK142" t="s">
        <v>987</v>
      </c>
      <c r="AL142" t="s">
        <v>1020</v>
      </c>
      <c r="AN142" s="19">
        <f>IF(ISBLANK(Mentors[[#This Row],[Onboarded Date]]),"",Mentors[[#This Row],[Onboarded Date]]-WEEKDAY(Mentors[[#This Row],[Onboarded Date]],2)+1)</f>
        <v>45656</v>
      </c>
    </row>
    <row r="143" spans="1:40" ht="19.2" customHeight="1" x14ac:dyDescent="0.3">
      <c r="A143" t="s">
        <v>1025</v>
      </c>
      <c r="C143" t="s">
        <v>986</v>
      </c>
      <c r="F143">
        <v>2013</v>
      </c>
      <c r="G143">
        <f>IF(OR(Mentors[[#This Row],[Career Start Year]]="NA",ISBLANK(Mentors[[#This Row],[Career Start Year]])),"",2026 - Mentors[[#This Row],[Career Start Year]])</f>
        <v>13</v>
      </c>
      <c r="H14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43" t="s">
        <v>51</v>
      </c>
      <c r="J143" t="s">
        <v>52</v>
      </c>
      <c r="M143" s="19">
        <v>45658</v>
      </c>
      <c r="N143" t="s">
        <v>6</v>
      </c>
      <c r="Q143" t="s">
        <v>54</v>
      </c>
      <c r="R143" t="s">
        <v>54</v>
      </c>
      <c r="S143" t="s">
        <v>54</v>
      </c>
      <c r="T143" t="s">
        <v>55</v>
      </c>
      <c r="U143" t="s">
        <v>187</v>
      </c>
      <c r="V143" t="s">
        <v>421</v>
      </c>
      <c r="W143" t="s">
        <v>79</v>
      </c>
      <c r="Z143" t="s">
        <v>169</v>
      </c>
      <c r="AA143" t="s">
        <v>170</v>
      </c>
      <c r="AB143">
        <v>1</v>
      </c>
      <c r="AD143" t="s">
        <v>63</v>
      </c>
      <c r="AG143" t="s">
        <v>54</v>
      </c>
      <c r="AH143" t="s">
        <v>65</v>
      </c>
      <c r="AI143" t="s">
        <v>66</v>
      </c>
      <c r="AJ143" t="s">
        <v>54</v>
      </c>
      <c r="AK143" t="s">
        <v>987</v>
      </c>
      <c r="AL143" t="s">
        <v>1020</v>
      </c>
      <c r="AN143" s="19">
        <f>IF(ISBLANK(Mentors[[#This Row],[Onboarded Date]]),"",Mentors[[#This Row],[Onboarded Date]]-WEEKDAY(Mentors[[#This Row],[Onboarded Date]],2)+1)</f>
        <v>45656</v>
      </c>
    </row>
    <row r="144" spans="1:40" ht="19.2" customHeight="1" x14ac:dyDescent="0.3">
      <c r="A144" t="s">
        <v>1026</v>
      </c>
      <c r="B144" s="4" t="s">
        <v>1027</v>
      </c>
      <c r="C144" t="s">
        <v>1028</v>
      </c>
      <c r="D144" t="s">
        <v>1029</v>
      </c>
      <c r="E144" t="s">
        <v>1030</v>
      </c>
      <c r="F144">
        <v>2001</v>
      </c>
      <c r="G144">
        <f>IF(OR(Mentors[[#This Row],[Career Start Year]]="NA",ISBLANK(Mentors[[#This Row],[Career Start Year]])),"",2026 - Mentors[[#This Row],[Career Start Year]])</f>
        <v>25</v>
      </c>
      <c r="H14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44" t="s">
        <v>51</v>
      </c>
      <c r="J144" t="s">
        <v>389</v>
      </c>
      <c r="K144" t="s">
        <v>1031</v>
      </c>
      <c r="L144" s="17" t="s">
        <v>1032</v>
      </c>
      <c r="M144" s="19">
        <v>45658</v>
      </c>
      <c r="N144" t="s">
        <v>2</v>
      </c>
      <c r="O144" t="s">
        <v>0</v>
      </c>
      <c r="Q144" t="s">
        <v>54</v>
      </c>
      <c r="R144" t="s">
        <v>54</v>
      </c>
      <c r="S144" t="s">
        <v>54</v>
      </c>
      <c r="T144" t="s">
        <v>55</v>
      </c>
      <c r="U144" t="s">
        <v>77</v>
      </c>
      <c r="V144" t="s">
        <v>306</v>
      </c>
      <c r="W144" t="s">
        <v>79</v>
      </c>
      <c r="X144" t="s">
        <v>59</v>
      </c>
      <c r="Z144" t="s">
        <v>81</v>
      </c>
      <c r="AA144" t="s">
        <v>62</v>
      </c>
      <c r="AB144">
        <v>1</v>
      </c>
      <c r="AD144" t="s">
        <v>54</v>
      </c>
      <c r="AE144" t="s">
        <v>54</v>
      </c>
      <c r="AG144" t="s">
        <v>54</v>
      </c>
      <c r="AH144" t="s">
        <v>65</v>
      </c>
      <c r="AI144" t="s">
        <v>248</v>
      </c>
      <c r="AJ144" t="s">
        <v>54</v>
      </c>
      <c r="AK144" t="s">
        <v>911</v>
      </c>
      <c r="AL144" t="s">
        <v>1033</v>
      </c>
      <c r="AN144" s="19">
        <f>IF(ISBLANK(Mentors[[#This Row],[Onboarded Date]]),"",Mentors[[#This Row],[Onboarded Date]]-WEEKDAY(Mentors[[#This Row],[Onboarded Date]],2)+1)</f>
        <v>45656</v>
      </c>
    </row>
    <row r="145" spans="1:40" ht="19.2" customHeight="1" x14ac:dyDescent="0.3">
      <c r="A145" t="s">
        <v>1034</v>
      </c>
      <c r="B145" t="s">
        <v>1035</v>
      </c>
      <c r="C145" t="s">
        <v>1036</v>
      </c>
      <c r="D145" t="s">
        <v>1037</v>
      </c>
      <c r="E145" t="s">
        <v>1038</v>
      </c>
      <c r="F145">
        <v>2005</v>
      </c>
      <c r="G145">
        <f>IF(OR(Mentors[[#This Row],[Career Start Year]]="NA",ISBLANK(Mentors[[#This Row],[Career Start Year]])),"",2026 - Mentors[[#This Row],[Career Start Year]])</f>
        <v>21</v>
      </c>
      <c r="H14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45" t="s">
        <v>51</v>
      </c>
      <c r="J145" t="s">
        <v>1039</v>
      </c>
      <c r="K145" t="s">
        <v>1040</v>
      </c>
      <c r="L145" s="17">
        <v>9910078876</v>
      </c>
      <c r="M145" s="19">
        <v>45658</v>
      </c>
      <c r="O145" t="s">
        <v>0</v>
      </c>
      <c r="Q145" t="s">
        <v>54</v>
      </c>
      <c r="R145" t="s">
        <v>54</v>
      </c>
      <c r="S145" t="s">
        <v>54</v>
      </c>
      <c r="T145" t="s">
        <v>77</v>
      </c>
      <c r="U145" t="s">
        <v>187</v>
      </c>
      <c r="V145" t="s">
        <v>78</v>
      </c>
      <c r="W145" t="s">
        <v>79</v>
      </c>
      <c r="X145" t="s">
        <v>80</v>
      </c>
      <c r="Z145" t="s">
        <v>169</v>
      </c>
      <c r="AA145" t="s">
        <v>170</v>
      </c>
      <c r="AB145">
        <v>1</v>
      </c>
      <c r="AD145" t="s">
        <v>63</v>
      </c>
      <c r="AE145" t="s">
        <v>54</v>
      </c>
      <c r="AG145" t="s">
        <v>54</v>
      </c>
      <c r="AH145" t="s">
        <v>215</v>
      </c>
      <c r="AI145" t="s">
        <v>77</v>
      </c>
      <c r="AJ145" t="s">
        <v>54</v>
      </c>
      <c r="AK145" t="s">
        <v>1041</v>
      </c>
      <c r="AL145" t="s">
        <v>188</v>
      </c>
      <c r="AN145" s="19">
        <f>IF(ISBLANK(Mentors[[#This Row],[Onboarded Date]]),"",Mentors[[#This Row],[Onboarded Date]]-WEEKDAY(Mentors[[#This Row],[Onboarded Date]],2)+1)</f>
        <v>45656</v>
      </c>
    </row>
    <row r="146" spans="1:40" ht="19.2" customHeight="1" x14ac:dyDescent="0.3">
      <c r="A146" t="s">
        <v>1042</v>
      </c>
      <c r="B146" t="s">
        <v>1043</v>
      </c>
      <c r="C146" t="s">
        <v>1044</v>
      </c>
      <c r="D146" t="s">
        <v>1045</v>
      </c>
      <c r="E146" t="s">
        <v>1046</v>
      </c>
      <c r="F146">
        <v>2006</v>
      </c>
      <c r="G146">
        <f>IF(OR(Mentors[[#This Row],[Career Start Year]]="NA",ISBLANK(Mentors[[#This Row],[Career Start Year]])),"",2026 - Mentors[[#This Row],[Career Start Year]])</f>
        <v>20</v>
      </c>
      <c r="H14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146" t="s">
        <v>51</v>
      </c>
      <c r="J146" t="s">
        <v>389</v>
      </c>
      <c r="K146" t="s">
        <v>1047</v>
      </c>
      <c r="L146" s="17">
        <v>9910906316</v>
      </c>
      <c r="M146" s="19">
        <v>45658</v>
      </c>
      <c r="N146" t="s">
        <v>2</v>
      </c>
      <c r="O146" t="s">
        <v>0</v>
      </c>
      <c r="Q146" t="s">
        <v>54</v>
      </c>
      <c r="R146" t="s">
        <v>63</v>
      </c>
      <c r="S146" t="s">
        <v>63</v>
      </c>
      <c r="T146" t="s">
        <v>55</v>
      </c>
      <c r="U146" t="s">
        <v>1048</v>
      </c>
      <c r="V146" t="s">
        <v>306</v>
      </c>
      <c r="W146" t="s">
        <v>79</v>
      </c>
      <c r="Z146" t="s">
        <v>81</v>
      </c>
      <c r="AA146" t="s">
        <v>62</v>
      </c>
      <c r="AB146">
        <v>1</v>
      </c>
      <c r="AD146" t="s">
        <v>54</v>
      </c>
      <c r="AE146" t="s">
        <v>63</v>
      </c>
      <c r="AG146" t="s">
        <v>54</v>
      </c>
      <c r="AH146" t="s">
        <v>152</v>
      </c>
      <c r="AI146" t="s">
        <v>66</v>
      </c>
      <c r="AJ146" t="s">
        <v>54</v>
      </c>
      <c r="AK146" t="s">
        <v>1049</v>
      </c>
      <c r="AL146" t="s">
        <v>1033</v>
      </c>
      <c r="AN146" s="19">
        <f>IF(ISBLANK(Mentors[[#This Row],[Onboarded Date]]),"",Mentors[[#This Row],[Onboarded Date]]-WEEKDAY(Mentors[[#This Row],[Onboarded Date]],2)+1)</f>
        <v>45656</v>
      </c>
    </row>
    <row r="147" spans="1:40" ht="19.2" customHeight="1" x14ac:dyDescent="0.3">
      <c r="A147" t="s">
        <v>1050</v>
      </c>
      <c r="B147" t="s">
        <v>94</v>
      </c>
      <c r="C147" t="s">
        <v>1051</v>
      </c>
      <c r="D147" t="s">
        <v>1052</v>
      </c>
      <c r="E147" t="s">
        <v>1053</v>
      </c>
      <c r="F147">
        <v>2007</v>
      </c>
      <c r="G147">
        <f>IF(OR(Mentors[[#This Row],[Career Start Year]]="NA",ISBLANK(Mentors[[#This Row],[Career Start Year]])),"",2026 - Mentors[[#This Row],[Career Start Year]])</f>
        <v>19</v>
      </c>
      <c r="H14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147" t="s">
        <v>51</v>
      </c>
      <c r="J147" t="s">
        <v>1054</v>
      </c>
      <c r="K147" t="s">
        <v>1055</v>
      </c>
      <c r="L147" s="17">
        <v>9712875670</v>
      </c>
      <c r="M147" s="19">
        <v>45658</v>
      </c>
      <c r="O147" t="s">
        <v>0</v>
      </c>
      <c r="Q147" t="s">
        <v>54</v>
      </c>
      <c r="R147" t="s">
        <v>54</v>
      </c>
      <c r="S147" t="s">
        <v>54</v>
      </c>
      <c r="T147" t="s">
        <v>76</v>
      </c>
      <c r="U147" t="s">
        <v>77</v>
      </c>
      <c r="V147" t="s">
        <v>78</v>
      </c>
      <c r="W147" t="s">
        <v>79</v>
      </c>
      <c r="X147" t="s">
        <v>59</v>
      </c>
      <c r="Z147" t="s">
        <v>169</v>
      </c>
      <c r="AA147" t="s">
        <v>170</v>
      </c>
      <c r="AB147">
        <v>1</v>
      </c>
      <c r="AD147" t="s">
        <v>63</v>
      </c>
      <c r="AE147" t="s">
        <v>54</v>
      </c>
      <c r="AG147" t="s">
        <v>63</v>
      </c>
      <c r="AH147" t="s">
        <v>131</v>
      </c>
      <c r="AI147" t="s">
        <v>248</v>
      </c>
      <c r="AJ147" t="s">
        <v>54</v>
      </c>
      <c r="AK147" t="s">
        <v>1056</v>
      </c>
      <c r="AL147" t="s">
        <v>1057</v>
      </c>
      <c r="AN147" s="19">
        <f>IF(ISBLANK(Mentors[[#This Row],[Onboarded Date]]),"",Mentors[[#This Row],[Onboarded Date]]-WEEKDAY(Mentors[[#This Row],[Onboarded Date]],2)+1)</f>
        <v>45656</v>
      </c>
    </row>
    <row r="148" spans="1:40" ht="19.2" customHeight="1" x14ac:dyDescent="0.3">
      <c r="A148" t="s">
        <v>1058</v>
      </c>
      <c r="B148" t="s">
        <v>1059</v>
      </c>
      <c r="C148" t="s">
        <v>1060</v>
      </c>
      <c r="D148" t="s">
        <v>1061</v>
      </c>
      <c r="E148" t="s">
        <v>1062</v>
      </c>
      <c r="F148">
        <v>2011</v>
      </c>
      <c r="G148">
        <f>IF(OR(Mentors[[#This Row],[Career Start Year]]="NA",ISBLANK(Mentors[[#This Row],[Career Start Year]])),"",2026 - Mentors[[#This Row],[Career Start Year]])</f>
        <v>15</v>
      </c>
      <c r="H14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48" t="s">
        <v>51</v>
      </c>
      <c r="J148" t="s">
        <v>196</v>
      </c>
      <c r="K148" t="s">
        <v>1063</v>
      </c>
      <c r="L148" s="17">
        <v>8790891119</v>
      </c>
      <c r="M148" s="19">
        <v>45658</v>
      </c>
      <c r="N148" t="s">
        <v>2</v>
      </c>
      <c r="O148" t="s">
        <v>0</v>
      </c>
      <c r="Q148" t="s">
        <v>54</v>
      </c>
      <c r="R148" t="s">
        <v>54</v>
      </c>
      <c r="S148" t="s">
        <v>54</v>
      </c>
      <c r="T148" t="s">
        <v>55</v>
      </c>
      <c r="U148" t="s">
        <v>65</v>
      </c>
      <c r="V148" t="s">
        <v>198</v>
      </c>
      <c r="W148" t="s">
        <v>79</v>
      </c>
      <c r="X148" t="s">
        <v>59</v>
      </c>
      <c r="Y148" t="s">
        <v>60</v>
      </c>
      <c r="Z148" t="s">
        <v>169</v>
      </c>
      <c r="AA148" t="s">
        <v>170</v>
      </c>
      <c r="AB148">
        <v>1</v>
      </c>
      <c r="AD148" t="s">
        <v>63</v>
      </c>
      <c r="AE148" t="s">
        <v>54</v>
      </c>
      <c r="AG148" t="s">
        <v>54</v>
      </c>
      <c r="AH148" t="s">
        <v>65</v>
      </c>
      <c r="AI148" t="s">
        <v>1064</v>
      </c>
      <c r="AJ148" t="s">
        <v>54</v>
      </c>
      <c r="AK148" t="s">
        <v>1065</v>
      </c>
      <c r="AL148" t="s">
        <v>644</v>
      </c>
      <c r="AN148" s="19">
        <f>IF(ISBLANK(Mentors[[#This Row],[Onboarded Date]]),"",Mentors[[#This Row],[Onboarded Date]]-WEEKDAY(Mentors[[#This Row],[Onboarded Date]],2)+1)</f>
        <v>45656</v>
      </c>
    </row>
    <row r="149" spans="1:40" ht="19.2" customHeight="1" x14ac:dyDescent="0.3">
      <c r="A149" t="s">
        <v>1066</v>
      </c>
      <c r="B149" t="s">
        <v>1067</v>
      </c>
      <c r="C149" t="s">
        <v>1068</v>
      </c>
      <c r="D149" t="s">
        <v>1069</v>
      </c>
      <c r="E149" t="s">
        <v>1070</v>
      </c>
      <c r="F149">
        <v>1998</v>
      </c>
      <c r="G149">
        <f>IF(OR(Mentors[[#This Row],[Career Start Year]]="NA",ISBLANK(Mentors[[#This Row],[Career Start Year]])),"",2026 - Mentors[[#This Row],[Career Start Year]])</f>
        <v>28</v>
      </c>
      <c r="H14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49" t="s">
        <v>1071</v>
      </c>
      <c r="J149" t="s">
        <v>196</v>
      </c>
      <c r="K149" t="s">
        <v>1072</v>
      </c>
      <c r="L149" s="17" t="s">
        <v>1073</v>
      </c>
      <c r="M149" s="19">
        <v>45658</v>
      </c>
      <c r="O149" t="s">
        <v>0</v>
      </c>
      <c r="Q149" t="s">
        <v>54</v>
      </c>
      <c r="R149" t="s">
        <v>54</v>
      </c>
      <c r="S149" t="s">
        <v>54</v>
      </c>
      <c r="T149" t="s">
        <v>166</v>
      </c>
      <c r="U149" t="s">
        <v>187</v>
      </c>
      <c r="V149" t="s">
        <v>58</v>
      </c>
      <c r="W149" s="4" t="s">
        <v>421</v>
      </c>
      <c r="X149" s="4" t="s">
        <v>60</v>
      </c>
      <c r="Y149" s="4"/>
      <c r="Z149" t="s">
        <v>169</v>
      </c>
      <c r="AA149" t="s">
        <v>170</v>
      </c>
      <c r="AB149">
        <v>1</v>
      </c>
      <c r="AD149" t="s">
        <v>63</v>
      </c>
      <c r="AE149" t="s">
        <v>54</v>
      </c>
      <c r="AG149" t="s">
        <v>54</v>
      </c>
      <c r="AH149" t="s">
        <v>131</v>
      </c>
      <c r="AI149" t="s">
        <v>132</v>
      </c>
      <c r="AJ149" t="s">
        <v>54</v>
      </c>
      <c r="AK149" t="s">
        <v>1049</v>
      </c>
      <c r="AL149" t="s">
        <v>1020</v>
      </c>
      <c r="AN149" s="19">
        <f>IF(ISBLANK(Mentors[[#This Row],[Onboarded Date]]),"",Mentors[[#This Row],[Onboarded Date]]-WEEKDAY(Mentors[[#This Row],[Onboarded Date]],2)+1)</f>
        <v>45656</v>
      </c>
    </row>
    <row r="150" spans="1:40" ht="19.2" customHeight="1" x14ac:dyDescent="0.3">
      <c r="A150" t="s">
        <v>1074</v>
      </c>
      <c r="B150" t="s">
        <v>1075</v>
      </c>
      <c r="C150" t="s">
        <v>1076</v>
      </c>
      <c r="D150" t="s">
        <v>1077</v>
      </c>
      <c r="E150" t="s">
        <v>1078</v>
      </c>
      <c r="F150">
        <v>1991</v>
      </c>
      <c r="G150">
        <f>IF(OR(Mentors[[#This Row],[Career Start Year]]="NA",ISBLANK(Mentors[[#This Row],[Career Start Year]])),"",2026 - Mentors[[#This Row],[Career Start Year]])</f>
        <v>35</v>
      </c>
      <c r="H15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50" t="s">
        <v>51</v>
      </c>
      <c r="J150" t="s">
        <v>496</v>
      </c>
      <c r="M150" s="19">
        <v>45658</v>
      </c>
      <c r="O150" t="s">
        <v>0</v>
      </c>
      <c r="Q150" t="s">
        <v>54</v>
      </c>
      <c r="R150" t="s">
        <v>54</v>
      </c>
      <c r="S150" t="s">
        <v>54</v>
      </c>
      <c r="T150" t="s">
        <v>77</v>
      </c>
      <c r="U150" t="s">
        <v>110</v>
      </c>
      <c r="V150" t="s">
        <v>78</v>
      </c>
      <c r="W150" s="4" t="s">
        <v>58</v>
      </c>
      <c r="X150" s="4" t="s">
        <v>59</v>
      </c>
      <c r="Y150" s="4"/>
      <c r="Z150" t="s">
        <v>169</v>
      </c>
      <c r="AA150" t="s">
        <v>170</v>
      </c>
      <c r="AB150">
        <v>1</v>
      </c>
      <c r="AD150" t="s">
        <v>63</v>
      </c>
      <c r="AE150" t="s">
        <v>54</v>
      </c>
      <c r="AG150" t="s">
        <v>54</v>
      </c>
      <c r="AH150" t="s">
        <v>65</v>
      </c>
      <c r="AI150" t="s">
        <v>248</v>
      </c>
      <c r="AJ150" t="s">
        <v>54</v>
      </c>
      <c r="AK150" t="s">
        <v>1079</v>
      </c>
      <c r="AL150" t="s">
        <v>1080</v>
      </c>
      <c r="AN150" s="19">
        <f>IF(ISBLANK(Mentors[[#This Row],[Onboarded Date]]),"",Mentors[[#This Row],[Onboarded Date]]-WEEKDAY(Mentors[[#This Row],[Onboarded Date]],2)+1)</f>
        <v>45656</v>
      </c>
    </row>
    <row r="151" spans="1:40" ht="19.2" customHeight="1" x14ac:dyDescent="0.3">
      <c r="A151" t="s">
        <v>1081</v>
      </c>
      <c r="B151" t="s">
        <v>1082</v>
      </c>
      <c r="C151" t="s">
        <v>1083</v>
      </c>
      <c r="D151" t="s">
        <v>1084</v>
      </c>
      <c r="E151" s="7" t="s">
        <v>1085</v>
      </c>
      <c r="F151">
        <v>1985</v>
      </c>
      <c r="G151">
        <f>IF(OR(Mentors[[#This Row],[Career Start Year]]="NA",ISBLANK(Mentors[[#This Row],[Career Start Year]])),"",2026 - Mentors[[#This Row],[Career Start Year]])</f>
        <v>41</v>
      </c>
      <c r="H15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51" t="s">
        <v>51</v>
      </c>
      <c r="J151" t="s">
        <v>280</v>
      </c>
      <c r="K151" t="s">
        <v>1086</v>
      </c>
      <c r="L151" s="17">
        <v>9662021012</v>
      </c>
      <c r="M151" s="19">
        <v>45658</v>
      </c>
      <c r="O151" t="s">
        <v>0</v>
      </c>
      <c r="Q151" t="s">
        <v>54</v>
      </c>
      <c r="R151" t="s">
        <v>54</v>
      </c>
      <c r="S151" t="s">
        <v>54</v>
      </c>
      <c r="T151" t="s">
        <v>166</v>
      </c>
      <c r="U151" t="s">
        <v>187</v>
      </c>
      <c r="V151" t="s">
        <v>58</v>
      </c>
      <c r="W151" s="4" t="s">
        <v>58</v>
      </c>
      <c r="X151" s="4" t="s">
        <v>60</v>
      </c>
      <c r="Y151" s="4"/>
      <c r="Z151" t="s">
        <v>169</v>
      </c>
      <c r="AA151" t="s">
        <v>170</v>
      </c>
      <c r="AB151">
        <v>1</v>
      </c>
      <c r="AD151" t="s">
        <v>63</v>
      </c>
      <c r="AE151" t="s">
        <v>63</v>
      </c>
      <c r="AG151" t="s">
        <v>54</v>
      </c>
      <c r="AH151" t="s">
        <v>65</v>
      </c>
      <c r="AI151" t="s">
        <v>248</v>
      </c>
      <c r="AJ151" t="s">
        <v>54</v>
      </c>
      <c r="AK151" t="s">
        <v>1087</v>
      </c>
      <c r="AL151" t="s">
        <v>1080</v>
      </c>
      <c r="AN151" s="19">
        <f>IF(ISBLANK(Mentors[[#This Row],[Onboarded Date]]),"",Mentors[[#This Row],[Onboarded Date]]-WEEKDAY(Mentors[[#This Row],[Onboarded Date]],2)+1)</f>
        <v>45656</v>
      </c>
    </row>
    <row r="152" spans="1:40" ht="19.2" customHeight="1" x14ac:dyDescent="0.3">
      <c r="A152" t="s">
        <v>1088</v>
      </c>
      <c r="D152" t="s">
        <v>1089</v>
      </c>
      <c r="E152" t="s">
        <v>1090</v>
      </c>
      <c r="F152">
        <v>2005</v>
      </c>
      <c r="G152">
        <f>IF(OR(Mentors[[#This Row],[Career Start Year]]="NA",ISBLANK(Mentors[[#This Row],[Career Start Year]])),"",2026 - Mentors[[#This Row],[Career Start Year]])</f>
        <v>21</v>
      </c>
      <c r="H15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52" t="s">
        <v>51</v>
      </c>
      <c r="J152" t="s">
        <v>118</v>
      </c>
      <c r="M152" s="19">
        <v>45658</v>
      </c>
      <c r="N152" t="s">
        <v>2</v>
      </c>
      <c r="O152" t="s">
        <v>0</v>
      </c>
      <c r="Q152" t="s">
        <v>54</v>
      </c>
      <c r="R152" t="s">
        <v>54</v>
      </c>
      <c r="S152" t="s">
        <v>54</v>
      </c>
      <c r="T152" t="s">
        <v>55</v>
      </c>
      <c r="U152" t="s">
        <v>77</v>
      </c>
      <c r="V152" t="s">
        <v>57</v>
      </c>
      <c r="W152" t="s">
        <v>79</v>
      </c>
      <c r="X152" t="s">
        <v>59</v>
      </c>
      <c r="Y152" t="s">
        <v>60</v>
      </c>
      <c r="Z152" t="s">
        <v>169</v>
      </c>
      <c r="AA152" t="s">
        <v>170</v>
      </c>
      <c r="AB152">
        <v>1</v>
      </c>
      <c r="AD152" t="s">
        <v>63</v>
      </c>
      <c r="AE152" t="s">
        <v>54</v>
      </c>
      <c r="AG152" t="s">
        <v>54</v>
      </c>
      <c r="AH152" t="s">
        <v>131</v>
      </c>
      <c r="AI152" t="s">
        <v>66</v>
      </c>
      <c r="AJ152" t="s">
        <v>54</v>
      </c>
      <c r="AK152" t="s">
        <v>1091</v>
      </c>
      <c r="AL152" t="s">
        <v>644</v>
      </c>
      <c r="AN152" s="19">
        <f>IF(ISBLANK(Mentors[[#This Row],[Onboarded Date]]),"",Mentors[[#This Row],[Onboarded Date]]-WEEKDAY(Mentors[[#This Row],[Onboarded Date]],2)+1)</f>
        <v>45656</v>
      </c>
    </row>
    <row r="153" spans="1:40" ht="19.2" customHeight="1" x14ac:dyDescent="0.3">
      <c r="A153" t="s">
        <v>1092</v>
      </c>
      <c r="D153" t="s">
        <v>1093</v>
      </c>
      <c r="E153" t="s">
        <v>1094</v>
      </c>
      <c r="F153">
        <v>2002</v>
      </c>
      <c r="G153">
        <f>IF(OR(Mentors[[#This Row],[Career Start Year]]="NA",ISBLANK(Mentors[[#This Row],[Career Start Year]])),"",2026 - Mentors[[#This Row],[Career Start Year]])</f>
        <v>24</v>
      </c>
      <c r="H15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53" t="s">
        <v>51</v>
      </c>
      <c r="J153" t="s">
        <v>140</v>
      </c>
      <c r="M153" s="19">
        <v>45658</v>
      </c>
      <c r="N153" t="s">
        <v>2</v>
      </c>
      <c r="O153" t="s">
        <v>0</v>
      </c>
      <c r="Q153" t="s">
        <v>54</v>
      </c>
      <c r="R153" t="s">
        <v>54</v>
      </c>
      <c r="S153" t="s">
        <v>54</v>
      </c>
      <c r="T153" t="s">
        <v>55</v>
      </c>
      <c r="U153" t="s">
        <v>77</v>
      </c>
      <c r="V153" t="s">
        <v>57</v>
      </c>
      <c r="W153" t="s">
        <v>79</v>
      </c>
      <c r="Z153" t="s">
        <v>169</v>
      </c>
      <c r="AA153" t="s">
        <v>170</v>
      </c>
      <c r="AB153">
        <v>1</v>
      </c>
      <c r="AD153" t="s">
        <v>63</v>
      </c>
      <c r="AE153" t="s">
        <v>54</v>
      </c>
      <c r="AG153" t="s">
        <v>54</v>
      </c>
      <c r="AH153" t="s">
        <v>131</v>
      </c>
      <c r="AI153" t="s">
        <v>66</v>
      </c>
      <c r="AJ153" t="s">
        <v>54</v>
      </c>
      <c r="AK153" t="s">
        <v>1091</v>
      </c>
      <c r="AL153" t="s">
        <v>644</v>
      </c>
      <c r="AN153" s="19">
        <f>IF(ISBLANK(Mentors[[#This Row],[Onboarded Date]]),"",Mentors[[#This Row],[Onboarded Date]]-WEEKDAY(Mentors[[#This Row],[Onboarded Date]],2)+1)</f>
        <v>45656</v>
      </c>
    </row>
    <row r="154" spans="1:40" ht="19.2" customHeight="1" x14ac:dyDescent="0.3">
      <c r="A154" t="s">
        <v>1095</v>
      </c>
      <c r="D154" t="s">
        <v>1096</v>
      </c>
      <c r="E154" t="s">
        <v>1097</v>
      </c>
      <c r="F154">
        <v>2010</v>
      </c>
      <c r="G154">
        <f>IF(OR(Mentors[[#This Row],[Career Start Year]]="NA",ISBLANK(Mentors[[#This Row],[Career Start Year]])),"",2026 - Mentors[[#This Row],[Career Start Year]])</f>
        <v>16</v>
      </c>
      <c r="H15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154" t="s">
        <v>51</v>
      </c>
      <c r="J154" t="s">
        <v>140</v>
      </c>
      <c r="M154" s="19">
        <v>45658</v>
      </c>
      <c r="N154" t="s">
        <v>2</v>
      </c>
      <c r="O154" t="s">
        <v>0</v>
      </c>
      <c r="Q154" t="s">
        <v>54</v>
      </c>
      <c r="R154" t="s">
        <v>54</v>
      </c>
      <c r="S154" t="s">
        <v>54</v>
      </c>
      <c r="T154" t="s">
        <v>55</v>
      </c>
      <c r="U154" t="s">
        <v>77</v>
      </c>
      <c r="V154" t="s">
        <v>57</v>
      </c>
      <c r="W154" s="4" t="s">
        <v>282</v>
      </c>
      <c r="X154" s="4" t="s">
        <v>80</v>
      </c>
      <c r="Y154" s="4" t="s">
        <v>60</v>
      </c>
      <c r="Z154" t="s">
        <v>81</v>
      </c>
      <c r="AA154" t="s">
        <v>62</v>
      </c>
      <c r="AB154">
        <v>1</v>
      </c>
      <c r="AD154" t="s">
        <v>79</v>
      </c>
      <c r="AE154" t="s">
        <v>54</v>
      </c>
      <c r="AG154" t="s">
        <v>54</v>
      </c>
      <c r="AH154" t="s">
        <v>65</v>
      </c>
      <c r="AI154" t="s">
        <v>248</v>
      </c>
      <c r="AJ154" t="s">
        <v>54</v>
      </c>
      <c r="AK154" t="s">
        <v>1091</v>
      </c>
      <c r="AL154" t="s">
        <v>644</v>
      </c>
      <c r="AN154" s="19">
        <f>IF(ISBLANK(Mentors[[#This Row],[Onboarded Date]]),"",Mentors[[#This Row],[Onboarded Date]]-WEEKDAY(Mentors[[#This Row],[Onboarded Date]],2)+1)</f>
        <v>45656</v>
      </c>
    </row>
    <row r="155" spans="1:40" ht="19.2" customHeight="1" x14ac:dyDescent="0.3">
      <c r="A155" t="s">
        <v>1098</v>
      </c>
      <c r="B155" t="s">
        <v>1099</v>
      </c>
      <c r="C155" t="s">
        <v>1100</v>
      </c>
      <c r="D155" t="s">
        <v>1101</v>
      </c>
      <c r="E155" t="s">
        <v>1102</v>
      </c>
      <c r="F155">
        <v>2001</v>
      </c>
      <c r="G155">
        <f>IF(OR(Mentors[[#This Row],[Career Start Year]]="NA",ISBLANK(Mentors[[#This Row],[Career Start Year]])),"",2026 - Mentors[[#This Row],[Career Start Year]])</f>
        <v>25</v>
      </c>
      <c r="H15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55" t="s">
        <v>51</v>
      </c>
      <c r="J155" t="s">
        <v>196</v>
      </c>
      <c r="M155" s="19">
        <v>45658</v>
      </c>
      <c r="N155" t="s">
        <v>2</v>
      </c>
      <c r="O155" t="s">
        <v>0</v>
      </c>
      <c r="Q155" t="s">
        <v>54</v>
      </c>
      <c r="R155" t="s">
        <v>54</v>
      </c>
      <c r="S155" t="s">
        <v>54</v>
      </c>
      <c r="T155" t="s">
        <v>1103</v>
      </c>
      <c r="U155" t="s">
        <v>77</v>
      </c>
      <c r="V155" t="s">
        <v>57</v>
      </c>
      <c r="W155" t="s">
        <v>79</v>
      </c>
      <c r="X155" t="s">
        <v>60</v>
      </c>
      <c r="Z155" t="s">
        <v>169</v>
      </c>
      <c r="AA155" t="s">
        <v>170</v>
      </c>
      <c r="AB155">
        <v>1</v>
      </c>
      <c r="AD155" t="s">
        <v>63</v>
      </c>
      <c r="AG155" t="s">
        <v>54</v>
      </c>
      <c r="AH155" t="s">
        <v>131</v>
      </c>
      <c r="AI155" t="s">
        <v>1064</v>
      </c>
      <c r="AJ155" t="s">
        <v>54</v>
      </c>
      <c r="AK155" t="s">
        <v>1104</v>
      </c>
      <c r="AL155" t="s">
        <v>1105</v>
      </c>
      <c r="AN155" s="19">
        <f>IF(ISBLANK(Mentors[[#This Row],[Onboarded Date]]),"",Mentors[[#This Row],[Onboarded Date]]-WEEKDAY(Mentors[[#This Row],[Onboarded Date]],2)+1)</f>
        <v>45656</v>
      </c>
    </row>
    <row r="156" spans="1:40" ht="19.2" customHeight="1" x14ac:dyDescent="0.3">
      <c r="A156" t="s">
        <v>1106</v>
      </c>
      <c r="D156" t="s">
        <v>1107</v>
      </c>
      <c r="E156" t="s">
        <v>1108</v>
      </c>
      <c r="F156">
        <v>2015</v>
      </c>
      <c r="G156">
        <f>IF(OR(Mentors[[#This Row],[Career Start Year]]="NA",ISBLANK(Mentors[[#This Row],[Career Start Year]])),"",2026 - Mentors[[#This Row],[Career Start Year]])</f>
        <v>11</v>
      </c>
      <c r="H15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56" t="s">
        <v>51</v>
      </c>
      <c r="J156" t="s">
        <v>297</v>
      </c>
      <c r="M156" s="19">
        <v>45658</v>
      </c>
      <c r="N156" t="s">
        <v>2</v>
      </c>
      <c r="O156" t="s">
        <v>0</v>
      </c>
      <c r="Q156" t="s">
        <v>54</v>
      </c>
      <c r="R156" t="s">
        <v>54</v>
      </c>
      <c r="S156" t="s">
        <v>54</v>
      </c>
      <c r="T156" t="s">
        <v>55</v>
      </c>
      <c r="U156" t="s">
        <v>77</v>
      </c>
      <c r="V156" t="s">
        <v>306</v>
      </c>
      <c r="W156" t="s">
        <v>79</v>
      </c>
      <c r="Z156" t="s">
        <v>81</v>
      </c>
      <c r="AA156" t="s">
        <v>62</v>
      </c>
      <c r="AB156">
        <v>1</v>
      </c>
      <c r="AD156" t="s">
        <v>63</v>
      </c>
      <c r="AE156" t="s">
        <v>54</v>
      </c>
      <c r="AG156" t="s">
        <v>54</v>
      </c>
      <c r="AH156" t="s">
        <v>131</v>
      </c>
      <c r="AI156" t="s">
        <v>66</v>
      </c>
      <c r="AJ156" t="s">
        <v>54</v>
      </c>
      <c r="AK156" t="s">
        <v>1109</v>
      </c>
      <c r="AL156" t="s">
        <v>1110</v>
      </c>
      <c r="AN156" s="19">
        <f>IF(ISBLANK(Mentors[[#This Row],[Onboarded Date]]),"",Mentors[[#This Row],[Onboarded Date]]-WEEKDAY(Mentors[[#This Row],[Onboarded Date]],2)+1)</f>
        <v>45656</v>
      </c>
    </row>
    <row r="157" spans="1:40" ht="19.2" customHeight="1" x14ac:dyDescent="0.3">
      <c r="A157" t="s">
        <v>1111</v>
      </c>
      <c r="B157" t="s">
        <v>1112</v>
      </c>
      <c r="C157" t="s">
        <v>1113</v>
      </c>
      <c r="D157" t="s">
        <v>1114</v>
      </c>
      <c r="E157" s="7" t="s">
        <v>1115</v>
      </c>
      <c r="F157">
        <v>2007</v>
      </c>
      <c r="G157">
        <f>IF(OR(Mentors[[#This Row],[Career Start Year]]="NA",ISBLANK(Mentors[[#This Row],[Career Start Year]])),"",2026 - Mentors[[#This Row],[Career Start Year]])</f>
        <v>19</v>
      </c>
      <c r="H15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157" t="s">
        <v>1116</v>
      </c>
      <c r="J157" t="s">
        <v>1117</v>
      </c>
      <c r="K157" t="s">
        <v>1118</v>
      </c>
      <c r="L157" s="17">
        <v>971569973021</v>
      </c>
      <c r="M157" s="19">
        <v>45658</v>
      </c>
      <c r="O157" t="s">
        <v>0</v>
      </c>
      <c r="Q157" t="s">
        <v>54</v>
      </c>
      <c r="R157" t="s">
        <v>54</v>
      </c>
      <c r="S157" t="s">
        <v>54</v>
      </c>
      <c r="T157" t="s">
        <v>499</v>
      </c>
      <c r="U157" t="s">
        <v>919</v>
      </c>
      <c r="V157" t="s">
        <v>58</v>
      </c>
      <c r="W157" s="4" t="s">
        <v>1119</v>
      </c>
      <c r="X157" t="s">
        <v>1120</v>
      </c>
      <c r="Z157" t="s">
        <v>1121</v>
      </c>
      <c r="AA157" t="s">
        <v>62</v>
      </c>
      <c r="AB157">
        <v>1</v>
      </c>
      <c r="AE157" t="s">
        <v>54</v>
      </c>
      <c r="AG157" t="s">
        <v>54</v>
      </c>
      <c r="AH157" t="s">
        <v>131</v>
      </c>
      <c r="AI157" t="s">
        <v>66</v>
      </c>
      <c r="AJ157" t="s">
        <v>54</v>
      </c>
      <c r="AK157" t="s">
        <v>1041</v>
      </c>
      <c r="AL157" t="s">
        <v>1080</v>
      </c>
      <c r="AN157" s="19">
        <f>IF(ISBLANK(Mentors[[#This Row],[Onboarded Date]]),"",Mentors[[#This Row],[Onboarded Date]]-WEEKDAY(Mentors[[#This Row],[Onboarded Date]],2)+1)</f>
        <v>45656</v>
      </c>
    </row>
    <row r="158" spans="1:40" ht="19.2" customHeight="1" x14ac:dyDescent="0.3">
      <c r="A158" t="s">
        <v>1122</v>
      </c>
      <c r="B158" t="s">
        <v>1123</v>
      </c>
      <c r="C158" t="s">
        <v>1124</v>
      </c>
      <c r="D158" t="s">
        <v>1125</v>
      </c>
      <c r="E158" t="s">
        <v>1126</v>
      </c>
      <c r="F158">
        <v>2002</v>
      </c>
      <c r="G158">
        <f>IF(OR(Mentors[[#This Row],[Career Start Year]]="NA",ISBLANK(Mentors[[#This Row],[Career Start Year]])),"",2026 - Mentors[[#This Row],[Career Start Year]])</f>
        <v>24</v>
      </c>
      <c r="H15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58" t="s">
        <v>51</v>
      </c>
      <c r="J158" t="s">
        <v>196</v>
      </c>
      <c r="K158" t="s">
        <v>1127</v>
      </c>
      <c r="L158" s="17" t="s">
        <v>1128</v>
      </c>
      <c r="M158" s="19">
        <v>46027</v>
      </c>
      <c r="O158" t="s">
        <v>0</v>
      </c>
      <c r="Q158" t="s">
        <v>54</v>
      </c>
      <c r="R158" t="s">
        <v>54</v>
      </c>
      <c r="S158" t="s">
        <v>54</v>
      </c>
      <c r="T158" t="s">
        <v>77</v>
      </c>
      <c r="U158" t="s">
        <v>65</v>
      </c>
      <c r="V158" t="s">
        <v>120</v>
      </c>
      <c r="W158" t="s">
        <v>168</v>
      </c>
      <c r="X158" t="s">
        <v>59</v>
      </c>
      <c r="Z158" t="s">
        <v>169</v>
      </c>
      <c r="AA158" t="s">
        <v>170</v>
      </c>
      <c r="AB158">
        <v>1</v>
      </c>
      <c r="AE158" t="s">
        <v>54</v>
      </c>
      <c r="AG158" t="s">
        <v>54</v>
      </c>
      <c r="AH158" t="s">
        <v>131</v>
      </c>
      <c r="AI158" t="s">
        <v>248</v>
      </c>
      <c r="AJ158" t="s">
        <v>54</v>
      </c>
      <c r="AK158" t="s">
        <v>1129</v>
      </c>
      <c r="AL158" t="s">
        <v>1129</v>
      </c>
      <c r="AN158" s="19">
        <f>IF(ISBLANK(Mentors[[#This Row],[Onboarded Date]]),"",Mentors[[#This Row],[Onboarded Date]]-WEEKDAY(Mentors[[#This Row],[Onboarded Date]],2)+1)</f>
        <v>46027</v>
      </c>
    </row>
    <row r="159" spans="1:40" ht="19.2" customHeight="1" x14ac:dyDescent="0.3">
      <c r="A159" t="s">
        <v>1130</v>
      </c>
      <c r="B159" t="s">
        <v>1131</v>
      </c>
      <c r="C159" t="s">
        <v>1132</v>
      </c>
      <c r="D159" t="s">
        <v>1133</v>
      </c>
      <c r="E159" t="s">
        <v>1134</v>
      </c>
      <c r="F159">
        <v>2016</v>
      </c>
      <c r="G159">
        <f>IF(OR(Mentors[[#This Row],[Career Start Year]]="NA",ISBLANK(Mentors[[#This Row],[Career Start Year]])),"",2026 - Mentors[[#This Row],[Career Start Year]])</f>
        <v>10</v>
      </c>
      <c r="H15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159" t="s">
        <v>51</v>
      </c>
      <c r="J159" t="s">
        <v>74</v>
      </c>
      <c r="K159" t="s">
        <v>1135</v>
      </c>
      <c r="L159" s="17">
        <v>9818684549</v>
      </c>
      <c r="M159" s="19">
        <v>45658</v>
      </c>
      <c r="O159" t="s">
        <v>0</v>
      </c>
      <c r="Q159" t="s">
        <v>54</v>
      </c>
      <c r="R159" t="s">
        <v>54</v>
      </c>
      <c r="S159" t="s">
        <v>63</v>
      </c>
      <c r="T159" t="s">
        <v>167</v>
      </c>
      <c r="U159" t="s">
        <v>100</v>
      </c>
      <c r="V159" t="s">
        <v>78</v>
      </c>
      <c r="W159" t="s">
        <v>79</v>
      </c>
      <c r="Z159" t="s">
        <v>61</v>
      </c>
      <c r="AA159" t="s">
        <v>62</v>
      </c>
      <c r="AB159">
        <v>1</v>
      </c>
      <c r="AD159" t="s">
        <v>54</v>
      </c>
      <c r="AE159" t="s">
        <v>54</v>
      </c>
      <c r="AF159" t="s">
        <v>64</v>
      </c>
      <c r="AG159" t="s">
        <v>54</v>
      </c>
      <c r="AH159" t="s">
        <v>65</v>
      </c>
      <c r="AI159" t="s">
        <v>248</v>
      </c>
      <c r="AJ159" t="s">
        <v>54</v>
      </c>
      <c r="AK159" t="s">
        <v>1136</v>
      </c>
      <c r="AL159" t="s">
        <v>1137</v>
      </c>
      <c r="AN159" s="19">
        <f>IF(ISBLANK(Mentors[[#This Row],[Onboarded Date]]),"",Mentors[[#This Row],[Onboarded Date]]-WEEKDAY(Mentors[[#This Row],[Onboarded Date]],2)+1)</f>
        <v>45656</v>
      </c>
    </row>
    <row r="160" spans="1:40" ht="19.2" customHeight="1" x14ac:dyDescent="0.3">
      <c r="A160" t="s">
        <v>1138</v>
      </c>
      <c r="B160" t="s">
        <v>94</v>
      </c>
      <c r="C160" t="s">
        <v>1139</v>
      </c>
      <c r="D160" t="s">
        <v>1140</v>
      </c>
      <c r="E160" s="7" t="s">
        <v>1141</v>
      </c>
      <c r="F160">
        <v>1998</v>
      </c>
      <c r="G160">
        <f>IF(OR(Mentors[[#This Row],[Career Start Year]]="NA",ISBLANK(Mentors[[#This Row],[Career Start Year]])),"",2026 - Mentors[[#This Row],[Career Start Year]])</f>
        <v>28</v>
      </c>
      <c r="H16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60" t="s">
        <v>51</v>
      </c>
      <c r="J160" t="s">
        <v>280</v>
      </c>
      <c r="K160" t="s">
        <v>1142</v>
      </c>
      <c r="L160" s="17">
        <v>9824488022</v>
      </c>
      <c r="M160" s="19">
        <v>45658</v>
      </c>
      <c r="N160" t="s">
        <v>2</v>
      </c>
      <c r="O160" t="s">
        <v>0</v>
      </c>
      <c r="Q160" t="s">
        <v>63</v>
      </c>
      <c r="R160" t="s">
        <v>63</v>
      </c>
      <c r="S160" t="s">
        <v>63</v>
      </c>
      <c r="T160" t="s">
        <v>1143</v>
      </c>
      <c r="U160" t="s">
        <v>100</v>
      </c>
      <c r="V160" t="s">
        <v>57</v>
      </c>
      <c r="W160" t="s">
        <v>65</v>
      </c>
      <c r="X160" t="s">
        <v>80</v>
      </c>
      <c r="Y160" t="s">
        <v>59</v>
      </c>
      <c r="Z160" t="s">
        <v>61</v>
      </c>
      <c r="AA160" t="s">
        <v>62</v>
      </c>
      <c r="AB160">
        <v>1</v>
      </c>
      <c r="AD160" t="s">
        <v>63</v>
      </c>
      <c r="AE160" t="s">
        <v>54</v>
      </c>
      <c r="AF160" t="s">
        <v>64</v>
      </c>
      <c r="AG160" t="s">
        <v>54</v>
      </c>
      <c r="AH160" t="s">
        <v>94</v>
      </c>
      <c r="AI160" t="s">
        <v>412</v>
      </c>
      <c r="AJ160" t="s">
        <v>54</v>
      </c>
      <c r="AK160" t="s">
        <v>1144</v>
      </c>
      <c r="AL160" t="s">
        <v>1145</v>
      </c>
      <c r="AN160" s="19">
        <f>IF(ISBLANK(Mentors[[#This Row],[Onboarded Date]]),"",Mentors[[#This Row],[Onboarded Date]]-WEEKDAY(Mentors[[#This Row],[Onboarded Date]],2)+1)</f>
        <v>45656</v>
      </c>
    </row>
    <row r="161" spans="1:40" ht="19.2" customHeight="1" x14ac:dyDescent="0.3">
      <c r="A161" t="s">
        <v>1146</v>
      </c>
      <c r="B161" t="s">
        <v>396</v>
      </c>
      <c r="C161" t="s">
        <v>1147</v>
      </c>
      <c r="D161" t="s">
        <v>1148</v>
      </c>
      <c r="E161" t="s">
        <v>1149</v>
      </c>
      <c r="F161">
        <v>2018</v>
      </c>
      <c r="G161">
        <f>IF(OR(Mentors[[#This Row],[Career Start Year]]="NA",ISBLANK(Mentors[[#This Row],[Career Start Year]])),"",2026 - Mentors[[#This Row],[Career Start Year]])</f>
        <v>8</v>
      </c>
      <c r="H16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161" t="s">
        <v>51</v>
      </c>
      <c r="J161" t="s">
        <v>118</v>
      </c>
      <c r="K161" t="s">
        <v>1150</v>
      </c>
      <c r="L161" s="17">
        <v>8919271024</v>
      </c>
      <c r="M161" s="19">
        <v>45658</v>
      </c>
      <c r="N161" t="s">
        <v>2</v>
      </c>
      <c r="O161" t="s">
        <v>0</v>
      </c>
      <c r="Q161" t="s">
        <v>54</v>
      </c>
      <c r="R161" t="s">
        <v>54</v>
      </c>
      <c r="S161" t="s">
        <v>63</v>
      </c>
      <c r="T161" t="s">
        <v>1151</v>
      </c>
      <c r="U161" t="s">
        <v>79</v>
      </c>
      <c r="V161" t="s">
        <v>382</v>
      </c>
      <c r="W161" t="s">
        <v>65</v>
      </c>
      <c r="Z161" t="s">
        <v>101</v>
      </c>
      <c r="AA161" t="s">
        <v>62</v>
      </c>
      <c r="AB161">
        <v>1</v>
      </c>
      <c r="AD161" t="s">
        <v>54</v>
      </c>
      <c r="AE161" t="s">
        <v>63</v>
      </c>
      <c r="AF161" t="s">
        <v>64</v>
      </c>
      <c r="AG161" t="s">
        <v>54</v>
      </c>
      <c r="AH161" t="s">
        <v>152</v>
      </c>
      <c r="AI161" t="s">
        <v>122</v>
      </c>
      <c r="AJ161" t="s">
        <v>54</v>
      </c>
      <c r="AK161" t="s">
        <v>1152</v>
      </c>
      <c r="AL161" t="s">
        <v>1153</v>
      </c>
      <c r="AN161" s="19">
        <f>IF(ISBLANK(Mentors[[#This Row],[Onboarded Date]]),"",Mentors[[#This Row],[Onboarded Date]]-WEEKDAY(Mentors[[#This Row],[Onboarded Date]],2)+1)</f>
        <v>45656</v>
      </c>
    </row>
    <row r="162" spans="1:40" ht="19.2" customHeight="1" x14ac:dyDescent="0.3">
      <c r="A162" t="s">
        <v>1154</v>
      </c>
      <c r="B162" t="s">
        <v>358</v>
      </c>
      <c r="C162" t="s">
        <v>1155</v>
      </c>
      <c r="D162" t="s">
        <v>1156</v>
      </c>
      <c r="E162" t="s">
        <v>1157</v>
      </c>
      <c r="F162">
        <v>2006</v>
      </c>
      <c r="G162">
        <f>IF(OR(Mentors[[#This Row],[Career Start Year]]="NA",ISBLANK(Mentors[[#This Row],[Career Start Year]])),"",2026 - Mentors[[#This Row],[Career Start Year]])</f>
        <v>20</v>
      </c>
      <c r="H16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162" t="s">
        <v>51</v>
      </c>
      <c r="J162" t="s">
        <v>52</v>
      </c>
      <c r="K162" s="7" t="s">
        <v>1158</v>
      </c>
      <c r="L162" s="17">
        <v>9881736483</v>
      </c>
      <c r="M162" s="19">
        <v>45658</v>
      </c>
      <c r="N162" t="s">
        <v>4</v>
      </c>
      <c r="O162" t="s">
        <v>0</v>
      </c>
      <c r="Q162" t="s">
        <v>54</v>
      </c>
      <c r="R162" t="s">
        <v>54</v>
      </c>
      <c r="S162" t="s">
        <v>63</v>
      </c>
      <c r="T162" t="s">
        <v>499</v>
      </c>
      <c r="U162" t="s">
        <v>77</v>
      </c>
      <c r="V162" t="s">
        <v>1159</v>
      </c>
      <c r="W162" t="s">
        <v>65</v>
      </c>
      <c r="X162" t="s">
        <v>80</v>
      </c>
      <c r="Y162" t="s">
        <v>60</v>
      </c>
      <c r="Z162" t="s">
        <v>61</v>
      </c>
      <c r="AA162" t="s">
        <v>62</v>
      </c>
      <c r="AB162">
        <v>1</v>
      </c>
      <c r="AD162" t="s">
        <v>63</v>
      </c>
      <c r="AE162" t="s">
        <v>63</v>
      </c>
      <c r="AG162" t="s">
        <v>54</v>
      </c>
      <c r="AH162" t="s">
        <v>131</v>
      </c>
      <c r="AI162" t="s">
        <v>77</v>
      </c>
      <c r="AJ162" t="s">
        <v>54</v>
      </c>
      <c r="AK162" t="s">
        <v>1160</v>
      </c>
      <c r="AL162" t="s">
        <v>1161</v>
      </c>
      <c r="AN162" s="19">
        <f>IF(ISBLANK(Mentors[[#This Row],[Onboarded Date]]),"",Mentors[[#This Row],[Onboarded Date]]-WEEKDAY(Mentors[[#This Row],[Onboarded Date]],2)+1)</f>
        <v>45656</v>
      </c>
    </row>
    <row r="163" spans="1:40" ht="19.2" customHeight="1" x14ac:dyDescent="0.3">
      <c r="A163" t="s">
        <v>1162</v>
      </c>
      <c r="B163" t="s">
        <v>1163</v>
      </c>
      <c r="C163" t="s">
        <v>1164</v>
      </c>
      <c r="D163" t="s">
        <v>1165</v>
      </c>
      <c r="E163" t="s">
        <v>1166</v>
      </c>
      <c r="F163">
        <v>2014</v>
      </c>
      <c r="G163">
        <f>IF(OR(Mentors[[#This Row],[Career Start Year]]="NA",ISBLANK(Mentors[[#This Row],[Career Start Year]])),"",2026 - Mentors[[#This Row],[Career Start Year]])</f>
        <v>12</v>
      </c>
      <c r="H16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63" t="s">
        <v>51</v>
      </c>
      <c r="J163" t="s">
        <v>297</v>
      </c>
      <c r="K163" t="s">
        <v>1167</v>
      </c>
      <c r="L163" s="17">
        <v>9971232764</v>
      </c>
      <c r="M163" s="19">
        <v>45658</v>
      </c>
      <c r="N163" t="s">
        <v>4</v>
      </c>
      <c r="O163" t="s">
        <v>0</v>
      </c>
      <c r="Q163" t="s">
        <v>63</v>
      </c>
      <c r="R163" t="s">
        <v>63</v>
      </c>
      <c r="S163" t="s">
        <v>63</v>
      </c>
      <c r="T163" t="s">
        <v>99</v>
      </c>
      <c r="U163" t="s">
        <v>65</v>
      </c>
      <c r="V163" t="s">
        <v>188</v>
      </c>
      <c r="W163" t="s">
        <v>65</v>
      </c>
      <c r="Z163" t="s">
        <v>61</v>
      </c>
      <c r="AA163" t="s">
        <v>62</v>
      </c>
      <c r="AB163">
        <v>1</v>
      </c>
      <c r="AD163" t="s">
        <v>54</v>
      </c>
      <c r="AE163" t="s">
        <v>63</v>
      </c>
      <c r="AG163" t="s">
        <v>54</v>
      </c>
      <c r="AH163" t="s">
        <v>152</v>
      </c>
      <c r="AI163" t="s">
        <v>1168</v>
      </c>
      <c r="AJ163" t="s">
        <v>63</v>
      </c>
      <c r="AK163" t="s">
        <v>1169</v>
      </c>
      <c r="AL163" t="s">
        <v>1170</v>
      </c>
      <c r="AN163" s="19">
        <f>IF(ISBLANK(Mentors[[#This Row],[Onboarded Date]]),"",Mentors[[#This Row],[Onboarded Date]]-WEEKDAY(Mentors[[#This Row],[Onboarded Date]],2)+1)</f>
        <v>45656</v>
      </c>
    </row>
    <row r="164" spans="1:40" ht="19.2" customHeight="1" x14ac:dyDescent="0.3">
      <c r="A164" t="s">
        <v>1171</v>
      </c>
      <c r="B164" t="s">
        <v>358</v>
      </c>
      <c r="C164" t="s">
        <v>1172</v>
      </c>
      <c r="D164" t="s">
        <v>1173</v>
      </c>
      <c r="E164" t="s">
        <v>1174</v>
      </c>
      <c r="F164">
        <v>1994</v>
      </c>
      <c r="G164">
        <f>IF(OR(Mentors[[#This Row],[Career Start Year]]="NA",ISBLANK(Mentors[[#This Row],[Career Start Year]])),"",2026 - Mentors[[#This Row],[Career Start Year]])</f>
        <v>32</v>
      </c>
      <c r="H16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64" t="s">
        <v>51</v>
      </c>
      <c r="J164" t="s">
        <v>118</v>
      </c>
      <c r="K164" t="s">
        <v>1175</v>
      </c>
      <c r="L164" s="17" t="s">
        <v>1176</v>
      </c>
      <c r="M164" s="19">
        <v>45658</v>
      </c>
      <c r="O164" t="s">
        <v>0</v>
      </c>
      <c r="Q164" t="s">
        <v>54</v>
      </c>
      <c r="R164" t="s">
        <v>54</v>
      </c>
      <c r="S164" t="s">
        <v>54</v>
      </c>
      <c r="T164" t="s">
        <v>77</v>
      </c>
      <c r="U164" t="s">
        <v>100</v>
      </c>
      <c r="V164" t="s">
        <v>120</v>
      </c>
      <c r="W164" t="s">
        <v>168</v>
      </c>
      <c r="X164" t="s">
        <v>80</v>
      </c>
      <c r="Z164" t="s">
        <v>61</v>
      </c>
      <c r="AA164" t="s">
        <v>62</v>
      </c>
      <c r="AB164">
        <v>1</v>
      </c>
      <c r="AD164" t="s">
        <v>63</v>
      </c>
      <c r="AE164" t="s">
        <v>54</v>
      </c>
      <c r="AG164" t="s">
        <v>54</v>
      </c>
      <c r="AH164" t="s">
        <v>131</v>
      </c>
      <c r="AI164" t="s">
        <v>1177</v>
      </c>
      <c r="AJ164" t="s">
        <v>54</v>
      </c>
      <c r="AK164" t="s">
        <v>1178</v>
      </c>
      <c r="AL164" t="s">
        <v>1179</v>
      </c>
      <c r="AN164" s="19">
        <f>IF(ISBLANK(Mentors[[#This Row],[Onboarded Date]]),"",Mentors[[#This Row],[Onboarded Date]]-WEEKDAY(Mentors[[#This Row],[Onboarded Date]],2)+1)</f>
        <v>45656</v>
      </c>
    </row>
    <row r="165" spans="1:40" ht="19.2" customHeight="1" x14ac:dyDescent="0.3">
      <c r="A165" t="s">
        <v>1180</v>
      </c>
      <c r="B165" t="s">
        <v>1181</v>
      </c>
      <c r="C165" t="s">
        <v>1182</v>
      </c>
      <c r="D165" t="s">
        <v>1183</v>
      </c>
      <c r="E165" t="s">
        <v>1184</v>
      </c>
      <c r="F165">
        <v>2004</v>
      </c>
      <c r="G165">
        <f>IF(OR(Mentors[[#This Row],[Career Start Year]]="NA",ISBLANK(Mentors[[#This Row],[Career Start Year]])),"",2026 - Mentors[[#This Row],[Career Start Year]])</f>
        <v>22</v>
      </c>
      <c r="H16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65" t="s">
        <v>1185</v>
      </c>
      <c r="J165" t="s">
        <v>1186</v>
      </c>
      <c r="K165" t="s">
        <v>1187</v>
      </c>
      <c r="L165" s="17">
        <v>9871621133</v>
      </c>
      <c r="M165" s="19">
        <v>45658</v>
      </c>
      <c r="N165" t="s">
        <v>6</v>
      </c>
      <c r="O165" t="s">
        <v>0</v>
      </c>
      <c r="Q165" t="s">
        <v>63</v>
      </c>
      <c r="R165" t="s">
        <v>63</v>
      </c>
      <c r="S165" t="s">
        <v>63</v>
      </c>
      <c r="T165" s="11" t="s">
        <v>756</v>
      </c>
      <c r="U165" t="s">
        <v>65</v>
      </c>
      <c r="V165" s="11" t="s">
        <v>644</v>
      </c>
      <c r="W165" t="s">
        <v>79</v>
      </c>
      <c r="Z165" t="s">
        <v>61</v>
      </c>
      <c r="AA165" t="s">
        <v>62</v>
      </c>
      <c r="AB165">
        <v>1</v>
      </c>
      <c r="AD165" t="s">
        <v>63</v>
      </c>
      <c r="AE165" t="s">
        <v>63</v>
      </c>
      <c r="AF165" t="s">
        <v>1188</v>
      </c>
      <c r="AG165" t="s">
        <v>54</v>
      </c>
      <c r="AH165" t="s">
        <v>152</v>
      </c>
      <c r="AI165" t="s">
        <v>1189</v>
      </c>
      <c r="AJ165" t="s">
        <v>54</v>
      </c>
      <c r="AK165" t="s">
        <v>1190</v>
      </c>
      <c r="AL165" t="s">
        <v>1191</v>
      </c>
      <c r="AN165" s="19">
        <f>IF(ISBLANK(Mentors[[#This Row],[Onboarded Date]]),"",Mentors[[#This Row],[Onboarded Date]]-WEEKDAY(Mentors[[#This Row],[Onboarded Date]],2)+1)</f>
        <v>45656</v>
      </c>
    </row>
    <row r="166" spans="1:40" ht="19.2" customHeight="1" x14ac:dyDescent="0.3">
      <c r="A166" t="s">
        <v>1192</v>
      </c>
      <c r="B166" t="s">
        <v>1193</v>
      </c>
      <c r="C166" t="s">
        <v>1194</v>
      </c>
      <c r="D166" t="s">
        <v>1195</v>
      </c>
      <c r="E166" t="s">
        <v>1196</v>
      </c>
      <c r="F166">
        <v>2014</v>
      </c>
      <c r="G166">
        <f>IF(OR(Mentors[[#This Row],[Career Start Year]]="NA",ISBLANK(Mentors[[#This Row],[Career Start Year]])),"",2026 - Mentors[[#This Row],[Career Start Year]])</f>
        <v>12</v>
      </c>
      <c r="H16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66" t="s">
        <v>51</v>
      </c>
      <c r="J166" t="s">
        <v>196</v>
      </c>
      <c r="K166" t="s">
        <v>1197</v>
      </c>
      <c r="L166" s="17">
        <v>8828010247</v>
      </c>
      <c r="M166" s="19">
        <v>45658</v>
      </c>
      <c r="N166" t="s">
        <v>4</v>
      </c>
      <c r="O166" t="s">
        <v>0</v>
      </c>
      <c r="Q166" t="s">
        <v>54</v>
      </c>
      <c r="R166" t="s">
        <v>54</v>
      </c>
      <c r="S166" t="s">
        <v>54</v>
      </c>
      <c r="T166" t="s">
        <v>77</v>
      </c>
      <c r="U166" t="s">
        <v>100</v>
      </c>
      <c r="V166" t="s">
        <v>613</v>
      </c>
      <c r="W166" t="s">
        <v>120</v>
      </c>
      <c r="X166" t="s">
        <v>59</v>
      </c>
      <c r="Z166" t="s">
        <v>61</v>
      </c>
      <c r="AA166" t="s">
        <v>62</v>
      </c>
      <c r="AB166">
        <v>1</v>
      </c>
      <c r="AD166" t="s">
        <v>54</v>
      </c>
      <c r="AE166" t="s">
        <v>54</v>
      </c>
      <c r="AF166" t="s">
        <v>64</v>
      </c>
      <c r="AG166" t="s">
        <v>54</v>
      </c>
      <c r="AH166" t="s">
        <v>215</v>
      </c>
      <c r="AI166" t="s">
        <v>412</v>
      </c>
      <c r="AJ166" t="s">
        <v>54</v>
      </c>
      <c r="AK166" t="s">
        <v>1198</v>
      </c>
      <c r="AL166" t="s">
        <v>1199</v>
      </c>
      <c r="AN166" s="19">
        <f>IF(ISBLANK(Mentors[[#This Row],[Onboarded Date]]),"",Mentors[[#This Row],[Onboarded Date]]-WEEKDAY(Mentors[[#This Row],[Onboarded Date]],2)+1)</f>
        <v>45656</v>
      </c>
    </row>
    <row r="167" spans="1:40" ht="19.2" customHeight="1" x14ac:dyDescent="0.3">
      <c r="A167" t="s">
        <v>1200</v>
      </c>
      <c r="B167" t="s">
        <v>1201</v>
      </c>
      <c r="C167" t="s">
        <v>1202</v>
      </c>
      <c r="D167" t="s">
        <v>1203</v>
      </c>
      <c r="E167" t="s">
        <v>1204</v>
      </c>
      <c r="F167">
        <v>2001</v>
      </c>
      <c r="G167">
        <f>IF(OR(Mentors[[#This Row],[Career Start Year]]="NA",ISBLANK(Mentors[[#This Row],[Career Start Year]])),"",2026 - Mentors[[#This Row],[Career Start Year]])</f>
        <v>25</v>
      </c>
      <c r="H16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67" t="s">
        <v>51</v>
      </c>
      <c r="J167" t="s">
        <v>140</v>
      </c>
      <c r="K167" t="s">
        <v>1205</v>
      </c>
      <c r="L167" s="17">
        <v>9350979797</v>
      </c>
      <c r="M167" s="19">
        <v>45658</v>
      </c>
      <c r="N167" t="s">
        <v>4</v>
      </c>
      <c r="O167" t="s">
        <v>0</v>
      </c>
      <c r="Q167" t="s">
        <v>54</v>
      </c>
      <c r="R167" t="s">
        <v>54</v>
      </c>
      <c r="S167" t="s">
        <v>54</v>
      </c>
      <c r="T167" t="s">
        <v>56</v>
      </c>
      <c r="U167" t="s">
        <v>100</v>
      </c>
      <c r="V167" t="s">
        <v>613</v>
      </c>
      <c r="W167" t="s">
        <v>65</v>
      </c>
      <c r="X167" t="s">
        <v>59</v>
      </c>
      <c r="Z167" t="s">
        <v>61</v>
      </c>
      <c r="AA167" t="s">
        <v>62</v>
      </c>
      <c r="AB167">
        <v>1</v>
      </c>
      <c r="AD167" t="s">
        <v>54</v>
      </c>
      <c r="AE167" t="s">
        <v>54</v>
      </c>
      <c r="AF167" t="s">
        <v>64</v>
      </c>
      <c r="AG167" t="s">
        <v>54</v>
      </c>
      <c r="AH167" t="s">
        <v>131</v>
      </c>
      <c r="AI167" t="s">
        <v>77</v>
      </c>
      <c r="AJ167" t="s">
        <v>54</v>
      </c>
      <c r="AK167" t="s">
        <v>1206</v>
      </c>
      <c r="AL167" t="s">
        <v>1207</v>
      </c>
      <c r="AN167" s="19">
        <f>IF(ISBLANK(Mentors[[#This Row],[Onboarded Date]]),"",Mentors[[#This Row],[Onboarded Date]]-WEEKDAY(Mentors[[#This Row],[Onboarded Date]],2)+1)</f>
        <v>45656</v>
      </c>
    </row>
    <row r="168" spans="1:40" ht="19.2" customHeight="1" x14ac:dyDescent="0.3">
      <c r="A168" t="s">
        <v>1208</v>
      </c>
      <c r="B168" t="s">
        <v>1209</v>
      </c>
      <c r="C168" t="s">
        <v>1210</v>
      </c>
      <c r="D168" s="9" t="s">
        <v>1211</v>
      </c>
      <c r="E168" t="s">
        <v>1212</v>
      </c>
      <c r="F168">
        <v>2016</v>
      </c>
      <c r="G168">
        <f>IF(OR(Mentors[[#This Row],[Career Start Year]]="NA",ISBLANK(Mentors[[#This Row],[Career Start Year]])),"",2026 - Mentors[[#This Row],[Career Start Year]])</f>
        <v>10</v>
      </c>
      <c r="H16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168" t="s">
        <v>51</v>
      </c>
      <c r="J168" t="s">
        <v>74</v>
      </c>
      <c r="K168" t="s">
        <v>1213</v>
      </c>
      <c r="L168" s="17">
        <v>8688747334</v>
      </c>
      <c r="M168" s="19">
        <v>45658</v>
      </c>
      <c r="N168" t="s">
        <v>6</v>
      </c>
      <c r="O168" t="s">
        <v>0</v>
      </c>
      <c r="Q168" t="s">
        <v>54</v>
      </c>
      <c r="R168" t="s">
        <v>63</v>
      </c>
      <c r="S168" t="s">
        <v>63</v>
      </c>
      <c r="T168" s="11" t="s">
        <v>247</v>
      </c>
      <c r="U168" t="s">
        <v>65</v>
      </c>
      <c r="V168" s="11" t="s">
        <v>306</v>
      </c>
      <c r="W168" t="s">
        <v>65</v>
      </c>
      <c r="Z168" t="s">
        <v>61</v>
      </c>
      <c r="AA168" t="s">
        <v>62</v>
      </c>
      <c r="AB168">
        <v>1</v>
      </c>
      <c r="AD168" t="s">
        <v>54</v>
      </c>
      <c r="AE168" t="s">
        <v>54</v>
      </c>
      <c r="AF168" t="s">
        <v>64</v>
      </c>
      <c r="AG168" t="s">
        <v>54</v>
      </c>
      <c r="AH168" t="s">
        <v>152</v>
      </c>
      <c r="AI168" t="s">
        <v>248</v>
      </c>
      <c r="AJ168" t="s">
        <v>54</v>
      </c>
      <c r="AK168" t="s">
        <v>1214</v>
      </c>
      <c r="AL168" t="s">
        <v>1215</v>
      </c>
      <c r="AN168" s="19">
        <f>IF(ISBLANK(Mentors[[#This Row],[Onboarded Date]]),"",Mentors[[#This Row],[Onboarded Date]]-WEEKDAY(Mentors[[#This Row],[Onboarded Date]],2)+1)</f>
        <v>45656</v>
      </c>
    </row>
    <row r="169" spans="1:40" ht="19.2" customHeight="1" x14ac:dyDescent="0.3">
      <c r="A169" t="s">
        <v>1216</v>
      </c>
      <c r="B169" t="s">
        <v>152</v>
      </c>
      <c r="C169" t="s">
        <v>1217</v>
      </c>
      <c r="D169" t="s">
        <v>1218</v>
      </c>
      <c r="E169" t="s">
        <v>1219</v>
      </c>
      <c r="F169">
        <v>1998</v>
      </c>
      <c r="G169">
        <f>IF(OR(Mentors[[#This Row],[Career Start Year]]="NA",ISBLANK(Mentors[[#This Row],[Career Start Year]])),"",2026 - Mentors[[#This Row],[Career Start Year]])</f>
        <v>28</v>
      </c>
      <c r="H16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69" t="s">
        <v>51</v>
      </c>
      <c r="J169" t="s">
        <v>52</v>
      </c>
      <c r="K169" t="s">
        <v>1220</v>
      </c>
      <c r="L169" s="17">
        <v>9373103711</v>
      </c>
      <c r="M169" s="19">
        <v>45658</v>
      </c>
      <c r="N169" t="s">
        <v>4</v>
      </c>
      <c r="O169" t="s">
        <v>0</v>
      </c>
      <c r="Q169" t="s">
        <v>54</v>
      </c>
      <c r="R169" t="s">
        <v>63</v>
      </c>
      <c r="S169" t="s">
        <v>63</v>
      </c>
      <c r="T169" t="s">
        <v>265</v>
      </c>
      <c r="U169" t="s">
        <v>100</v>
      </c>
      <c r="V169" t="s">
        <v>1221</v>
      </c>
      <c r="W169" t="s">
        <v>65</v>
      </c>
      <c r="X169" t="s">
        <v>59</v>
      </c>
      <c r="Z169" t="s">
        <v>61</v>
      </c>
      <c r="AA169" t="s">
        <v>62</v>
      </c>
      <c r="AB169">
        <v>1</v>
      </c>
      <c r="AD169" t="s">
        <v>63</v>
      </c>
      <c r="AE169" t="s">
        <v>63</v>
      </c>
      <c r="AF169" t="s">
        <v>1188</v>
      </c>
      <c r="AG169" t="s">
        <v>54</v>
      </c>
      <c r="AH169" t="s">
        <v>152</v>
      </c>
      <c r="AI169" t="s">
        <v>122</v>
      </c>
      <c r="AJ169" t="s">
        <v>54</v>
      </c>
      <c r="AK169" t="s">
        <v>1222</v>
      </c>
      <c r="AL169" t="s">
        <v>1223</v>
      </c>
      <c r="AN169" s="19">
        <f>IF(ISBLANK(Mentors[[#This Row],[Onboarded Date]]),"",Mentors[[#This Row],[Onboarded Date]]-WEEKDAY(Mentors[[#This Row],[Onboarded Date]],2)+1)</f>
        <v>45656</v>
      </c>
    </row>
    <row r="170" spans="1:40" ht="19.2" customHeight="1" x14ac:dyDescent="0.3">
      <c r="A170" t="s">
        <v>1224</v>
      </c>
      <c r="B170" t="s">
        <v>1225</v>
      </c>
      <c r="C170" t="s">
        <v>115</v>
      </c>
      <c r="D170" t="s">
        <v>1226</v>
      </c>
      <c r="E170" t="s">
        <v>1227</v>
      </c>
      <c r="F170">
        <v>1983</v>
      </c>
      <c r="G170">
        <f>IF(OR(Mentors[[#This Row],[Career Start Year]]="NA",ISBLANK(Mentors[[#This Row],[Career Start Year]])),"",2026 - Mentors[[#This Row],[Career Start Year]])</f>
        <v>43</v>
      </c>
      <c r="H17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70" t="s">
        <v>51</v>
      </c>
      <c r="J170" t="s">
        <v>196</v>
      </c>
      <c r="K170" t="s">
        <v>1228</v>
      </c>
      <c r="L170" s="17">
        <v>9880203450</v>
      </c>
      <c r="M170" s="19">
        <v>45658</v>
      </c>
      <c r="O170" s="5" t="s">
        <v>0</v>
      </c>
      <c r="Q170" t="s">
        <v>54</v>
      </c>
      <c r="R170" t="s">
        <v>54</v>
      </c>
      <c r="S170" t="s">
        <v>54</v>
      </c>
      <c r="T170" t="s">
        <v>77</v>
      </c>
      <c r="U170" t="s">
        <v>445</v>
      </c>
      <c r="V170" t="s">
        <v>78</v>
      </c>
      <c r="W170" t="s">
        <v>79</v>
      </c>
      <c r="X170" t="s">
        <v>59</v>
      </c>
      <c r="Z170" t="s">
        <v>61</v>
      </c>
      <c r="AA170" t="s">
        <v>62</v>
      </c>
      <c r="AB170" s="20">
        <v>4</v>
      </c>
      <c r="AC170" s="9" t="s">
        <v>206</v>
      </c>
      <c r="AD170" t="s">
        <v>63</v>
      </c>
      <c r="AE170" t="s">
        <v>54</v>
      </c>
      <c r="AF170" t="s">
        <v>121</v>
      </c>
      <c r="AG170" t="s">
        <v>54</v>
      </c>
      <c r="AH170" t="s">
        <v>215</v>
      </c>
      <c r="AI170" t="s">
        <v>1064</v>
      </c>
      <c r="AJ170" t="s">
        <v>54</v>
      </c>
      <c r="AK170" t="s">
        <v>1229</v>
      </c>
      <c r="AL170" t="s">
        <v>1230</v>
      </c>
      <c r="AN170" s="19">
        <f>IF(ISBLANK(Mentors[[#This Row],[Onboarded Date]]),"",Mentors[[#This Row],[Onboarded Date]]-WEEKDAY(Mentors[[#This Row],[Onboarded Date]],2)+1)</f>
        <v>45656</v>
      </c>
    </row>
    <row r="171" spans="1:40" ht="19.2" customHeight="1" x14ac:dyDescent="0.3">
      <c r="A171" t="s">
        <v>1231</v>
      </c>
      <c r="B171" t="s">
        <v>234</v>
      </c>
      <c r="C171" t="s">
        <v>1232</v>
      </c>
      <c r="D171" t="s">
        <v>1233</v>
      </c>
      <c r="E171" t="s">
        <v>1234</v>
      </c>
      <c r="F171">
        <v>1987</v>
      </c>
      <c r="G171">
        <f>IF(OR(Mentors[[#This Row],[Career Start Year]]="NA",ISBLANK(Mentors[[#This Row],[Career Start Year]])),"",2026 - Mentors[[#This Row],[Career Start Year]])</f>
        <v>39</v>
      </c>
      <c r="H17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71" t="s">
        <v>51</v>
      </c>
      <c r="J171" t="s">
        <v>1235</v>
      </c>
      <c r="K171" t="s">
        <v>1236</v>
      </c>
      <c r="L171" s="17">
        <v>9960345553</v>
      </c>
      <c r="M171" s="19">
        <v>45658</v>
      </c>
      <c r="O171" s="5" t="s">
        <v>0</v>
      </c>
      <c r="Q171" t="s">
        <v>63</v>
      </c>
      <c r="R171" t="s">
        <v>63</v>
      </c>
      <c r="S171" t="s">
        <v>63</v>
      </c>
      <c r="T171" s="4" t="s">
        <v>756</v>
      </c>
      <c r="U171" t="s">
        <v>100</v>
      </c>
      <c r="V171" t="s">
        <v>57</v>
      </c>
      <c r="W171" t="s">
        <v>79</v>
      </c>
      <c r="X171" t="s">
        <v>59</v>
      </c>
      <c r="Z171" t="s">
        <v>81</v>
      </c>
      <c r="AA171" t="s">
        <v>62</v>
      </c>
      <c r="AB171">
        <v>1</v>
      </c>
      <c r="AD171" t="s">
        <v>63</v>
      </c>
      <c r="AE171" t="s">
        <v>63</v>
      </c>
      <c r="AF171" t="s">
        <v>63</v>
      </c>
      <c r="AG171" t="s">
        <v>54</v>
      </c>
      <c r="AH171" t="s">
        <v>152</v>
      </c>
      <c r="AI171" t="s">
        <v>412</v>
      </c>
      <c r="AJ171" t="s">
        <v>54</v>
      </c>
      <c r="AK171" t="s">
        <v>1237</v>
      </c>
      <c r="AL171" t="s">
        <v>1238</v>
      </c>
      <c r="AN171" s="19">
        <f>IF(ISBLANK(Mentors[[#This Row],[Onboarded Date]]),"",Mentors[[#This Row],[Onboarded Date]]-WEEKDAY(Mentors[[#This Row],[Onboarded Date]],2)+1)</f>
        <v>45656</v>
      </c>
    </row>
    <row r="172" spans="1:40" ht="19.2" customHeight="1" x14ac:dyDescent="0.3">
      <c r="A172" t="s">
        <v>1239</v>
      </c>
      <c r="B172" t="s">
        <v>152</v>
      </c>
      <c r="C172" t="s">
        <v>1240</v>
      </c>
      <c r="D172" t="s">
        <v>1241</v>
      </c>
      <c r="E172" t="s">
        <v>1242</v>
      </c>
      <c r="F172">
        <v>2006</v>
      </c>
      <c r="G172">
        <f>IF(OR(Mentors[[#This Row],[Career Start Year]]="NA",ISBLANK(Mentors[[#This Row],[Career Start Year]])),"",2026 - Mentors[[#This Row],[Career Start Year]])</f>
        <v>20</v>
      </c>
      <c r="H17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172" t="s">
        <v>51</v>
      </c>
      <c r="J172" t="s">
        <v>196</v>
      </c>
      <c r="K172" t="s">
        <v>1243</v>
      </c>
      <c r="L172" s="17">
        <v>9870015066</v>
      </c>
      <c r="M172" s="19">
        <v>45658</v>
      </c>
      <c r="O172" s="5" t="s">
        <v>0</v>
      </c>
      <c r="Q172" t="s">
        <v>63</v>
      </c>
      <c r="R172" t="s">
        <v>63</v>
      </c>
      <c r="S172" t="s">
        <v>63</v>
      </c>
      <c r="T172" t="s">
        <v>77</v>
      </c>
      <c r="U172" t="s">
        <v>100</v>
      </c>
      <c r="V172" t="s">
        <v>57</v>
      </c>
      <c r="W172" t="s">
        <v>79</v>
      </c>
      <c r="X172" t="s">
        <v>59</v>
      </c>
      <c r="Z172" t="s">
        <v>101</v>
      </c>
      <c r="AA172" t="s">
        <v>62</v>
      </c>
      <c r="AB172">
        <v>1</v>
      </c>
      <c r="AD172" t="s">
        <v>54</v>
      </c>
      <c r="AE172" t="s">
        <v>63</v>
      </c>
      <c r="AF172" t="s">
        <v>64</v>
      </c>
      <c r="AG172" t="s">
        <v>54</v>
      </c>
      <c r="AH172" t="s">
        <v>152</v>
      </c>
      <c r="AI172" t="s">
        <v>412</v>
      </c>
      <c r="AJ172" t="s">
        <v>54</v>
      </c>
      <c r="AK172" t="s">
        <v>1244</v>
      </c>
      <c r="AL172" t="s">
        <v>1245</v>
      </c>
      <c r="AN172" s="19">
        <f>IF(ISBLANK(Mentors[[#This Row],[Onboarded Date]]),"",Mentors[[#This Row],[Onboarded Date]]-WEEKDAY(Mentors[[#This Row],[Onboarded Date]],2)+1)</f>
        <v>45656</v>
      </c>
    </row>
    <row r="173" spans="1:40" ht="19.2" customHeight="1" x14ac:dyDescent="0.3">
      <c r="A173" t="s">
        <v>1246</v>
      </c>
      <c r="B173" t="s">
        <v>1247</v>
      </c>
      <c r="C173" t="s">
        <v>1248</v>
      </c>
      <c r="D173" t="s">
        <v>1249</v>
      </c>
      <c r="E173" t="s">
        <v>1250</v>
      </c>
      <c r="F173">
        <v>2005</v>
      </c>
      <c r="G173">
        <f>IF(OR(Mentors[[#This Row],[Career Start Year]]="NA",ISBLANK(Mentors[[#This Row],[Career Start Year]])),"",2026 - Mentors[[#This Row],[Career Start Year]])</f>
        <v>21</v>
      </c>
      <c r="H17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73" t="s">
        <v>51</v>
      </c>
      <c r="J173" t="s">
        <v>1001</v>
      </c>
      <c r="K173" t="s">
        <v>1251</v>
      </c>
      <c r="L173" s="17">
        <v>9051111012</v>
      </c>
      <c r="M173" s="19">
        <v>45658</v>
      </c>
      <c r="O173" s="5" t="s">
        <v>0</v>
      </c>
      <c r="Q173" t="s">
        <v>54</v>
      </c>
      <c r="R173" t="s">
        <v>54</v>
      </c>
      <c r="S173" t="s">
        <v>54</v>
      </c>
      <c r="T173" t="s">
        <v>187</v>
      </c>
      <c r="U173" t="s">
        <v>77</v>
      </c>
      <c r="V173" t="s">
        <v>78</v>
      </c>
      <c r="W173" t="s">
        <v>79</v>
      </c>
      <c r="Z173" t="s">
        <v>101</v>
      </c>
      <c r="AA173" t="s">
        <v>62</v>
      </c>
      <c r="AB173">
        <v>1</v>
      </c>
      <c r="AD173" t="s">
        <v>54</v>
      </c>
      <c r="AE173" t="s">
        <v>54</v>
      </c>
      <c r="AF173" t="s">
        <v>121</v>
      </c>
      <c r="AG173" t="s">
        <v>54</v>
      </c>
      <c r="AH173" t="s">
        <v>65</v>
      </c>
      <c r="AI173" t="s">
        <v>412</v>
      </c>
      <c r="AJ173" t="s">
        <v>54</v>
      </c>
      <c r="AK173" t="s">
        <v>1252</v>
      </c>
      <c r="AL173" t="s">
        <v>1253</v>
      </c>
      <c r="AN173" s="19">
        <f>IF(ISBLANK(Mentors[[#This Row],[Onboarded Date]]),"",Mentors[[#This Row],[Onboarded Date]]-WEEKDAY(Mentors[[#This Row],[Onboarded Date]],2)+1)</f>
        <v>45656</v>
      </c>
    </row>
    <row r="174" spans="1:40" ht="19.2" customHeight="1" x14ac:dyDescent="0.3">
      <c r="A174" t="s">
        <v>1254</v>
      </c>
      <c r="B174" t="s">
        <v>558</v>
      </c>
      <c r="C174" t="s">
        <v>1255</v>
      </c>
      <c r="D174" t="s">
        <v>1256</v>
      </c>
      <c r="E174" t="s">
        <v>1257</v>
      </c>
      <c r="F174">
        <v>2007</v>
      </c>
      <c r="G174">
        <f>IF(OR(Mentors[[#This Row],[Career Start Year]]="NA",ISBLANK(Mentors[[#This Row],[Career Start Year]])),"",2026 - Mentors[[#This Row],[Career Start Year]])</f>
        <v>19</v>
      </c>
      <c r="H17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174" t="s">
        <v>51</v>
      </c>
      <c r="J174" t="s">
        <v>1258</v>
      </c>
      <c r="K174" t="s">
        <v>1259</v>
      </c>
      <c r="L174" s="17">
        <v>9369283871</v>
      </c>
      <c r="M174" s="19">
        <v>45658</v>
      </c>
      <c r="O174" s="5" t="s">
        <v>0</v>
      </c>
      <c r="Q174" t="s">
        <v>63</v>
      </c>
      <c r="R174" t="s">
        <v>63</v>
      </c>
      <c r="S174" t="s">
        <v>63</v>
      </c>
      <c r="T174" t="s">
        <v>77</v>
      </c>
      <c r="U174" t="s">
        <v>187</v>
      </c>
      <c r="V174" t="s">
        <v>198</v>
      </c>
      <c r="W174" t="s">
        <v>79</v>
      </c>
      <c r="X174" t="s">
        <v>59</v>
      </c>
      <c r="Z174" t="s">
        <v>101</v>
      </c>
      <c r="AA174" t="s">
        <v>62</v>
      </c>
      <c r="AB174">
        <v>1</v>
      </c>
      <c r="AD174" t="s">
        <v>54</v>
      </c>
      <c r="AE174" t="s">
        <v>63</v>
      </c>
      <c r="AF174" t="s">
        <v>64</v>
      </c>
      <c r="AG174" t="s">
        <v>54</v>
      </c>
      <c r="AH174" t="s">
        <v>152</v>
      </c>
      <c r="AI174" t="s">
        <v>412</v>
      </c>
      <c r="AJ174" t="s">
        <v>54</v>
      </c>
      <c r="AK174" t="s">
        <v>1260</v>
      </c>
      <c r="AL174" t="s">
        <v>1261</v>
      </c>
      <c r="AN174" s="19">
        <f>IF(ISBLANK(Mentors[[#This Row],[Onboarded Date]]),"",Mentors[[#This Row],[Onboarded Date]]-WEEKDAY(Mentors[[#This Row],[Onboarded Date]],2)+1)</f>
        <v>45656</v>
      </c>
    </row>
    <row r="175" spans="1:40" ht="19.2" customHeight="1" x14ac:dyDescent="0.3">
      <c r="A175" t="s">
        <v>1262</v>
      </c>
      <c r="B175" t="s">
        <v>1263</v>
      </c>
      <c r="C175" t="s">
        <v>1264</v>
      </c>
      <c r="D175" t="s">
        <v>1265</v>
      </c>
      <c r="E175" t="s">
        <v>1266</v>
      </c>
      <c r="F175">
        <v>2012</v>
      </c>
      <c r="G175">
        <f>IF(OR(Mentors[[#This Row],[Career Start Year]]="NA",ISBLANK(Mentors[[#This Row],[Career Start Year]])),"",2026 - Mentors[[#This Row],[Career Start Year]])</f>
        <v>14</v>
      </c>
      <c r="H17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75" t="s">
        <v>51</v>
      </c>
      <c r="J175" t="s">
        <v>196</v>
      </c>
      <c r="K175" s="7" t="s">
        <v>1267</v>
      </c>
      <c r="L175" s="17">
        <v>9650335109</v>
      </c>
      <c r="M175" s="19">
        <v>45658</v>
      </c>
      <c r="O175" s="5" t="s">
        <v>0</v>
      </c>
      <c r="Q175" t="s">
        <v>63</v>
      </c>
      <c r="R175" t="s">
        <v>63</v>
      </c>
      <c r="S175" t="s">
        <v>63</v>
      </c>
      <c r="T175" s="4" t="s">
        <v>756</v>
      </c>
      <c r="U175" t="s">
        <v>445</v>
      </c>
      <c r="V175" t="s">
        <v>57</v>
      </c>
      <c r="W175" t="s">
        <v>1268</v>
      </c>
      <c r="X175" t="s">
        <v>59</v>
      </c>
      <c r="Z175" t="s">
        <v>81</v>
      </c>
      <c r="AA175" t="s">
        <v>62</v>
      </c>
      <c r="AB175">
        <v>1</v>
      </c>
      <c r="AD175" t="s">
        <v>54</v>
      </c>
      <c r="AE175" t="s">
        <v>54</v>
      </c>
      <c r="AF175" t="s">
        <v>64</v>
      </c>
      <c r="AG175" t="s">
        <v>54</v>
      </c>
      <c r="AH175" t="s">
        <v>131</v>
      </c>
      <c r="AI175" t="s">
        <v>412</v>
      </c>
      <c r="AJ175" t="s">
        <v>54</v>
      </c>
      <c r="AK175" t="s">
        <v>1269</v>
      </c>
      <c r="AL175" t="s">
        <v>1270</v>
      </c>
      <c r="AN175" s="19">
        <f>IF(ISBLANK(Mentors[[#This Row],[Onboarded Date]]),"",Mentors[[#This Row],[Onboarded Date]]-WEEKDAY(Mentors[[#This Row],[Onboarded Date]],2)+1)</f>
        <v>45656</v>
      </c>
    </row>
    <row r="176" spans="1:40" ht="19.2" customHeight="1" x14ac:dyDescent="0.3">
      <c r="A176" t="s">
        <v>1271</v>
      </c>
      <c r="B176" t="s">
        <v>1272</v>
      </c>
      <c r="C176" t="s">
        <v>1273</v>
      </c>
      <c r="D176" t="s">
        <v>1274</v>
      </c>
      <c r="E176" t="s">
        <v>1275</v>
      </c>
      <c r="F176">
        <v>2016</v>
      </c>
      <c r="G176">
        <f>IF(OR(Mentors[[#This Row],[Career Start Year]]="NA",ISBLANK(Mentors[[#This Row],[Career Start Year]])),"",2026 - Mentors[[#This Row],[Career Start Year]])</f>
        <v>10</v>
      </c>
      <c r="H17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176" t="s">
        <v>51</v>
      </c>
      <c r="J176" t="s">
        <v>52</v>
      </c>
      <c r="K176" t="s">
        <v>1276</v>
      </c>
      <c r="L176" s="17">
        <v>8605445039</v>
      </c>
      <c r="M176" s="19">
        <v>45658</v>
      </c>
      <c r="O176" s="5" t="s">
        <v>0</v>
      </c>
      <c r="Q176" t="s">
        <v>54</v>
      </c>
      <c r="R176" t="s">
        <v>63</v>
      </c>
      <c r="S176" t="s">
        <v>63</v>
      </c>
      <c r="T176" t="s">
        <v>499</v>
      </c>
      <c r="U176" t="s">
        <v>65</v>
      </c>
      <c r="V176" t="s">
        <v>57</v>
      </c>
      <c r="W176" t="s">
        <v>79</v>
      </c>
      <c r="X176" t="s">
        <v>80</v>
      </c>
      <c r="Y176" t="s">
        <v>59</v>
      </c>
      <c r="Z176" t="s">
        <v>101</v>
      </c>
      <c r="AA176" t="s">
        <v>62</v>
      </c>
      <c r="AB176">
        <v>1</v>
      </c>
      <c r="AD176" t="s">
        <v>54</v>
      </c>
      <c r="AE176" t="s">
        <v>54</v>
      </c>
      <c r="AF176" t="s">
        <v>121</v>
      </c>
      <c r="AG176" t="s">
        <v>54</v>
      </c>
      <c r="AH176" t="s">
        <v>65</v>
      </c>
      <c r="AI176" t="s">
        <v>122</v>
      </c>
      <c r="AJ176" t="s">
        <v>54</v>
      </c>
      <c r="AK176" t="s">
        <v>1277</v>
      </c>
      <c r="AL176" t="s">
        <v>1278</v>
      </c>
      <c r="AN176" s="19">
        <f>IF(ISBLANK(Mentors[[#This Row],[Onboarded Date]]),"",Mentors[[#This Row],[Onboarded Date]]-WEEKDAY(Mentors[[#This Row],[Onboarded Date]],2)+1)</f>
        <v>45656</v>
      </c>
    </row>
    <row r="177" spans="1:40" ht="19.2" customHeight="1" x14ac:dyDescent="0.3">
      <c r="A177" t="s">
        <v>1279</v>
      </c>
      <c r="B177" t="s">
        <v>1280</v>
      </c>
      <c r="C177" t="s">
        <v>115</v>
      </c>
      <c r="D177" t="s">
        <v>1281</v>
      </c>
      <c r="E177" t="s">
        <v>1282</v>
      </c>
      <c r="F177">
        <v>2013</v>
      </c>
      <c r="G177">
        <f>IF(OR(Mentors[[#This Row],[Career Start Year]]="NA",ISBLANK(Mentors[[#This Row],[Career Start Year]])),"",2026 - Mentors[[#This Row],[Career Start Year]])</f>
        <v>13</v>
      </c>
      <c r="H17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77" t="s">
        <v>51</v>
      </c>
      <c r="J177" t="s">
        <v>88</v>
      </c>
      <c r="K177" t="s">
        <v>1283</v>
      </c>
      <c r="L177" s="17">
        <v>9246150207</v>
      </c>
      <c r="M177" s="19">
        <v>45658</v>
      </c>
      <c r="O177" s="5" t="s">
        <v>0</v>
      </c>
      <c r="Q177" t="s">
        <v>54</v>
      </c>
      <c r="R177" t="s">
        <v>54</v>
      </c>
      <c r="S177" t="s">
        <v>54</v>
      </c>
      <c r="T177" t="s">
        <v>265</v>
      </c>
      <c r="U177" t="s">
        <v>166</v>
      </c>
      <c r="V177" t="s">
        <v>78</v>
      </c>
      <c r="W177" t="s">
        <v>65</v>
      </c>
      <c r="X177" t="s">
        <v>59</v>
      </c>
      <c r="Z177" t="s">
        <v>61</v>
      </c>
      <c r="AA177" t="s">
        <v>62</v>
      </c>
      <c r="AB177">
        <v>1</v>
      </c>
      <c r="AD177" t="s">
        <v>54</v>
      </c>
      <c r="AE177" t="s">
        <v>54</v>
      </c>
      <c r="AF177" t="s">
        <v>121</v>
      </c>
      <c r="AG177" t="s">
        <v>54</v>
      </c>
      <c r="AH177" t="s">
        <v>94</v>
      </c>
      <c r="AI177" t="s">
        <v>132</v>
      </c>
      <c r="AJ177" t="s">
        <v>54</v>
      </c>
      <c r="AK177" t="s">
        <v>1284</v>
      </c>
      <c r="AL177" t="s">
        <v>1285</v>
      </c>
      <c r="AN177" s="19">
        <f>IF(ISBLANK(Mentors[[#This Row],[Onboarded Date]]),"",Mentors[[#This Row],[Onboarded Date]]-WEEKDAY(Mentors[[#This Row],[Onboarded Date]],2)+1)</f>
        <v>45656</v>
      </c>
    </row>
    <row r="178" spans="1:40" ht="19.2" customHeight="1" x14ac:dyDescent="0.3">
      <c r="A178" t="s">
        <v>1286</v>
      </c>
      <c r="B178" t="s">
        <v>1287</v>
      </c>
      <c r="C178" t="s">
        <v>1288</v>
      </c>
      <c r="D178" t="s">
        <v>1289</v>
      </c>
      <c r="E178" t="s">
        <v>1290</v>
      </c>
      <c r="F178">
        <v>2012</v>
      </c>
      <c r="G178">
        <f>IF(OR(Mentors[[#This Row],[Career Start Year]]="NA",ISBLANK(Mentors[[#This Row],[Career Start Year]])),"",2026 - Mentors[[#This Row],[Career Start Year]])</f>
        <v>14</v>
      </c>
      <c r="H17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78" t="s">
        <v>51</v>
      </c>
      <c r="J178" t="s">
        <v>1001</v>
      </c>
      <c r="K178" t="s">
        <v>1291</v>
      </c>
      <c r="L178" s="17">
        <v>9650546587</v>
      </c>
      <c r="M178" s="19">
        <v>45658</v>
      </c>
      <c r="O178" s="5" t="s">
        <v>0</v>
      </c>
      <c r="Q178" t="s">
        <v>54</v>
      </c>
      <c r="R178" t="s">
        <v>63</v>
      </c>
      <c r="S178" t="s">
        <v>63</v>
      </c>
      <c r="T178" t="s">
        <v>77</v>
      </c>
      <c r="U178" t="s">
        <v>99</v>
      </c>
      <c r="V178" t="s">
        <v>481</v>
      </c>
      <c r="W178" t="s">
        <v>1268</v>
      </c>
      <c r="X178" t="s">
        <v>59</v>
      </c>
      <c r="Z178" t="s">
        <v>61</v>
      </c>
      <c r="AA178" t="s">
        <v>62</v>
      </c>
      <c r="AB178">
        <v>1</v>
      </c>
      <c r="AD178" t="s">
        <v>63</v>
      </c>
      <c r="AE178" t="s">
        <v>54</v>
      </c>
      <c r="AF178" t="s">
        <v>64</v>
      </c>
      <c r="AG178" t="s">
        <v>54</v>
      </c>
      <c r="AH178" t="s">
        <v>94</v>
      </c>
      <c r="AI178" t="s">
        <v>412</v>
      </c>
      <c r="AJ178" t="s">
        <v>54</v>
      </c>
      <c r="AK178" t="s">
        <v>1292</v>
      </c>
      <c r="AL178" t="s">
        <v>1293</v>
      </c>
      <c r="AN178" s="19">
        <f>IF(ISBLANK(Mentors[[#This Row],[Onboarded Date]]),"",Mentors[[#This Row],[Onboarded Date]]-WEEKDAY(Mentors[[#This Row],[Onboarded Date]],2)+1)</f>
        <v>45656</v>
      </c>
    </row>
    <row r="179" spans="1:40" ht="19.2" customHeight="1" x14ac:dyDescent="0.3">
      <c r="A179" t="s">
        <v>1294</v>
      </c>
      <c r="B179" t="s">
        <v>1295</v>
      </c>
      <c r="C179" t="s">
        <v>115</v>
      </c>
      <c r="D179" t="s">
        <v>1296</v>
      </c>
      <c r="E179" t="s">
        <v>1297</v>
      </c>
      <c r="F179">
        <v>2002</v>
      </c>
      <c r="G179">
        <f>IF(OR(Mentors[[#This Row],[Career Start Year]]="NA",ISBLANK(Mentors[[#This Row],[Career Start Year]])),"",2026 - Mentors[[#This Row],[Career Start Year]])</f>
        <v>24</v>
      </c>
      <c r="H17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79" t="s">
        <v>51</v>
      </c>
      <c r="J179" t="s">
        <v>52</v>
      </c>
      <c r="K179" t="s">
        <v>1298</v>
      </c>
      <c r="L179" s="17">
        <v>8484072490</v>
      </c>
      <c r="M179" s="19">
        <v>45658</v>
      </c>
      <c r="O179" s="5" t="s">
        <v>0</v>
      </c>
      <c r="Q179" t="s">
        <v>54</v>
      </c>
      <c r="R179" t="s">
        <v>54</v>
      </c>
      <c r="S179" t="s">
        <v>54</v>
      </c>
      <c r="T179" t="s">
        <v>110</v>
      </c>
      <c r="U179" t="s">
        <v>265</v>
      </c>
      <c r="V179" t="s">
        <v>78</v>
      </c>
      <c r="W179" t="s">
        <v>79</v>
      </c>
      <c r="X179" t="s">
        <v>59</v>
      </c>
      <c r="Z179" t="s">
        <v>61</v>
      </c>
      <c r="AA179" t="s">
        <v>62</v>
      </c>
      <c r="AB179">
        <v>1</v>
      </c>
      <c r="AD179" t="s">
        <v>63</v>
      </c>
      <c r="AE179" t="s">
        <v>54</v>
      </c>
      <c r="AF179" t="s">
        <v>121</v>
      </c>
      <c r="AG179" t="s">
        <v>54</v>
      </c>
      <c r="AH179" t="s">
        <v>65</v>
      </c>
      <c r="AI179" t="s">
        <v>122</v>
      </c>
      <c r="AJ179" t="s">
        <v>54</v>
      </c>
      <c r="AK179" t="s">
        <v>1299</v>
      </c>
      <c r="AL179" t="s">
        <v>1300</v>
      </c>
      <c r="AN179" s="19">
        <f>IF(ISBLANK(Mentors[[#This Row],[Onboarded Date]]),"",Mentors[[#This Row],[Onboarded Date]]-WEEKDAY(Mentors[[#This Row],[Onboarded Date]],2)+1)</f>
        <v>45656</v>
      </c>
    </row>
    <row r="180" spans="1:40" ht="19.2" customHeight="1" x14ac:dyDescent="0.3">
      <c r="A180" t="s">
        <v>1301</v>
      </c>
      <c r="B180" t="s">
        <v>1302</v>
      </c>
      <c r="C180" t="s">
        <v>85</v>
      </c>
      <c r="D180" t="s">
        <v>1303</v>
      </c>
      <c r="E180" t="s">
        <v>1304</v>
      </c>
      <c r="F180">
        <v>1990</v>
      </c>
      <c r="G180">
        <f>IF(OR(Mentors[[#This Row],[Career Start Year]]="NA",ISBLANK(Mentors[[#This Row],[Career Start Year]])),"",2026 - Mentors[[#This Row],[Career Start Year]])</f>
        <v>36</v>
      </c>
      <c r="H18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80" t="s">
        <v>51</v>
      </c>
      <c r="J180" t="s">
        <v>140</v>
      </c>
      <c r="K180" s="7" t="s">
        <v>1305</v>
      </c>
      <c r="L180" s="17">
        <v>9811755515</v>
      </c>
      <c r="M180" s="19">
        <v>45658</v>
      </c>
      <c r="N180" t="s">
        <v>6</v>
      </c>
      <c r="O180" t="s">
        <v>0</v>
      </c>
      <c r="Q180" t="s">
        <v>54</v>
      </c>
      <c r="R180" t="s">
        <v>63</v>
      </c>
      <c r="S180" t="s">
        <v>63</v>
      </c>
      <c r="T180" s="11" t="s">
        <v>756</v>
      </c>
      <c r="U180" t="s">
        <v>77</v>
      </c>
      <c r="V180" t="s">
        <v>57</v>
      </c>
      <c r="W180" t="s">
        <v>79</v>
      </c>
      <c r="X180" t="s">
        <v>59</v>
      </c>
      <c r="Y180" t="s">
        <v>60</v>
      </c>
      <c r="Z180" t="s">
        <v>81</v>
      </c>
      <c r="AA180" t="s">
        <v>62</v>
      </c>
      <c r="AB180">
        <v>1</v>
      </c>
      <c r="AD180" t="s">
        <v>54</v>
      </c>
      <c r="AE180" t="s">
        <v>63</v>
      </c>
      <c r="AG180" t="s">
        <v>54</v>
      </c>
      <c r="AH180" t="s">
        <v>215</v>
      </c>
      <c r="AI180" t="s">
        <v>1064</v>
      </c>
      <c r="AJ180" t="s">
        <v>54</v>
      </c>
      <c r="AK180" t="s">
        <v>1306</v>
      </c>
      <c r="AL180" t="s">
        <v>1307</v>
      </c>
      <c r="AN180" s="19">
        <f>IF(ISBLANK(Mentors[[#This Row],[Onboarded Date]]),"",Mentors[[#This Row],[Onboarded Date]]-WEEKDAY(Mentors[[#This Row],[Onboarded Date]],2)+1)</f>
        <v>45656</v>
      </c>
    </row>
    <row r="181" spans="1:40" ht="19.2" customHeight="1" x14ac:dyDescent="0.3">
      <c r="A181" t="s">
        <v>1308</v>
      </c>
      <c r="B181" t="s">
        <v>1309</v>
      </c>
      <c r="C181" t="s">
        <v>1310</v>
      </c>
      <c r="D181" t="s">
        <v>1311</v>
      </c>
      <c r="E181" s="7" t="s">
        <v>1312</v>
      </c>
      <c r="F181">
        <v>2003</v>
      </c>
      <c r="G181">
        <f>IF(OR(Mentors[[#This Row],[Career Start Year]]="NA",ISBLANK(Mentors[[#This Row],[Career Start Year]])),"",2026 - Mentors[[#This Row],[Career Start Year]])</f>
        <v>23</v>
      </c>
      <c r="H18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81" t="s">
        <v>51</v>
      </c>
      <c r="J181" t="s">
        <v>88</v>
      </c>
      <c r="K181" s="7" t="s">
        <v>1313</v>
      </c>
      <c r="L181" s="17">
        <v>9959354916</v>
      </c>
      <c r="M181" s="19">
        <v>45658</v>
      </c>
      <c r="O181" t="s">
        <v>0</v>
      </c>
      <c r="Q181" t="s">
        <v>54</v>
      </c>
      <c r="R181" t="s">
        <v>63</v>
      </c>
      <c r="S181" t="s">
        <v>54</v>
      </c>
      <c r="T181" t="s">
        <v>56</v>
      </c>
      <c r="U181" t="s">
        <v>100</v>
      </c>
      <c r="V181" t="s">
        <v>57</v>
      </c>
      <c r="W181" t="s">
        <v>79</v>
      </c>
      <c r="Z181" t="s">
        <v>169</v>
      </c>
      <c r="AA181" t="s">
        <v>170</v>
      </c>
      <c r="AB181">
        <v>1</v>
      </c>
      <c r="AD181" t="s">
        <v>63</v>
      </c>
      <c r="AE181" t="s">
        <v>54</v>
      </c>
      <c r="AF181" t="s">
        <v>64</v>
      </c>
      <c r="AG181" t="s">
        <v>54</v>
      </c>
      <c r="AH181" t="s">
        <v>65</v>
      </c>
      <c r="AI181" t="s">
        <v>132</v>
      </c>
      <c r="AJ181" t="s">
        <v>54</v>
      </c>
      <c r="AK181" t="s">
        <v>1314</v>
      </c>
      <c r="AL181" t="s">
        <v>1315</v>
      </c>
      <c r="AN181" s="19">
        <f>IF(ISBLANK(Mentors[[#This Row],[Onboarded Date]]),"",Mentors[[#This Row],[Onboarded Date]]-WEEKDAY(Mentors[[#This Row],[Onboarded Date]],2)+1)</f>
        <v>45656</v>
      </c>
    </row>
    <row r="182" spans="1:40" ht="19.2" customHeight="1" x14ac:dyDescent="0.3">
      <c r="A182" t="s">
        <v>1316</v>
      </c>
      <c r="B182" t="s">
        <v>1163</v>
      </c>
      <c r="C182" t="s">
        <v>1317</v>
      </c>
      <c r="D182" t="s">
        <v>1318</v>
      </c>
      <c r="E182" s="7" t="s">
        <v>1319</v>
      </c>
      <c r="F182">
        <v>2009</v>
      </c>
      <c r="G182">
        <f>IF(OR(Mentors[[#This Row],[Career Start Year]]="NA",ISBLANK(Mentors[[#This Row],[Career Start Year]])),"",2026 - Mentors[[#This Row],[Career Start Year]])</f>
        <v>17</v>
      </c>
      <c r="H18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182" t="s">
        <v>51</v>
      </c>
      <c r="J182" t="s">
        <v>196</v>
      </c>
      <c r="K182" s="10" t="s">
        <v>1320</v>
      </c>
      <c r="L182" s="17">
        <v>7760846066</v>
      </c>
      <c r="M182" s="19">
        <v>45658</v>
      </c>
      <c r="O182" t="s">
        <v>0</v>
      </c>
      <c r="Q182" t="s">
        <v>63</v>
      </c>
      <c r="R182" t="s">
        <v>63</v>
      </c>
      <c r="S182" t="s">
        <v>63</v>
      </c>
      <c r="T182" s="4" t="s">
        <v>756</v>
      </c>
      <c r="U182" t="s">
        <v>100</v>
      </c>
      <c r="V182" t="s">
        <v>198</v>
      </c>
      <c r="W182" t="s">
        <v>79</v>
      </c>
      <c r="X182" t="s">
        <v>59</v>
      </c>
      <c r="Y182" t="s">
        <v>60</v>
      </c>
      <c r="Z182" t="s">
        <v>169</v>
      </c>
      <c r="AA182" t="s">
        <v>170</v>
      </c>
      <c r="AB182">
        <v>1</v>
      </c>
      <c r="AD182" t="s">
        <v>54</v>
      </c>
      <c r="AE182" t="s">
        <v>54</v>
      </c>
      <c r="AF182" t="s">
        <v>64</v>
      </c>
      <c r="AG182" t="s">
        <v>54</v>
      </c>
      <c r="AH182" t="s">
        <v>152</v>
      </c>
      <c r="AI182" t="s">
        <v>412</v>
      </c>
      <c r="AJ182" t="s">
        <v>54</v>
      </c>
      <c r="AK182" t="s">
        <v>1321</v>
      </c>
      <c r="AL182" t="s">
        <v>1322</v>
      </c>
      <c r="AN182" s="19">
        <f>IF(ISBLANK(Mentors[[#This Row],[Onboarded Date]]),"",Mentors[[#This Row],[Onboarded Date]]-WEEKDAY(Mentors[[#This Row],[Onboarded Date]],2)+1)</f>
        <v>45656</v>
      </c>
    </row>
    <row r="183" spans="1:40" ht="19.2" customHeight="1" x14ac:dyDescent="0.3">
      <c r="A183" t="s">
        <v>1323</v>
      </c>
      <c r="B183" t="s">
        <v>358</v>
      </c>
      <c r="C183" t="s">
        <v>1324</v>
      </c>
      <c r="D183" t="s">
        <v>1325</v>
      </c>
      <c r="E183" s="7" t="s">
        <v>1326</v>
      </c>
      <c r="F183">
        <v>2000</v>
      </c>
      <c r="G183">
        <f>IF(OR(Mentors[[#This Row],[Career Start Year]]="NA",ISBLANK(Mentors[[#This Row],[Career Start Year]])),"",2026 - Mentors[[#This Row],[Career Start Year]])</f>
        <v>26</v>
      </c>
      <c r="H18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83" t="s">
        <v>51</v>
      </c>
      <c r="J183" t="s">
        <v>196</v>
      </c>
      <c r="K183" t="s">
        <v>1327</v>
      </c>
      <c r="L183" s="17">
        <v>6364465817</v>
      </c>
      <c r="M183" s="19">
        <v>45658</v>
      </c>
      <c r="N183" t="s">
        <v>6</v>
      </c>
      <c r="O183" t="s">
        <v>0</v>
      </c>
      <c r="Q183" t="s">
        <v>54</v>
      </c>
      <c r="R183" t="s">
        <v>54</v>
      </c>
      <c r="S183" t="s">
        <v>54</v>
      </c>
      <c r="T183" s="11" t="s">
        <v>756</v>
      </c>
      <c r="U183" t="s">
        <v>77</v>
      </c>
      <c r="V183" t="s">
        <v>57</v>
      </c>
      <c r="W183" t="s">
        <v>79</v>
      </c>
      <c r="Z183" t="s">
        <v>81</v>
      </c>
      <c r="AA183" t="s">
        <v>62</v>
      </c>
      <c r="AB183">
        <v>1</v>
      </c>
      <c r="AD183" t="s">
        <v>54</v>
      </c>
      <c r="AE183" t="s">
        <v>54</v>
      </c>
      <c r="AF183" t="s">
        <v>64</v>
      </c>
      <c r="AG183" t="s">
        <v>54</v>
      </c>
      <c r="AH183" t="s">
        <v>131</v>
      </c>
      <c r="AI183" t="s">
        <v>1064</v>
      </c>
      <c r="AJ183" t="s">
        <v>54</v>
      </c>
      <c r="AK183" t="s">
        <v>1328</v>
      </c>
      <c r="AL183" t="s">
        <v>1329</v>
      </c>
      <c r="AN183" s="19">
        <f>IF(ISBLANK(Mentors[[#This Row],[Onboarded Date]]),"",Mentors[[#This Row],[Onboarded Date]]-WEEKDAY(Mentors[[#This Row],[Onboarded Date]],2)+1)</f>
        <v>45656</v>
      </c>
    </row>
    <row r="184" spans="1:40" ht="19.2" customHeight="1" x14ac:dyDescent="0.3">
      <c r="A184" t="s">
        <v>1330</v>
      </c>
      <c r="B184" t="s">
        <v>152</v>
      </c>
      <c r="C184" t="s">
        <v>1331</v>
      </c>
      <c r="D184" t="s">
        <v>1332</v>
      </c>
      <c r="E184" t="s">
        <v>1333</v>
      </c>
      <c r="F184">
        <v>2009</v>
      </c>
      <c r="G184">
        <f>IF(OR(Mentors[[#This Row],[Career Start Year]]="NA",ISBLANK(Mentors[[#This Row],[Career Start Year]])),"",2026 - Mentors[[#This Row],[Career Start Year]])</f>
        <v>17</v>
      </c>
      <c r="H18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184" t="s">
        <v>51</v>
      </c>
      <c r="J184" t="s">
        <v>1007</v>
      </c>
      <c r="K184" t="s">
        <v>1334</v>
      </c>
      <c r="L184" s="17">
        <v>9452108150</v>
      </c>
      <c r="M184" s="19">
        <v>45658</v>
      </c>
      <c r="N184" t="s">
        <v>6</v>
      </c>
      <c r="O184" t="s">
        <v>0</v>
      </c>
      <c r="Q184" t="s">
        <v>63</v>
      </c>
      <c r="R184" t="s">
        <v>63</v>
      </c>
      <c r="S184" t="s">
        <v>63</v>
      </c>
      <c r="T184" s="11" t="s">
        <v>247</v>
      </c>
      <c r="U184" t="s">
        <v>77</v>
      </c>
      <c r="V184" t="s">
        <v>57</v>
      </c>
      <c r="W184" t="s">
        <v>79</v>
      </c>
      <c r="X184" t="s">
        <v>230</v>
      </c>
      <c r="Z184" t="s">
        <v>81</v>
      </c>
      <c r="AA184" t="s">
        <v>62</v>
      </c>
      <c r="AB184">
        <v>1</v>
      </c>
      <c r="AD184" t="s">
        <v>54</v>
      </c>
      <c r="AE184" t="s">
        <v>63</v>
      </c>
      <c r="AF184" t="s">
        <v>64</v>
      </c>
      <c r="AG184" t="s">
        <v>54</v>
      </c>
      <c r="AH184" t="s">
        <v>152</v>
      </c>
      <c r="AI184" t="s">
        <v>248</v>
      </c>
      <c r="AJ184" t="s">
        <v>54</v>
      </c>
      <c r="AK184" t="s">
        <v>1335</v>
      </c>
      <c r="AL184" t="s">
        <v>1336</v>
      </c>
      <c r="AN184" s="19">
        <f>IF(ISBLANK(Mentors[[#This Row],[Onboarded Date]]),"",Mentors[[#This Row],[Onboarded Date]]-WEEKDAY(Mentors[[#This Row],[Onboarded Date]],2)+1)</f>
        <v>45656</v>
      </c>
    </row>
    <row r="185" spans="1:40" ht="19.2" customHeight="1" x14ac:dyDescent="0.3">
      <c r="A185" t="s">
        <v>1337</v>
      </c>
      <c r="B185" t="s">
        <v>1338</v>
      </c>
      <c r="C185" t="s">
        <v>115</v>
      </c>
      <c r="D185" t="s">
        <v>1339</v>
      </c>
      <c r="E185" t="s">
        <v>1340</v>
      </c>
      <c r="F185">
        <v>2017</v>
      </c>
      <c r="G185">
        <f>IF(OR(Mentors[[#This Row],[Career Start Year]]="NA",ISBLANK(Mentors[[#This Row],[Career Start Year]])),"",2026 - Mentors[[#This Row],[Career Start Year]])</f>
        <v>9</v>
      </c>
      <c r="H18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185" t="s">
        <v>51</v>
      </c>
      <c r="J185" t="s">
        <v>74</v>
      </c>
      <c r="K185" t="s">
        <v>1341</v>
      </c>
      <c r="L185" s="17">
        <v>8756952378</v>
      </c>
      <c r="M185" s="19">
        <v>45658</v>
      </c>
      <c r="N185" t="s">
        <v>6</v>
      </c>
      <c r="O185" t="s">
        <v>0</v>
      </c>
      <c r="Q185" t="s">
        <v>54</v>
      </c>
      <c r="R185" t="s">
        <v>63</v>
      </c>
      <c r="S185" t="s">
        <v>63</v>
      </c>
      <c r="T185" s="11" t="s">
        <v>110</v>
      </c>
      <c r="U185" t="s">
        <v>77</v>
      </c>
      <c r="V185" t="s">
        <v>57</v>
      </c>
      <c r="W185" t="s">
        <v>79</v>
      </c>
      <c r="X185" t="s">
        <v>80</v>
      </c>
      <c r="Y185" t="s">
        <v>59</v>
      </c>
      <c r="Z185" t="s">
        <v>101</v>
      </c>
      <c r="AA185" t="s">
        <v>62</v>
      </c>
      <c r="AB185">
        <v>1</v>
      </c>
      <c r="AD185" t="s">
        <v>54</v>
      </c>
      <c r="AE185" t="s">
        <v>63</v>
      </c>
      <c r="AF185" t="s">
        <v>121</v>
      </c>
      <c r="AG185" t="s">
        <v>54</v>
      </c>
      <c r="AH185" t="s">
        <v>152</v>
      </c>
      <c r="AI185" t="s">
        <v>122</v>
      </c>
      <c r="AJ185" t="s">
        <v>54</v>
      </c>
      <c r="AK185" t="s">
        <v>1342</v>
      </c>
      <c r="AL185" t="s">
        <v>1343</v>
      </c>
      <c r="AN185" s="19">
        <f>IF(ISBLANK(Mentors[[#This Row],[Onboarded Date]]),"",Mentors[[#This Row],[Onboarded Date]]-WEEKDAY(Mentors[[#This Row],[Onboarded Date]],2)+1)</f>
        <v>45656</v>
      </c>
    </row>
    <row r="186" spans="1:40" ht="19.2" customHeight="1" x14ac:dyDescent="0.3">
      <c r="A186" t="s">
        <v>1344</v>
      </c>
      <c r="B186" t="s">
        <v>1345</v>
      </c>
      <c r="C186" t="s">
        <v>1346</v>
      </c>
      <c r="D186" t="s">
        <v>1347</v>
      </c>
      <c r="E186" t="s">
        <v>1348</v>
      </c>
      <c r="F186">
        <v>2008</v>
      </c>
      <c r="G186">
        <f>IF(OR(Mentors[[#This Row],[Career Start Year]]="NA",ISBLANK(Mentors[[#This Row],[Career Start Year]])),"",2026 - Mentors[[#This Row],[Career Start Year]])</f>
        <v>18</v>
      </c>
      <c r="H18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186" t="s">
        <v>51</v>
      </c>
      <c r="J186" t="s">
        <v>999</v>
      </c>
      <c r="K186" t="s">
        <v>1349</v>
      </c>
      <c r="L186" s="17">
        <v>9827500779</v>
      </c>
      <c r="M186" s="19">
        <v>45658</v>
      </c>
      <c r="O186" t="s">
        <v>0</v>
      </c>
      <c r="Q186" t="s">
        <v>54</v>
      </c>
      <c r="R186" t="s">
        <v>63</v>
      </c>
      <c r="S186" t="s">
        <v>63</v>
      </c>
      <c r="T186" t="s">
        <v>167</v>
      </c>
      <c r="U186" t="s">
        <v>65</v>
      </c>
      <c r="V186" t="s">
        <v>78</v>
      </c>
      <c r="W186" t="s">
        <v>79</v>
      </c>
      <c r="X186" t="s">
        <v>59</v>
      </c>
      <c r="Z186" t="s">
        <v>101</v>
      </c>
      <c r="AA186" t="s">
        <v>62</v>
      </c>
      <c r="AB186">
        <v>1</v>
      </c>
      <c r="AD186" t="s">
        <v>54</v>
      </c>
      <c r="AE186" t="s">
        <v>54</v>
      </c>
      <c r="AF186" t="s">
        <v>64</v>
      </c>
      <c r="AG186" t="s">
        <v>63</v>
      </c>
      <c r="AH186" t="s">
        <v>65</v>
      </c>
      <c r="AI186" t="s">
        <v>248</v>
      </c>
      <c r="AJ186" t="s">
        <v>54</v>
      </c>
      <c r="AK186" t="s">
        <v>1350</v>
      </c>
      <c r="AL186" t="s">
        <v>1351</v>
      </c>
      <c r="AN186" s="19">
        <f>IF(ISBLANK(Mentors[[#This Row],[Onboarded Date]]),"",Mentors[[#This Row],[Onboarded Date]]-WEEKDAY(Mentors[[#This Row],[Onboarded Date]],2)+1)</f>
        <v>45656</v>
      </c>
    </row>
    <row r="187" spans="1:40" ht="19.2" customHeight="1" x14ac:dyDescent="0.3">
      <c r="A187" t="s">
        <v>1352</v>
      </c>
      <c r="B187" t="s">
        <v>396</v>
      </c>
      <c r="C187" t="s">
        <v>1353</v>
      </c>
      <c r="D187" t="s">
        <v>1354</v>
      </c>
      <c r="E187" t="s">
        <v>1355</v>
      </c>
      <c r="F187">
        <v>2009</v>
      </c>
      <c r="G187">
        <f>IF(OR(Mentors[[#This Row],[Career Start Year]]="NA",ISBLANK(Mentors[[#This Row],[Career Start Year]])),"",2026 - Mentors[[#This Row],[Career Start Year]])</f>
        <v>17</v>
      </c>
      <c r="H18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187" t="s">
        <v>51</v>
      </c>
      <c r="J187" t="s">
        <v>118</v>
      </c>
      <c r="K187" t="s">
        <v>1356</v>
      </c>
      <c r="L187" s="17">
        <v>9967362345</v>
      </c>
      <c r="M187" s="19">
        <v>45658</v>
      </c>
      <c r="O187" t="s">
        <v>0</v>
      </c>
      <c r="Q187" t="s">
        <v>54</v>
      </c>
      <c r="R187" t="s">
        <v>63</v>
      </c>
      <c r="S187" t="s">
        <v>63</v>
      </c>
      <c r="T187" t="s">
        <v>110</v>
      </c>
      <c r="U187" t="s">
        <v>65</v>
      </c>
      <c r="V187" t="s">
        <v>78</v>
      </c>
      <c r="W187" t="s">
        <v>79</v>
      </c>
      <c r="Z187" t="s">
        <v>101</v>
      </c>
      <c r="AA187" t="s">
        <v>62</v>
      </c>
      <c r="AB187">
        <v>1</v>
      </c>
      <c r="AD187" t="s">
        <v>54</v>
      </c>
      <c r="AE187" t="s">
        <v>63</v>
      </c>
      <c r="AF187" t="s">
        <v>64</v>
      </c>
      <c r="AG187" t="s">
        <v>54</v>
      </c>
      <c r="AH187" t="s">
        <v>152</v>
      </c>
      <c r="AI187" t="s">
        <v>122</v>
      </c>
      <c r="AJ187" t="s">
        <v>54</v>
      </c>
      <c r="AK187" t="s">
        <v>1357</v>
      </c>
      <c r="AL187" t="s">
        <v>1358</v>
      </c>
      <c r="AN187" s="19">
        <f>IF(ISBLANK(Mentors[[#This Row],[Onboarded Date]]),"",Mentors[[#This Row],[Onboarded Date]]-WEEKDAY(Mentors[[#This Row],[Onboarded Date]],2)+1)</f>
        <v>45656</v>
      </c>
    </row>
    <row r="188" spans="1:40" ht="19.2" customHeight="1" x14ac:dyDescent="0.3">
      <c r="A188" t="s">
        <v>1359</v>
      </c>
      <c r="B188" t="s">
        <v>152</v>
      </c>
      <c r="C188" t="s">
        <v>1360</v>
      </c>
      <c r="D188" t="s">
        <v>1361</v>
      </c>
      <c r="E188" t="s">
        <v>1362</v>
      </c>
      <c r="F188">
        <v>2008</v>
      </c>
      <c r="G188">
        <f>IF(OR(Mentors[[#This Row],[Career Start Year]]="NA",ISBLANK(Mentors[[#This Row],[Career Start Year]])),"",2026 - Mentors[[#This Row],[Career Start Year]])</f>
        <v>18</v>
      </c>
      <c r="H18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188" t="s">
        <v>51</v>
      </c>
      <c r="J188" t="s">
        <v>52</v>
      </c>
      <c r="K188" t="s">
        <v>1363</v>
      </c>
      <c r="L188" s="17">
        <v>9145734567</v>
      </c>
      <c r="M188" s="19">
        <v>45658</v>
      </c>
      <c r="N188" t="s">
        <v>6</v>
      </c>
      <c r="O188" t="s">
        <v>0</v>
      </c>
      <c r="Q188" t="s">
        <v>63</v>
      </c>
      <c r="R188" t="s">
        <v>63</v>
      </c>
      <c r="S188" t="s">
        <v>63</v>
      </c>
      <c r="T188" s="11" t="s">
        <v>187</v>
      </c>
      <c r="U188" t="s">
        <v>166</v>
      </c>
      <c r="V188" t="s">
        <v>1221</v>
      </c>
      <c r="W188" t="s">
        <v>79</v>
      </c>
      <c r="X188" t="s">
        <v>80</v>
      </c>
      <c r="Y188" t="s">
        <v>59</v>
      </c>
      <c r="Z188" t="s">
        <v>61</v>
      </c>
      <c r="AA188" t="s">
        <v>62</v>
      </c>
      <c r="AB188">
        <v>1</v>
      </c>
      <c r="AD188" t="s">
        <v>54</v>
      </c>
      <c r="AE188" t="s">
        <v>63</v>
      </c>
      <c r="AF188" t="s">
        <v>64</v>
      </c>
      <c r="AG188" t="s">
        <v>54</v>
      </c>
      <c r="AH188" t="s">
        <v>152</v>
      </c>
      <c r="AI188" t="s">
        <v>132</v>
      </c>
      <c r="AJ188" t="s">
        <v>54</v>
      </c>
      <c r="AK188" t="s">
        <v>1364</v>
      </c>
      <c r="AL188" t="s">
        <v>1365</v>
      </c>
      <c r="AN188" s="19">
        <f>IF(ISBLANK(Mentors[[#This Row],[Onboarded Date]]),"",Mentors[[#This Row],[Onboarded Date]]-WEEKDAY(Mentors[[#This Row],[Onboarded Date]],2)+1)</f>
        <v>45656</v>
      </c>
    </row>
    <row r="189" spans="1:40" ht="19.2" customHeight="1" x14ac:dyDescent="0.3">
      <c r="A189" t="s">
        <v>1366</v>
      </c>
      <c r="B189" t="s">
        <v>152</v>
      </c>
      <c r="C189" t="s">
        <v>1367</v>
      </c>
      <c r="D189" t="s">
        <v>1368</v>
      </c>
      <c r="E189" t="s">
        <v>1369</v>
      </c>
      <c r="F189">
        <v>2001</v>
      </c>
      <c r="G189">
        <f>IF(OR(Mentors[[#This Row],[Career Start Year]]="NA",ISBLANK(Mentors[[#This Row],[Career Start Year]])),"",2026 - Mentors[[#This Row],[Career Start Year]])</f>
        <v>25</v>
      </c>
      <c r="H18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89" t="s">
        <v>51</v>
      </c>
      <c r="J189" t="s">
        <v>118</v>
      </c>
      <c r="K189" t="s">
        <v>1370</v>
      </c>
      <c r="L189" s="17">
        <v>9820460348</v>
      </c>
      <c r="M189" s="19">
        <v>45658</v>
      </c>
      <c r="O189" t="s">
        <v>0</v>
      </c>
      <c r="Q189" t="s">
        <v>54</v>
      </c>
      <c r="R189" t="s">
        <v>63</v>
      </c>
      <c r="S189" t="s">
        <v>63</v>
      </c>
      <c r="T189" t="s">
        <v>77</v>
      </c>
      <c r="U189" t="s">
        <v>65</v>
      </c>
      <c r="V189" t="s">
        <v>78</v>
      </c>
      <c r="W189" t="s">
        <v>79</v>
      </c>
      <c r="Z189" t="s">
        <v>61</v>
      </c>
      <c r="AA189" t="s">
        <v>62</v>
      </c>
      <c r="AB189">
        <v>1</v>
      </c>
      <c r="AD189" t="s">
        <v>54</v>
      </c>
      <c r="AE189" t="s">
        <v>63</v>
      </c>
      <c r="AF189" t="s">
        <v>64</v>
      </c>
      <c r="AG189" t="s">
        <v>54</v>
      </c>
      <c r="AH189" t="s">
        <v>152</v>
      </c>
      <c r="AI189" t="s">
        <v>248</v>
      </c>
      <c r="AJ189" t="s">
        <v>54</v>
      </c>
      <c r="AK189" t="s">
        <v>1371</v>
      </c>
      <c r="AL189" t="s">
        <v>1372</v>
      </c>
      <c r="AN189" s="19">
        <f>IF(ISBLANK(Mentors[[#This Row],[Onboarded Date]]),"",Mentors[[#This Row],[Onboarded Date]]-WEEKDAY(Mentors[[#This Row],[Onboarded Date]],2)+1)</f>
        <v>45656</v>
      </c>
    </row>
    <row r="190" spans="1:40" ht="19.2" customHeight="1" x14ac:dyDescent="0.3">
      <c r="A190" t="s">
        <v>1373</v>
      </c>
      <c r="B190" t="s">
        <v>358</v>
      </c>
      <c r="C190" t="s">
        <v>1374</v>
      </c>
      <c r="D190" t="s">
        <v>1375</v>
      </c>
      <c r="E190" t="s">
        <v>1376</v>
      </c>
      <c r="F190">
        <v>1998</v>
      </c>
      <c r="G190">
        <f>IF(OR(Mentors[[#This Row],[Career Start Year]]="NA",ISBLANK(Mentors[[#This Row],[Career Start Year]])),"",2026 - Mentors[[#This Row],[Career Start Year]])</f>
        <v>28</v>
      </c>
      <c r="H19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90" t="s">
        <v>51</v>
      </c>
      <c r="J190" t="s">
        <v>140</v>
      </c>
      <c r="K190" t="s">
        <v>1377</v>
      </c>
      <c r="L190" s="17">
        <v>9930455750</v>
      </c>
      <c r="M190" s="19">
        <v>45658</v>
      </c>
      <c r="O190" t="s">
        <v>0</v>
      </c>
      <c r="Q190" t="s">
        <v>54</v>
      </c>
      <c r="R190" t="s">
        <v>54</v>
      </c>
      <c r="S190" t="s">
        <v>63</v>
      </c>
      <c r="T190" t="s">
        <v>77</v>
      </c>
      <c r="U190" t="s">
        <v>187</v>
      </c>
      <c r="V190" t="s">
        <v>78</v>
      </c>
      <c r="W190" t="s">
        <v>79</v>
      </c>
      <c r="Z190" t="s">
        <v>61</v>
      </c>
      <c r="AA190" t="s">
        <v>62</v>
      </c>
      <c r="AB190">
        <v>1</v>
      </c>
      <c r="AD190" t="s">
        <v>54</v>
      </c>
      <c r="AE190" t="s">
        <v>54</v>
      </c>
      <c r="AF190" t="s">
        <v>64</v>
      </c>
      <c r="AG190" t="s">
        <v>54</v>
      </c>
      <c r="AH190" t="s">
        <v>131</v>
      </c>
      <c r="AI190" t="s">
        <v>248</v>
      </c>
      <c r="AJ190" t="s">
        <v>54</v>
      </c>
      <c r="AK190" t="s">
        <v>1378</v>
      </c>
      <c r="AL190" t="s">
        <v>1379</v>
      </c>
      <c r="AN190" s="19">
        <f>IF(ISBLANK(Mentors[[#This Row],[Onboarded Date]]),"",Mentors[[#This Row],[Onboarded Date]]-WEEKDAY(Mentors[[#This Row],[Onboarded Date]],2)+1)</f>
        <v>45656</v>
      </c>
    </row>
    <row r="191" spans="1:40" ht="19.2" customHeight="1" x14ac:dyDescent="0.3">
      <c r="A191" t="s">
        <v>1380</v>
      </c>
      <c r="B191" t="s">
        <v>152</v>
      </c>
      <c r="C191" t="s">
        <v>1381</v>
      </c>
      <c r="D191" t="s">
        <v>1382</v>
      </c>
      <c r="E191" t="s">
        <v>1383</v>
      </c>
      <c r="F191">
        <v>2017</v>
      </c>
      <c r="G191">
        <f>IF(OR(Mentors[[#This Row],[Career Start Year]]="NA",ISBLANK(Mentors[[#This Row],[Career Start Year]])),"",2026 - Mentors[[#This Row],[Career Start Year]])</f>
        <v>9</v>
      </c>
      <c r="H19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191" t="s">
        <v>1384</v>
      </c>
      <c r="J191" t="s">
        <v>1385</v>
      </c>
      <c r="K191" t="s">
        <v>1386</v>
      </c>
      <c r="L191" s="17">
        <v>7619140619</v>
      </c>
      <c r="M191" s="19">
        <v>45658</v>
      </c>
      <c r="N191" t="s">
        <v>6</v>
      </c>
      <c r="O191" t="s">
        <v>0</v>
      </c>
      <c r="Q191" t="s">
        <v>54</v>
      </c>
      <c r="R191" t="s">
        <v>63</v>
      </c>
      <c r="S191" t="s">
        <v>63</v>
      </c>
      <c r="T191" s="11" t="s">
        <v>247</v>
      </c>
      <c r="U191" t="s">
        <v>100</v>
      </c>
      <c r="V191" t="s">
        <v>306</v>
      </c>
      <c r="W191" t="s">
        <v>79</v>
      </c>
      <c r="Z191" t="s">
        <v>101</v>
      </c>
      <c r="AA191" t="s">
        <v>62</v>
      </c>
      <c r="AB191">
        <v>1</v>
      </c>
      <c r="AD191" t="s">
        <v>54</v>
      </c>
      <c r="AE191" t="s">
        <v>63</v>
      </c>
      <c r="AF191" t="s">
        <v>1188</v>
      </c>
      <c r="AG191" t="s">
        <v>54</v>
      </c>
      <c r="AH191" t="s">
        <v>152</v>
      </c>
      <c r="AI191" t="s">
        <v>248</v>
      </c>
      <c r="AJ191" t="s">
        <v>54</v>
      </c>
      <c r="AK191" t="s">
        <v>1387</v>
      </c>
      <c r="AL191" t="s">
        <v>1388</v>
      </c>
      <c r="AN191" s="19">
        <f>IF(ISBLANK(Mentors[[#This Row],[Onboarded Date]]),"",Mentors[[#This Row],[Onboarded Date]]-WEEKDAY(Mentors[[#This Row],[Onboarded Date]],2)+1)</f>
        <v>45656</v>
      </c>
    </row>
    <row r="192" spans="1:40" ht="19.2" customHeight="1" x14ac:dyDescent="0.3">
      <c r="A192" t="s">
        <v>1389</v>
      </c>
      <c r="B192" t="s">
        <v>1390</v>
      </c>
      <c r="C192" t="s">
        <v>1391</v>
      </c>
      <c r="D192" t="s">
        <v>1392</v>
      </c>
      <c r="E192" s="7" t="s">
        <v>1393</v>
      </c>
      <c r="F192">
        <v>1996</v>
      </c>
      <c r="G192">
        <f>IF(OR(Mentors[[#This Row],[Career Start Year]]="NA",ISBLANK(Mentors[[#This Row],[Career Start Year]])),"",2026 - Mentors[[#This Row],[Career Start Year]])</f>
        <v>30</v>
      </c>
      <c r="H19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92" t="s">
        <v>51</v>
      </c>
      <c r="J192" t="s">
        <v>74</v>
      </c>
      <c r="K192" t="s">
        <v>1394</v>
      </c>
      <c r="L192" s="17">
        <v>9899536692</v>
      </c>
      <c r="M192" s="19">
        <v>45658</v>
      </c>
      <c r="O192" t="s">
        <v>0</v>
      </c>
      <c r="Q192" t="s">
        <v>63</v>
      </c>
      <c r="R192" t="s">
        <v>63</v>
      </c>
      <c r="S192" t="s">
        <v>63</v>
      </c>
      <c r="T192" t="s">
        <v>99</v>
      </c>
      <c r="U192" t="s">
        <v>100</v>
      </c>
      <c r="V192" t="s">
        <v>57</v>
      </c>
      <c r="W192" t="s">
        <v>79</v>
      </c>
      <c r="X192" t="s">
        <v>59</v>
      </c>
      <c r="Y192" t="s">
        <v>60</v>
      </c>
      <c r="Z192" t="s">
        <v>81</v>
      </c>
      <c r="AA192" t="s">
        <v>170</v>
      </c>
      <c r="AB192" s="20">
        <v>4</v>
      </c>
      <c r="AC192" s="9" t="s">
        <v>1395</v>
      </c>
      <c r="AD192" t="s">
        <v>54</v>
      </c>
      <c r="AE192" t="s">
        <v>54</v>
      </c>
      <c r="AF192" t="s">
        <v>64</v>
      </c>
      <c r="AG192" t="s">
        <v>54</v>
      </c>
      <c r="AH192" t="s">
        <v>215</v>
      </c>
      <c r="AI192" t="s">
        <v>248</v>
      </c>
      <c r="AJ192" t="s">
        <v>54</v>
      </c>
      <c r="AK192" t="s">
        <v>1396</v>
      </c>
      <c r="AL192" t="s">
        <v>1397</v>
      </c>
      <c r="AN192" s="19">
        <f>IF(ISBLANK(Mentors[[#This Row],[Onboarded Date]]),"",Mentors[[#This Row],[Onboarded Date]]-WEEKDAY(Mentors[[#This Row],[Onboarded Date]],2)+1)</f>
        <v>45656</v>
      </c>
    </row>
    <row r="193" spans="1:40" ht="19.2" customHeight="1" x14ac:dyDescent="0.3">
      <c r="A193" t="s">
        <v>1398</v>
      </c>
      <c r="B193" t="s">
        <v>1399</v>
      </c>
      <c r="C193" t="s">
        <v>1400</v>
      </c>
      <c r="D193" t="s">
        <v>1401</v>
      </c>
      <c r="E193" t="s">
        <v>1402</v>
      </c>
      <c r="F193">
        <v>1981</v>
      </c>
      <c r="G193">
        <f>IF(OR(Mentors[[#This Row],[Career Start Year]]="NA",ISBLANK(Mentors[[#This Row],[Career Start Year]])),"",2026 - Mentors[[#This Row],[Career Start Year]])</f>
        <v>45</v>
      </c>
      <c r="H19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93" t="s">
        <v>51</v>
      </c>
      <c r="J193" t="s">
        <v>118</v>
      </c>
      <c r="K193" t="s">
        <v>1403</v>
      </c>
      <c r="L193" s="17" t="s">
        <v>1404</v>
      </c>
      <c r="M193" s="19">
        <v>45658</v>
      </c>
      <c r="N193" t="s">
        <v>6</v>
      </c>
      <c r="O193" t="s">
        <v>0</v>
      </c>
      <c r="Q193" t="s">
        <v>63</v>
      </c>
      <c r="R193" t="s">
        <v>63</v>
      </c>
      <c r="S193" t="s">
        <v>54</v>
      </c>
      <c r="T193" t="s">
        <v>1405</v>
      </c>
      <c r="U193" t="s">
        <v>77</v>
      </c>
      <c r="V193" s="4" t="s">
        <v>481</v>
      </c>
      <c r="W193" t="s">
        <v>79</v>
      </c>
      <c r="X193" t="s">
        <v>80</v>
      </c>
      <c r="Z193" t="s">
        <v>61</v>
      </c>
      <c r="AA193" t="s">
        <v>62</v>
      </c>
      <c r="AB193">
        <v>1</v>
      </c>
      <c r="AD193" t="s">
        <v>63</v>
      </c>
      <c r="AG193" t="s">
        <v>54</v>
      </c>
      <c r="AH193" t="s">
        <v>65</v>
      </c>
      <c r="AI193" t="s">
        <v>412</v>
      </c>
      <c r="AJ193" t="s">
        <v>54</v>
      </c>
      <c r="AK193" t="s">
        <v>1406</v>
      </c>
      <c r="AL193" t="s">
        <v>1407</v>
      </c>
      <c r="AN193" s="19">
        <f>IF(ISBLANK(Mentors[[#This Row],[Onboarded Date]]),"",Mentors[[#This Row],[Onboarded Date]]-WEEKDAY(Mentors[[#This Row],[Onboarded Date]],2)+1)</f>
        <v>45656</v>
      </c>
    </row>
    <row r="194" spans="1:40" ht="19.2" customHeight="1" x14ac:dyDescent="0.3">
      <c r="A194" t="s">
        <v>1408</v>
      </c>
      <c r="B194" t="s">
        <v>1409</v>
      </c>
      <c r="C194" t="s">
        <v>115</v>
      </c>
      <c r="D194" t="s">
        <v>1410</v>
      </c>
      <c r="E194" t="s">
        <v>1411</v>
      </c>
      <c r="F194">
        <v>2013</v>
      </c>
      <c r="G194">
        <f>IF(OR(Mentors[[#This Row],[Career Start Year]]="NA",ISBLANK(Mentors[[#This Row],[Career Start Year]])),"",2026 - Mentors[[#This Row],[Career Start Year]])</f>
        <v>13</v>
      </c>
      <c r="H19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94" t="s">
        <v>51</v>
      </c>
      <c r="J194" t="s">
        <v>88</v>
      </c>
      <c r="K194" t="s">
        <v>1412</v>
      </c>
      <c r="L194" s="17">
        <v>9989918588</v>
      </c>
      <c r="M194" s="19">
        <v>45658</v>
      </c>
      <c r="N194" t="s">
        <v>6</v>
      </c>
      <c r="O194" t="s">
        <v>0</v>
      </c>
      <c r="Q194" t="s">
        <v>54</v>
      </c>
      <c r="R194" t="s">
        <v>63</v>
      </c>
      <c r="S194" t="s">
        <v>54</v>
      </c>
      <c r="T194" t="s">
        <v>756</v>
      </c>
      <c r="U194" t="s">
        <v>77</v>
      </c>
      <c r="V194" t="s">
        <v>57</v>
      </c>
      <c r="W194" t="s">
        <v>79</v>
      </c>
      <c r="Z194" t="s">
        <v>61</v>
      </c>
      <c r="AA194" t="s">
        <v>62</v>
      </c>
      <c r="AB194">
        <v>1</v>
      </c>
      <c r="AD194" t="s">
        <v>63</v>
      </c>
      <c r="AE194" t="s">
        <v>54</v>
      </c>
      <c r="AF194" t="s">
        <v>121</v>
      </c>
      <c r="AG194" t="s">
        <v>54</v>
      </c>
      <c r="AH194" t="s">
        <v>65</v>
      </c>
      <c r="AI194" t="s">
        <v>1064</v>
      </c>
      <c r="AJ194" t="s">
        <v>54</v>
      </c>
      <c r="AK194" t="s">
        <v>1413</v>
      </c>
      <c r="AL194" t="s">
        <v>1414</v>
      </c>
      <c r="AN194" s="19">
        <f>IF(ISBLANK(Mentors[[#This Row],[Onboarded Date]]),"",Mentors[[#This Row],[Onboarded Date]]-WEEKDAY(Mentors[[#This Row],[Onboarded Date]],2)+1)</f>
        <v>45656</v>
      </c>
    </row>
    <row r="195" spans="1:40" ht="19.2" customHeight="1" x14ac:dyDescent="0.3">
      <c r="A195" t="s">
        <v>1415</v>
      </c>
      <c r="B195" t="s">
        <v>1416</v>
      </c>
      <c r="C195" t="s">
        <v>1417</v>
      </c>
      <c r="D195" t="s">
        <v>1418</v>
      </c>
      <c r="E195" t="s">
        <v>1419</v>
      </c>
      <c r="F195">
        <v>2011</v>
      </c>
      <c r="G195">
        <f>IF(OR(Mentors[[#This Row],[Career Start Year]]="NA",ISBLANK(Mentors[[#This Row],[Career Start Year]])),"",2026 - Mentors[[#This Row],[Career Start Year]])</f>
        <v>15</v>
      </c>
      <c r="H19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195" t="s">
        <v>51</v>
      </c>
      <c r="J195" t="s">
        <v>52</v>
      </c>
      <c r="K195" t="s">
        <v>1420</v>
      </c>
      <c r="L195" s="17">
        <v>9665839999</v>
      </c>
      <c r="M195" s="19">
        <v>45658</v>
      </c>
      <c r="O195" t="s">
        <v>0</v>
      </c>
      <c r="Q195" t="s">
        <v>54</v>
      </c>
      <c r="R195" t="s">
        <v>63</v>
      </c>
      <c r="S195" t="s">
        <v>63</v>
      </c>
      <c r="T195" t="s">
        <v>187</v>
      </c>
      <c r="U195" t="s">
        <v>100</v>
      </c>
      <c r="V195" t="s">
        <v>58</v>
      </c>
      <c r="W195" s="4" t="s">
        <v>58</v>
      </c>
      <c r="X195" s="4" t="s">
        <v>60</v>
      </c>
      <c r="Y195" s="4"/>
      <c r="Z195" t="s">
        <v>101</v>
      </c>
      <c r="AA195" t="s">
        <v>62</v>
      </c>
      <c r="AB195">
        <v>1</v>
      </c>
      <c r="AD195" t="s">
        <v>54</v>
      </c>
      <c r="AE195" t="s">
        <v>63</v>
      </c>
      <c r="AF195" t="s">
        <v>64</v>
      </c>
      <c r="AG195" t="s">
        <v>54</v>
      </c>
      <c r="AH195" t="s">
        <v>131</v>
      </c>
      <c r="AI195" t="s">
        <v>132</v>
      </c>
      <c r="AJ195" t="s">
        <v>54</v>
      </c>
      <c r="AK195" t="s">
        <v>1421</v>
      </c>
      <c r="AL195" t="s">
        <v>1422</v>
      </c>
      <c r="AN195" s="19">
        <f>IF(ISBLANK(Mentors[[#This Row],[Onboarded Date]]),"",Mentors[[#This Row],[Onboarded Date]]-WEEKDAY(Mentors[[#This Row],[Onboarded Date]],2)+1)</f>
        <v>45656</v>
      </c>
    </row>
    <row r="196" spans="1:40" ht="19.2" customHeight="1" x14ac:dyDescent="0.3">
      <c r="A196" t="s">
        <v>1423</v>
      </c>
      <c r="B196" t="s">
        <v>152</v>
      </c>
      <c r="C196" t="s">
        <v>1424</v>
      </c>
      <c r="D196" t="s">
        <v>1425</v>
      </c>
      <c r="E196" s="7" t="s">
        <v>1426</v>
      </c>
      <c r="F196">
        <v>2003</v>
      </c>
      <c r="G196">
        <f>IF(OR(Mentors[[#This Row],[Career Start Year]]="NA",ISBLANK(Mentors[[#This Row],[Career Start Year]])),"",2026 - Mentors[[#This Row],[Career Start Year]])</f>
        <v>23</v>
      </c>
      <c r="H19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96" t="s">
        <v>51</v>
      </c>
      <c r="J196" t="s">
        <v>1427</v>
      </c>
      <c r="K196" t="s">
        <v>1428</v>
      </c>
      <c r="L196" s="17">
        <v>9930299967</v>
      </c>
      <c r="M196" s="19">
        <v>45658</v>
      </c>
      <c r="O196" t="s">
        <v>0</v>
      </c>
      <c r="Q196" t="s">
        <v>54</v>
      </c>
      <c r="R196" t="s">
        <v>63</v>
      </c>
      <c r="S196" t="s">
        <v>63</v>
      </c>
      <c r="T196" t="s">
        <v>499</v>
      </c>
      <c r="U196" t="s">
        <v>100</v>
      </c>
      <c r="V196" t="s">
        <v>78</v>
      </c>
      <c r="W196" t="s">
        <v>79</v>
      </c>
      <c r="Z196" t="s">
        <v>61</v>
      </c>
      <c r="AA196" t="s">
        <v>62</v>
      </c>
      <c r="AB196">
        <v>1</v>
      </c>
      <c r="AD196" t="s">
        <v>54</v>
      </c>
      <c r="AE196" t="s">
        <v>63</v>
      </c>
      <c r="AF196" t="s">
        <v>64</v>
      </c>
      <c r="AG196" t="s">
        <v>54</v>
      </c>
      <c r="AH196" t="s">
        <v>152</v>
      </c>
      <c r="AI196" t="s">
        <v>248</v>
      </c>
      <c r="AJ196" t="s">
        <v>54</v>
      </c>
      <c r="AK196" t="s">
        <v>1429</v>
      </c>
      <c r="AL196" t="s">
        <v>1430</v>
      </c>
      <c r="AN196" s="19">
        <f>IF(ISBLANK(Mentors[[#This Row],[Onboarded Date]]),"",Mentors[[#This Row],[Onboarded Date]]-WEEKDAY(Mentors[[#This Row],[Onboarded Date]],2)+1)</f>
        <v>45656</v>
      </c>
    </row>
    <row r="197" spans="1:40" ht="19.2" customHeight="1" x14ac:dyDescent="0.3">
      <c r="A197" t="s">
        <v>1431</v>
      </c>
      <c r="B197" t="s">
        <v>1432</v>
      </c>
      <c r="C197" t="s">
        <v>1433</v>
      </c>
      <c r="D197" t="s">
        <v>1434</v>
      </c>
      <c r="E197" s="7" t="s">
        <v>1435</v>
      </c>
      <c r="F197">
        <v>2010</v>
      </c>
      <c r="G197">
        <f>IF(OR(Mentors[[#This Row],[Career Start Year]]="NA",ISBLANK(Mentors[[#This Row],[Career Start Year]])),"",2026 - Mentors[[#This Row],[Career Start Year]])</f>
        <v>16</v>
      </c>
      <c r="H19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197" t="s">
        <v>51</v>
      </c>
      <c r="J197" t="s">
        <v>196</v>
      </c>
      <c r="K197" t="s">
        <v>1436</v>
      </c>
      <c r="L197" s="17">
        <v>7406072674</v>
      </c>
      <c r="M197" s="19">
        <v>45658</v>
      </c>
      <c r="O197" t="s">
        <v>0</v>
      </c>
      <c r="Q197" t="s">
        <v>54</v>
      </c>
      <c r="R197" t="s">
        <v>54</v>
      </c>
      <c r="S197" t="s">
        <v>54</v>
      </c>
      <c r="T197" t="s">
        <v>56</v>
      </c>
      <c r="U197" t="s">
        <v>100</v>
      </c>
      <c r="V197" t="s">
        <v>57</v>
      </c>
      <c r="W197" t="s">
        <v>79</v>
      </c>
      <c r="X197" t="s">
        <v>59</v>
      </c>
      <c r="Y197" t="s">
        <v>60</v>
      </c>
      <c r="Z197" t="s">
        <v>81</v>
      </c>
      <c r="AA197" t="s">
        <v>62</v>
      </c>
      <c r="AB197">
        <v>1</v>
      </c>
      <c r="AD197" t="s">
        <v>54</v>
      </c>
      <c r="AE197" t="s">
        <v>54</v>
      </c>
      <c r="AF197" t="s">
        <v>64</v>
      </c>
      <c r="AG197" t="s">
        <v>54</v>
      </c>
      <c r="AH197" t="s">
        <v>131</v>
      </c>
      <c r="AI197" t="s">
        <v>132</v>
      </c>
      <c r="AJ197" t="s">
        <v>54</v>
      </c>
      <c r="AK197" t="s">
        <v>1437</v>
      </c>
      <c r="AL197" t="s">
        <v>1438</v>
      </c>
      <c r="AN197" s="19">
        <f>IF(ISBLANK(Mentors[[#This Row],[Onboarded Date]]),"",Mentors[[#This Row],[Onboarded Date]]-WEEKDAY(Mentors[[#This Row],[Onboarded Date]],2)+1)</f>
        <v>45656</v>
      </c>
    </row>
    <row r="198" spans="1:40" ht="19.2" customHeight="1" x14ac:dyDescent="0.3">
      <c r="A198" t="s">
        <v>1439</v>
      </c>
      <c r="B198" t="s">
        <v>1440</v>
      </c>
      <c r="C198" t="s">
        <v>350</v>
      </c>
      <c r="D198" t="s">
        <v>1441</v>
      </c>
      <c r="E198" t="s">
        <v>1442</v>
      </c>
      <c r="F198">
        <v>2004</v>
      </c>
      <c r="G198">
        <f>IF(OR(Mentors[[#This Row],[Career Start Year]]="NA",ISBLANK(Mentors[[#This Row],[Career Start Year]])),"",2026 - Mentors[[#This Row],[Career Start Year]])</f>
        <v>22</v>
      </c>
      <c r="H19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98" t="s">
        <v>51</v>
      </c>
      <c r="J198" t="s">
        <v>140</v>
      </c>
      <c r="K198" t="s">
        <v>1443</v>
      </c>
      <c r="L198" s="17">
        <v>9821860771</v>
      </c>
      <c r="M198" s="19">
        <v>45658</v>
      </c>
      <c r="O198" t="s">
        <v>0</v>
      </c>
      <c r="Q198" t="s">
        <v>63</v>
      </c>
      <c r="R198" t="s">
        <v>63</v>
      </c>
      <c r="S198" t="s">
        <v>63</v>
      </c>
      <c r="T198" s="4" t="s">
        <v>756</v>
      </c>
      <c r="U198" t="s">
        <v>77</v>
      </c>
      <c r="V198" t="s">
        <v>57</v>
      </c>
      <c r="W198" t="s">
        <v>79</v>
      </c>
      <c r="Z198" t="s">
        <v>61</v>
      </c>
      <c r="AA198" t="s">
        <v>62</v>
      </c>
      <c r="AB198">
        <v>1</v>
      </c>
      <c r="AD198" t="s">
        <v>54</v>
      </c>
      <c r="AE198" t="s">
        <v>54</v>
      </c>
      <c r="AF198" t="s">
        <v>121</v>
      </c>
      <c r="AG198" t="s">
        <v>54</v>
      </c>
      <c r="AH198" t="s">
        <v>65</v>
      </c>
      <c r="AI198" t="s">
        <v>412</v>
      </c>
      <c r="AJ198" t="s">
        <v>54</v>
      </c>
      <c r="AK198" t="s">
        <v>1444</v>
      </c>
      <c r="AL198" t="s">
        <v>1445</v>
      </c>
      <c r="AN198" s="19">
        <f>IF(ISBLANK(Mentors[[#This Row],[Onboarded Date]]),"",Mentors[[#This Row],[Onboarded Date]]-WEEKDAY(Mentors[[#This Row],[Onboarded Date]],2)+1)</f>
        <v>45656</v>
      </c>
    </row>
    <row r="199" spans="1:40" ht="19.2" customHeight="1" x14ac:dyDescent="0.3">
      <c r="A199" t="s">
        <v>1446</v>
      </c>
      <c r="B199" t="s">
        <v>1447</v>
      </c>
      <c r="C199" t="s">
        <v>358</v>
      </c>
      <c r="D199" t="s">
        <v>1448</v>
      </c>
      <c r="E199" s="7" t="s">
        <v>1449</v>
      </c>
      <c r="F199">
        <v>1986</v>
      </c>
      <c r="G199">
        <f>IF(OR(Mentors[[#This Row],[Career Start Year]]="NA",ISBLANK(Mentors[[#This Row],[Career Start Year]])),"",2026 - Mentors[[#This Row],[Career Start Year]])</f>
        <v>40</v>
      </c>
      <c r="H19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199" t="s">
        <v>51</v>
      </c>
      <c r="J199" t="s">
        <v>297</v>
      </c>
      <c r="K199" t="s">
        <v>1450</v>
      </c>
      <c r="L199" s="17">
        <v>9999134467</v>
      </c>
      <c r="M199" s="19">
        <v>45658</v>
      </c>
      <c r="O199" t="s">
        <v>0</v>
      </c>
      <c r="Q199" t="s">
        <v>63</v>
      </c>
      <c r="R199" t="s">
        <v>63</v>
      </c>
      <c r="S199" t="s">
        <v>54</v>
      </c>
      <c r="T199" t="s">
        <v>77</v>
      </c>
      <c r="U199" t="s">
        <v>166</v>
      </c>
      <c r="V199" t="s">
        <v>58</v>
      </c>
      <c r="W199" t="s">
        <v>79</v>
      </c>
      <c r="X199" t="s">
        <v>59</v>
      </c>
      <c r="Y199" t="s">
        <v>60</v>
      </c>
      <c r="Z199" t="s">
        <v>61</v>
      </c>
      <c r="AA199" t="s">
        <v>62</v>
      </c>
      <c r="AB199">
        <v>1</v>
      </c>
      <c r="AD199" t="s">
        <v>63</v>
      </c>
      <c r="AG199" t="s">
        <v>54</v>
      </c>
      <c r="AH199" t="s">
        <v>65</v>
      </c>
      <c r="AI199" t="s">
        <v>248</v>
      </c>
      <c r="AJ199" t="s">
        <v>54</v>
      </c>
      <c r="AK199" t="s">
        <v>1451</v>
      </c>
      <c r="AL199" t="s">
        <v>1452</v>
      </c>
      <c r="AN199" s="19">
        <f>IF(ISBLANK(Mentors[[#This Row],[Onboarded Date]]),"",Mentors[[#This Row],[Onboarded Date]]-WEEKDAY(Mentors[[#This Row],[Onboarded Date]],2)+1)</f>
        <v>45656</v>
      </c>
    </row>
    <row r="200" spans="1:40" ht="19.2" customHeight="1" x14ac:dyDescent="0.3">
      <c r="A200" t="s">
        <v>1453</v>
      </c>
      <c r="B200" t="s">
        <v>1454</v>
      </c>
      <c r="C200" t="s">
        <v>350</v>
      </c>
      <c r="D200" t="s">
        <v>1455</v>
      </c>
      <c r="E200" t="s">
        <v>1456</v>
      </c>
      <c r="F200">
        <v>1993</v>
      </c>
      <c r="G200">
        <f>IF(OR(Mentors[[#This Row],[Career Start Year]]="NA",ISBLANK(Mentors[[#This Row],[Career Start Year]])),"",2026 - Mentors[[#This Row],[Career Start Year]])</f>
        <v>33</v>
      </c>
      <c r="H20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00" t="s">
        <v>51</v>
      </c>
      <c r="J200" t="s">
        <v>118</v>
      </c>
      <c r="K200" t="s">
        <v>1457</v>
      </c>
      <c r="L200" s="17">
        <v>9082791343</v>
      </c>
      <c r="M200" s="19">
        <v>45658</v>
      </c>
      <c r="O200" t="s">
        <v>0</v>
      </c>
      <c r="Q200" t="s">
        <v>63</v>
      </c>
      <c r="R200" t="s">
        <v>63</v>
      </c>
      <c r="S200" t="s">
        <v>63</v>
      </c>
      <c r="T200" t="s">
        <v>99</v>
      </c>
      <c r="U200" t="s">
        <v>77</v>
      </c>
      <c r="V200" t="s">
        <v>78</v>
      </c>
      <c r="W200" t="s">
        <v>79</v>
      </c>
      <c r="X200" t="s">
        <v>59</v>
      </c>
      <c r="Z200" t="s">
        <v>61</v>
      </c>
      <c r="AA200" t="s">
        <v>62</v>
      </c>
      <c r="AB200">
        <v>1</v>
      </c>
      <c r="AD200" t="s">
        <v>54</v>
      </c>
      <c r="AE200" t="s">
        <v>54</v>
      </c>
      <c r="AF200" t="s">
        <v>121</v>
      </c>
      <c r="AG200" t="s">
        <v>54</v>
      </c>
      <c r="AH200" t="s">
        <v>131</v>
      </c>
      <c r="AI200" t="s">
        <v>76</v>
      </c>
      <c r="AJ200" t="s">
        <v>54</v>
      </c>
      <c r="AK200" t="s">
        <v>1458</v>
      </c>
      <c r="AL200" t="s">
        <v>1459</v>
      </c>
      <c r="AN200" s="19">
        <f>IF(ISBLANK(Mentors[[#This Row],[Onboarded Date]]),"",Mentors[[#This Row],[Onboarded Date]]-WEEKDAY(Mentors[[#This Row],[Onboarded Date]],2)+1)</f>
        <v>45656</v>
      </c>
    </row>
    <row r="201" spans="1:40" ht="19.2" customHeight="1" x14ac:dyDescent="0.3">
      <c r="A201" t="s">
        <v>1460</v>
      </c>
      <c r="B201" t="s">
        <v>1461</v>
      </c>
      <c r="C201" t="s">
        <v>1462</v>
      </c>
      <c r="D201" t="s">
        <v>1463</v>
      </c>
      <c r="E201" t="s">
        <v>1464</v>
      </c>
      <c r="F201">
        <v>1994</v>
      </c>
      <c r="G201">
        <f>IF(OR(Mentors[[#This Row],[Career Start Year]]="NA",ISBLANK(Mentors[[#This Row],[Career Start Year]])),"",2026 - Mentors[[#This Row],[Career Start Year]])</f>
        <v>32</v>
      </c>
      <c r="H20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01" t="s">
        <v>51</v>
      </c>
      <c r="J201" t="s">
        <v>196</v>
      </c>
      <c r="K201" t="s">
        <v>1465</v>
      </c>
      <c r="L201" s="17">
        <v>9902000566</v>
      </c>
      <c r="M201" s="19">
        <v>45658</v>
      </c>
      <c r="O201" t="s">
        <v>0</v>
      </c>
      <c r="Q201" t="s">
        <v>54</v>
      </c>
      <c r="R201" t="s">
        <v>54</v>
      </c>
      <c r="S201" t="s">
        <v>54</v>
      </c>
      <c r="T201" t="s">
        <v>77</v>
      </c>
      <c r="U201" t="s">
        <v>100</v>
      </c>
      <c r="V201" s="4" t="s">
        <v>481</v>
      </c>
      <c r="W201" t="s">
        <v>79</v>
      </c>
      <c r="X201" t="s">
        <v>59</v>
      </c>
      <c r="Y201" t="s">
        <v>60</v>
      </c>
      <c r="Z201" t="s">
        <v>81</v>
      </c>
      <c r="AA201" t="s">
        <v>62</v>
      </c>
      <c r="AB201">
        <v>1</v>
      </c>
      <c r="AD201" t="s">
        <v>54</v>
      </c>
      <c r="AE201" t="s">
        <v>54</v>
      </c>
      <c r="AF201" t="s">
        <v>64</v>
      </c>
      <c r="AG201" t="s">
        <v>54</v>
      </c>
      <c r="AH201" t="s">
        <v>131</v>
      </c>
      <c r="AI201" t="s">
        <v>412</v>
      </c>
      <c r="AJ201" t="s">
        <v>54</v>
      </c>
      <c r="AK201" t="s">
        <v>1466</v>
      </c>
      <c r="AL201" t="s">
        <v>1467</v>
      </c>
      <c r="AN201" s="19">
        <f>IF(ISBLANK(Mentors[[#This Row],[Onboarded Date]]),"",Mentors[[#This Row],[Onboarded Date]]-WEEKDAY(Mentors[[#This Row],[Onboarded Date]],2)+1)</f>
        <v>45656</v>
      </c>
    </row>
    <row r="202" spans="1:40" ht="19.2" customHeight="1" x14ac:dyDescent="0.3">
      <c r="A202" t="s">
        <v>1468</v>
      </c>
      <c r="B202" t="s">
        <v>1469</v>
      </c>
      <c r="C202" t="s">
        <v>1470</v>
      </c>
      <c r="D202" t="s">
        <v>1471</v>
      </c>
      <c r="E202" t="s">
        <v>1472</v>
      </c>
      <c r="F202">
        <v>2007</v>
      </c>
      <c r="G202">
        <f>IF(OR(Mentors[[#This Row],[Career Start Year]]="NA",ISBLANK(Mentors[[#This Row],[Career Start Year]])),"",2026 - Mentors[[#This Row],[Career Start Year]])</f>
        <v>19</v>
      </c>
      <c r="H20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02" t="s">
        <v>51</v>
      </c>
      <c r="J202" t="s">
        <v>314</v>
      </c>
      <c r="K202" t="s">
        <v>1473</v>
      </c>
      <c r="L202" s="17">
        <v>8099198129</v>
      </c>
      <c r="M202" s="19">
        <v>45658</v>
      </c>
      <c r="O202" t="s">
        <v>0</v>
      </c>
      <c r="Q202" t="s">
        <v>54</v>
      </c>
      <c r="R202" t="s">
        <v>54</v>
      </c>
      <c r="S202" t="s">
        <v>54</v>
      </c>
      <c r="T202" t="s">
        <v>77</v>
      </c>
      <c r="U202" t="s">
        <v>65</v>
      </c>
      <c r="V202" t="s">
        <v>78</v>
      </c>
      <c r="W202" t="s">
        <v>79</v>
      </c>
      <c r="X202" t="s">
        <v>80</v>
      </c>
      <c r="Y202" t="s">
        <v>59</v>
      </c>
      <c r="Z202" t="s">
        <v>61</v>
      </c>
      <c r="AA202" t="s">
        <v>62</v>
      </c>
      <c r="AB202">
        <v>1</v>
      </c>
      <c r="AD202" t="s">
        <v>54</v>
      </c>
      <c r="AE202" t="s">
        <v>54</v>
      </c>
      <c r="AF202" t="s">
        <v>64</v>
      </c>
      <c r="AG202" t="s">
        <v>54</v>
      </c>
      <c r="AH202" t="s">
        <v>65</v>
      </c>
      <c r="AI202" t="s">
        <v>248</v>
      </c>
      <c r="AJ202" t="s">
        <v>54</v>
      </c>
      <c r="AK202" t="s">
        <v>1474</v>
      </c>
      <c r="AL202" t="s">
        <v>1475</v>
      </c>
      <c r="AN202" s="19">
        <f>IF(ISBLANK(Mentors[[#This Row],[Onboarded Date]]),"",Mentors[[#This Row],[Onboarded Date]]-WEEKDAY(Mentors[[#This Row],[Onboarded Date]],2)+1)</f>
        <v>45656</v>
      </c>
    </row>
    <row r="203" spans="1:40" ht="19.2" customHeight="1" x14ac:dyDescent="0.3">
      <c r="A203" t="s">
        <v>1476</v>
      </c>
      <c r="B203" t="s">
        <v>358</v>
      </c>
      <c r="C203" t="s">
        <v>1477</v>
      </c>
      <c r="D203" t="s">
        <v>1478</v>
      </c>
      <c r="E203" t="s">
        <v>1479</v>
      </c>
      <c r="F203">
        <v>1990</v>
      </c>
      <c r="G203">
        <f>IF(OR(Mentors[[#This Row],[Career Start Year]]="NA",ISBLANK(Mentors[[#This Row],[Career Start Year]])),"",2026 - Mentors[[#This Row],[Career Start Year]])</f>
        <v>36</v>
      </c>
      <c r="H20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03" t="s">
        <v>51</v>
      </c>
      <c r="J203" t="s">
        <v>314</v>
      </c>
      <c r="K203" t="s">
        <v>1480</v>
      </c>
      <c r="L203" s="17">
        <v>9943766959</v>
      </c>
      <c r="M203" s="19">
        <v>45658</v>
      </c>
      <c r="O203" t="s">
        <v>0</v>
      </c>
      <c r="Q203" t="s">
        <v>63</v>
      </c>
      <c r="R203" t="s">
        <v>63</v>
      </c>
      <c r="S203" t="s">
        <v>63</v>
      </c>
      <c r="T203" t="s">
        <v>99</v>
      </c>
      <c r="U203" t="s">
        <v>77</v>
      </c>
      <c r="V203" t="s">
        <v>58</v>
      </c>
      <c r="W203" s="4" t="s">
        <v>58</v>
      </c>
      <c r="X203" s="4" t="s">
        <v>60</v>
      </c>
      <c r="Y203" s="4"/>
      <c r="Z203" t="s">
        <v>61</v>
      </c>
      <c r="AA203" t="s">
        <v>62</v>
      </c>
      <c r="AB203">
        <v>1</v>
      </c>
      <c r="AD203" t="s">
        <v>63</v>
      </c>
      <c r="AE203" t="s">
        <v>54</v>
      </c>
      <c r="AF203" t="s">
        <v>64</v>
      </c>
      <c r="AG203" t="s">
        <v>54</v>
      </c>
      <c r="AH203" t="s">
        <v>131</v>
      </c>
      <c r="AI203" t="s">
        <v>1168</v>
      </c>
      <c r="AJ203" t="s">
        <v>63</v>
      </c>
      <c r="AK203" t="s">
        <v>1481</v>
      </c>
      <c r="AL203" t="s">
        <v>1482</v>
      </c>
      <c r="AN203" s="19">
        <f>IF(ISBLANK(Mentors[[#This Row],[Onboarded Date]]),"",Mentors[[#This Row],[Onboarded Date]]-WEEKDAY(Mentors[[#This Row],[Onboarded Date]],2)+1)</f>
        <v>45656</v>
      </c>
    </row>
    <row r="204" spans="1:40" ht="19.2" customHeight="1" x14ac:dyDescent="0.3">
      <c r="A204" t="s">
        <v>1483</v>
      </c>
      <c r="B204" t="s">
        <v>1484</v>
      </c>
      <c r="C204" t="s">
        <v>115</v>
      </c>
      <c r="D204" t="s">
        <v>1485</v>
      </c>
      <c r="E204" t="s">
        <v>1486</v>
      </c>
      <c r="F204">
        <v>1979</v>
      </c>
      <c r="G204">
        <f>IF(OR(Mentors[[#This Row],[Career Start Year]]="NA",ISBLANK(Mentors[[#This Row],[Career Start Year]])),"",2026 - Mentors[[#This Row],[Career Start Year]])</f>
        <v>47</v>
      </c>
      <c r="H20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04" t="s">
        <v>51</v>
      </c>
      <c r="J204" t="s">
        <v>496</v>
      </c>
      <c r="K204" t="s">
        <v>1487</v>
      </c>
      <c r="L204" s="17">
        <v>9725330044</v>
      </c>
      <c r="M204" s="19">
        <v>45658</v>
      </c>
      <c r="O204" t="s">
        <v>0</v>
      </c>
      <c r="Q204" t="s">
        <v>54</v>
      </c>
      <c r="R204" t="s">
        <v>54</v>
      </c>
      <c r="S204" t="s">
        <v>54</v>
      </c>
      <c r="T204" t="s">
        <v>76</v>
      </c>
      <c r="U204" t="s">
        <v>99</v>
      </c>
      <c r="V204" t="s">
        <v>58</v>
      </c>
      <c r="W204" t="s">
        <v>79</v>
      </c>
      <c r="X204" t="s">
        <v>60</v>
      </c>
      <c r="Z204" t="s">
        <v>61</v>
      </c>
      <c r="AA204" t="s">
        <v>62</v>
      </c>
      <c r="AB204">
        <v>1</v>
      </c>
      <c r="AD204" t="s">
        <v>63</v>
      </c>
      <c r="AE204" t="s">
        <v>54</v>
      </c>
      <c r="AF204" t="s">
        <v>121</v>
      </c>
      <c r="AG204" t="s">
        <v>54</v>
      </c>
      <c r="AH204" t="s">
        <v>65</v>
      </c>
      <c r="AI204" t="s">
        <v>76</v>
      </c>
      <c r="AJ204" t="s">
        <v>54</v>
      </c>
      <c r="AK204" t="s">
        <v>1488</v>
      </c>
      <c r="AL204" t="s">
        <v>1489</v>
      </c>
      <c r="AN204" s="19">
        <f>IF(ISBLANK(Mentors[[#This Row],[Onboarded Date]]),"",Mentors[[#This Row],[Onboarded Date]]-WEEKDAY(Mentors[[#This Row],[Onboarded Date]],2)+1)</f>
        <v>45656</v>
      </c>
    </row>
    <row r="205" spans="1:40" ht="19.2" customHeight="1" x14ac:dyDescent="0.3">
      <c r="A205" t="s">
        <v>1490</v>
      </c>
      <c r="B205" t="s">
        <v>260</v>
      </c>
      <c r="C205" t="s">
        <v>115</v>
      </c>
      <c r="D205" t="s">
        <v>1491</v>
      </c>
      <c r="E205" t="s">
        <v>1492</v>
      </c>
      <c r="F205">
        <v>2010</v>
      </c>
      <c r="G205">
        <f>IF(OR(Mentors[[#This Row],[Career Start Year]]="NA",ISBLANK(Mentors[[#This Row],[Career Start Year]])),"",2026 - Mentors[[#This Row],[Career Start Year]])</f>
        <v>16</v>
      </c>
      <c r="H20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05" t="s">
        <v>51</v>
      </c>
      <c r="J205" t="s">
        <v>140</v>
      </c>
      <c r="K205" t="s">
        <v>1493</v>
      </c>
      <c r="L205" s="17">
        <v>7011447536</v>
      </c>
      <c r="M205" s="19">
        <v>45658</v>
      </c>
      <c r="O205" t="s">
        <v>0</v>
      </c>
      <c r="Q205" t="s">
        <v>54</v>
      </c>
      <c r="R205" t="s">
        <v>63</v>
      </c>
      <c r="S205" t="s">
        <v>63</v>
      </c>
      <c r="T205" t="s">
        <v>76</v>
      </c>
      <c r="U205" t="s">
        <v>99</v>
      </c>
      <c r="V205" t="s">
        <v>78</v>
      </c>
      <c r="W205" t="s">
        <v>79</v>
      </c>
      <c r="Z205" t="s">
        <v>61</v>
      </c>
      <c r="AA205" t="s">
        <v>62</v>
      </c>
      <c r="AB205">
        <v>1</v>
      </c>
      <c r="AD205" t="s">
        <v>54</v>
      </c>
      <c r="AE205" t="s">
        <v>54</v>
      </c>
      <c r="AF205" t="s">
        <v>121</v>
      </c>
      <c r="AG205" t="s">
        <v>54</v>
      </c>
      <c r="AH205" t="s">
        <v>152</v>
      </c>
      <c r="AI205" t="s">
        <v>1177</v>
      </c>
      <c r="AJ205" t="s">
        <v>54</v>
      </c>
      <c r="AK205" t="s">
        <v>1494</v>
      </c>
      <c r="AL205" t="s">
        <v>1495</v>
      </c>
      <c r="AN205" s="19">
        <f>IF(ISBLANK(Mentors[[#This Row],[Onboarded Date]]),"",Mentors[[#This Row],[Onboarded Date]]-WEEKDAY(Mentors[[#This Row],[Onboarded Date]],2)+1)</f>
        <v>45656</v>
      </c>
    </row>
    <row r="206" spans="1:40" ht="19.2" customHeight="1" x14ac:dyDescent="0.3">
      <c r="A206" t="s">
        <v>1496</v>
      </c>
      <c r="B206" t="s">
        <v>1497</v>
      </c>
      <c r="C206" t="s">
        <v>115</v>
      </c>
      <c r="D206" t="s">
        <v>1498</v>
      </c>
      <c r="E206" s="7" t="s">
        <v>1499</v>
      </c>
      <c r="F206">
        <v>1986</v>
      </c>
      <c r="G206">
        <f>IF(OR(Mentors[[#This Row],[Career Start Year]]="NA",ISBLANK(Mentors[[#This Row],[Career Start Year]])),"",2026 - Mentors[[#This Row],[Career Start Year]])</f>
        <v>40</v>
      </c>
      <c r="H20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06" t="s">
        <v>51</v>
      </c>
      <c r="J206" t="s">
        <v>118</v>
      </c>
      <c r="K206" t="s">
        <v>1500</v>
      </c>
      <c r="L206" s="17">
        <v>7738297682</v>
      </c>
      <c r="M206" s="19">
        <v>45658</v>
      </c>
      <c r="O206" t="s">
        <v>0</v>
      </c>
      <c r="Q206" t="s">
        <v>63</v>
      </c>
      <c r="R206" t="s">
        <v>63</v>
      </c>
      <c r="S206" t="s">
        <v>63</v>
      </c>
      <c r="T206" t="s">
        <v>76</v>
      </c>
      <c r="U206" t="s">
        <v>77</v>
      </c>
      <c r="V206" t="s">
        <v>58</v>
      </c>
      <c r="W206" t="s">
        <v>79</v>
      </c>
      <c r="Z206" t="s">
        <v>61</v>
      </c>
      <c r="AA206" t="s">
        <v>62</v>
      </c>
      <c r="AB206">
        <v>1</v>
      </c>
      <c r="AD206" t="s">
        <v>63</v>
      </c>
      <c r="AE206" t="s">
        <v>54</v>
      </c>
      <c r="AF206" t="s">
        <v>121</v>
      </c>
      <c r="AG206" t="s">
        <v>54</v>
      </c>
      <c r="AH206" t="s">
        <v>131</v>
      </c>
      <c r="AI206" t="s">
        <v>76</v>
      </c>
      <c r="AJ206" t="s">
        <v>54</v>
      </c>
      <c r="AK206" t="s">
        <v>1501</v>
      </c>
      <c r="AL206" t="s">
        <v>1502</v>
      </c>
      <c r="AN206" s="19">
        <f>IF(ISBLANK(Mentors[[#This Row],[Onboarded Date]]),"",Mentors[[#This Row],[Onboarded Date]]-WEEKDAY(Mentors[[#This Row],[Onboarded Date]],2)+1)</f>
        <v>45656</v>
      </c>
    </row>
    <row r="207" spans="1:40" ht="19.2" customHeight="1" x14ac:dyDescent="0.3">
      <c r="A207" t="s">
        <v>1503</v>
      </c>
      <c r="B207" t="s">
        <v>1504</v>
      </c>
      <c r="C207" t="s">
        <v>1505</v>
      </c>
      <c r="D207" t="s">
        <v>1506</v>
      </c>
      <c r="E207" t="s">
        <v>1507</v>
      </c>
      <c r="F207">
        <v>2005</v>
      </c>
      <c r="G207">
        <f>IF(OR(Mentors[[#This Row],[Career Start Year]]="NA",ISBLANK(Mentors[[#This Row],[Career Start Year]])),"",2026 - Mentors[[#This Row],[Career Start Year]])</f>
        <v>21</v>
      </c>
      <c r="H20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07" t="s">
        <v>51</v>
      </c>
      <c r="J207" t="s">
        <v>196</v>
      </c>
      <c r="K207" t="s">
        <v>1508</v>
      </c>
      <c r="L207" s="17">
        <v>9886552373</v>
      </c>
      <c r="M207" s="19">
        <v>45658</v>
      </c>
      <c r="O207" t="s">
        <v>0</v>
      </c>
      <c r="Q207" t="s">
        <v>54</v>
      </c>
      <c r="R207" t="s">
        <v>63</v>
      </c>
      <c r="S207" t="s">
        <v>54</v>
      </c>
      <c r="T207" t="s">
        <v>77</v>
      </c>
      <c r="U207" t="s">
        <v>65</v>
      </c>
      <c r="V207" t="s">
        <v>58</v>
      </c>
      <c r="W207" s="4" t="s">
        <v>282</v>
      </c>
      <c r="X207" s="4" t="s">
        <v>59</v>
      </c>
      <c r="Y207" s="4" t="s">
        <v>60</v>
      </c>
      <c r="Z207" t="s">
        <v>61</v>
      </c>
      <c r="AA207" t="s">
        <v>62</v>
      </c>
      <c r="AB207">
        <v>1</v>
      </c>
      <c r="AD207" t="s">
        <v>63</v>
      </c>
      <c r="AE207" t="s">
        <v>54</v>
      </c>
      <c r="AF207" t="s">
        <v>64</v>
      </c>
      <c r="AG207" t="s">
        <v>54</v>
      </c>
      <c r="AH207" t="s">
        <v>152</v>
      </c>
      <c r="AI207" t="s">
        <v>412</v>
      </c>
      <c r="AJ207" t="s">
        <v>54</v>
      </c>
      <c r="AK207" t="s">
        <v>1509</v>
      </c>
      <c r="AL207" t="s">
        <v>1510</v>
      </c>
      <c r="AN207" s="19">
        <f>IF(ISBLANK(Mentors[[#This Row],[Onboarded Date]]),"",Mentors[[#This Row],[Onboarded Date]]-WEEKDAY(Mentors[[#This Row],[Onboarded Date]],2)+1)</f>
        <v>45656</v>
      </c>
    </row>
    <row r="208" spans="1:40" ht="19.2" customHeight="1" x14ac:dyDescent="0.3">
      <c r="A208" t="s">
        <v>1511</v>
      </c>
      <c r="B208" t="s">
        <v>1247</v>
      </c>
      <c r="C208" t="s">
        <v>1512</v>
      </c>
      <c r="D208" t="s">
        <v>1513</v>
      </c>
      <c r="E208" t="s">
        <v>1514</v>
      </c>
      <c r="F208">
        <v>2009</v>
      </c>
      <c r="G208">
        <f>IF(OR(Mentors[[#This Row],[Career Start Year]]="NA",ISBLANK(Mentors[[#This Row],[Career Start Year]])),"",2026 - Mentors[[#This Row],[Career Start Year]])</f>
        <v>17</v>
      </c>
      <c r="H20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08" t="s">
        <v>51</v>
      </c>
      <c r="J208" t="s">
        <v>314</v>
      </c>
      <c r="K208" t="s">
        <v>1515</v>
      </c>
      <c r="L208" s="17">
        <v>9840675674</v>
      </c>
      <c r="M208" s="19">
        <v>45658</v>
      </c>
      <c r="N208" t="s">
        <v>4</v>
      </c>
      <c r="O208" t="s">
        <v>0</v>
      </c>
      <c r="Q208" t="s">
        <v>54</v>
      </c>
      <c r="R208" t="s">
        <v>54</v>
      </c>
      <c r="S208" t="s">
        <v>54</v>
      </c>
      <c r="T208" t="s">
        <v>110</v>
      </c>
      <c r="U208" t="s">
        <v>919</v>
      </c>
      <c r="V208" t="s">
        <v>306</v>
      </c>
      <c r="W208" t="s">
        <v>65</v>
      </c>
      <c r="X208" t="s">
        <v>80</v>
      </c>
      <c r="Z208" t="s">
        <v>101</v>
      </c>
      <c r="AA208" t="s">
        <v>62</v>
      </c>
      <c r="AB208">
        <v>1</v>
      </c>
      <c r="AD208" t="s">
        <v>54</v>
      </c>
      <c r="AE208" t="s">
        <v>54</v>
      </c>
      <c r="AF208" t="s">
        <v>64</v>
      </c>
      <c r="AG208" t="s">
        <v>54</v>
      </c>
      <c r="AH208" t="s">
        <v>65</v>
      </c>
      <c r="AI208" t="s">
        <v>248</v>
      </c>
      <c r="AJ208" t="s">
        <v>54</v>
      </c>
      <c r="AK208" t="s">
        <v>1516</v>
      </c>
      <c r="AL208" t="s">
        <v>1517</v>
      </c>
      <c r="AN208" s="19">
        <f>IF(ISBLANK(Mentors[[#This Row],[Onboarded Date]]),"",Mentors[[#This Row],[Onboarded Date]]-WEEKDAY(Mentors[[#This Row],[Onboarded Date]],2)+1)</f>
        <v>45656</v>
      </c>
    </row>
    <row r="209" spans="1:40" ht="19.2" customHeight="1" x14ac:dyDescent="0.3">
      <c r="A209" t="s">
        <v>1518</v>
      </c>
      <c r="B209" t="s">
        <v>1519</v>
      </c>
      <c r="C209" t="s">
        <v>1520</v>
      </c>
      <c r="D209" t="s">
        <v>1521</v>
      </c>
      <c r="E209" t="s">
        <v>1522</v>
      </c>
      <c r="F209">
        <v>2007</v>
      </c>
      <c r="G209">
        <f>IF(OR(Mentors[[#This Row],[Career Start Year]]="NA",ISBLANK(Mentors[[#This Row],[Career Start Year]])),"",2026 - Mentors[[#This Row],[Career Start Year]])</f>
        <v>19</v>
      </c>
      <c r="H20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09" t="s">
        <v>51</v>
      </c>
      <c r="J209" t="s">
        <v>74</v>
      </c>
      <c r="K209" t="s">
        <v>1523</v>
      </c>
      <c r="L209" s="17">
        <v>8076960465</v>
      </c>
      <c r="M209" s="19">
        <v>45658</v>
      </c>
      <c r="N209" t="s">
        <v>4</v>
      </c>
      <c r="O209" t="s">
        <v>0</v>
      </c>
      <c r="Q209" t="s">
        <v>54</v>
      </c>
      <c r="R209" t="s">
        <v>54</v>
      </c>
      <c r="S209" t="s">
        <v>54</v>
      </c>
      <c r="T209" t="s">
        <v>76</v>
      </c>
      <c r="U209" t="s">
        <v>77</v>
      </c>
      <c r="V209" t="s">
        <v>613</v>
      </c>
      <c r="W209" t="s">
        <v>65</v>
      </c>
      <c r="Z209" t="s">
        <v>81</v>
      </c>
      <c r="AA209" t="s">
        <v>62</v>
      </c>
      <c r="AB209">
        <v>1</v>
      </c>
      <c r="AD209" t="s">
        <v>54</v>
      </c>
      <c r="AE209" t="s">
        <v>54</v>
      </c>
      <c r="AF209" t="s">
        <v>64</v>
      </c>
      <c r="AG209" t="s">
        <v>54</v>
      </c>
      <c r="AH209" t="s">
        <v>65</v>
      </c>
      <c r="AI209" t="s">
        <v>76</v>
      </c>
      <c r="AJ209" t="s">
        <v>54</v>
      </c>
      <c r="AK209" t="s">
        <v>1524</v>
      </c>
      <c r="AL209" t="s">
        <v>1525</v>
      </c>
      <c r="AN209" s="19">
        <f>IF(ISBLANK(Mentors[[#This Row],[Onboarded Date]]),"",Mentors[[#This Row],[Onboarded Date]]-WEEKDAY(Mentors[[#This Row],[Onboarded Date]],2)+1)</f>
        <v>45656</v>
      </c>
    </row>
    <row r="210" spans="1:40" ht="19.2" customHeight="1" x14ac:dyDescent="0.3">
      <c r="A210" t="s">
        <v>1526</v>
      </c>
      <c r="B210" t="s">
        <v>1527</v>
      </c>
      <c r="C210" t="s">
        <v>115</v>
      </c>
      <c r="D210" t="s">
        <v>1528</v>
      </c>
      <c r="E210" t="s">
        <v>1529</v>
      </c>
      <c r="F210">
        <v>1993</v>
      </c>
      <c r="G210">
        <f>IF(OR(Mentors[[#This Row],[Career Start Year]]="NA",ISBLANK(Mentors[[#This Row],[Career Start Year]])),"",2026 - Mentors[[#This Row],[Career Start Year]])</f>
        <v>33</v>
      </c>
      <c r="H21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10" t="s">
        <v>51</v>
      </c>
      <c r="J210" t="s">
        <v>314</v>
      </c>
      <c r="K210" t="s">
        <v>1530</v>
      </c>
      <c r="L210" s="17">
        <v>9841114226</v>
      </c>
      <c r="M210" s="19">
        <v>45658</v>
      </c>
      <c r="N210" t="s">
        <v>4</v>
      </c>
      <c r="O210" t="s">
        <v>0</v>
      </c>
      <c r="Q210" t="s">
        <v>63</v>
      </c>
      <c r="R210" t="s">
        <v>63</v>
      </c>
      <c r="S210" t="s">
        <v>63</v>
      </c>
      <c r="T210" t="s">
        <v>187</v>
      </c>
      <c r="U210" t="s">
        <v>77</v>
      </c>
      <c r="V210" t="s">
        <v>765</v>
      </c>
      <c r="W210" t="s">
        <v>65</v>
      </c>
      <c r="Z210" t="s">
        <v>61</v>
      </c>
      <c r="AA210" t="s">
        <v>62</v>
      </c>
      <c r="AB210">
        <v>1</v>
      </c>
      <c r="AD210" t="s">
        <v>54</v>
      </c>
      <c r="AE210" t="s">
        <v>54</v>
      </c>
      <c r="AF210" t="s">
        <v>121</v>
      </c>
      <c r="AG210" t="s">
        <v>54</v>
      </c>
      <c r="AH210" t="s">
        <v>65</v>
      </c>
      <c r="AI210" t="s">
        <v>412</v>
      </c>
      <c r="AJ210" t="s">
        <v>54</v>
      </c>
      <c r="AK210" t="s">
        <v>1531</v>
      </c>
      <c r="AL210" t="s">
        <v>1532</v>
      </c>
      <c r="AN210" s="19">
        <f>IF(ISBLANK(Mentors[[#This Row],[Onboarded Date]]),"",Mentors[[#This Row],[Onboarded Date]]-WEEKDAY(Mentors[[#This Row],[Onboarded Date]],2)+1)</f>
        <v>45656</v>
      </c>
    </row>
    <row r="211" spans="1:40" ht="19.2" customHeight="1" x14ac:dyDescent="0.3">
      <c r="A211" t="s">
        <v>1533</v>
      </c>
      <c r="B211" t="s">
        <v>358</v>
      </c>
      <c r="C211" t="s">
        <v>1534</v>
      </c>
      <c r="D211" t="s">
        <v>1535</v>
      </c>
      <c r="E211" t="s">
        <v>1536</v>
      </c>
      <c r="F211">
        <v>1993</v>
      </c>
      <c r="G211">
        <f>IF(OR(Mentors[[#This Row],[Career Start Year]]="NA",ISBLANK(Mentors[[#This Row],[Career Start Year]])),"",2026 - Mentors[[#This Row],[Career Start Year]])</f>
        <v>33</v>
      </c>
      <c r="H21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11" t="s">
        <v>51</v>
      </c>
      <c r="J211" t="s">
        <v>118</v>
      </c>
      <c r="K211" t="s">
        <v>1537</v>
      </c>
      <c r="L211" s="17">
        <v>9820235054</v>
      </c>
      <c r="M211" s="19">
        <v>45658</v>
      </c>
      <c r="N211" t="s">
        <v>4</v>
      </c>
      <c r="O211" t="s">
        <v>0</v>
      </c>
      <c r="Q211" t="s">
        <v>54</v>
      </c>
      <c r="R211" t="s">
        <v>54</v>
      </c>
      <c r="S211" t="s">
        <v>54</v>
      </c>
      <c r="T211" t="s">
        <v>56</v>
      </c>
      <c r="U211" t="s">
        <v>77</v>
      </c>
      <c r="V211" t="s">
        <v>1538</v>
      </c>
      <c r="W211" t="s">
        <v>65</v>
      </c>
      <c r="X211" t="s">
        <v>80</v>
      </c>
      <c r="Y211" t="s">
        <v>59</v>
      </c>
      <c r="Z211" t="s">
        <v>101</v>
      </c>
      <c r="AA211" t="s">
        <v>62</v>
      </c>
      <c r="AB211">
        <v>1</v>
      </c>
      <c r="AD211" t="s">
        <v>54</v>
      </c>
      <c r="AE211" t="s">
        <v>54</v>
      </c>
      <c r="AF211" t="s">
        <v>64</v>
      </c>
      <c r="AG211" t="s">
        <v>54</v>
      </c>
      <c r="AH211" t="s">
        <v>131</v>
      </c>
      <c r="AI211" t="s">
        <v>132</v>
      </c>
      <c r="AJ211" t="s">
        <v>54</v>
      </c>
      <c r="AK211" t="s">
        <v>1539</v>
      </c>
      <c r="AL211" t="s">
        <v>1540</v>
      </c>
      <c r="AN211" s="19">
        <f>IF(ISBLANK(Mentors[[#This Row],[Onboarded Date]]),"",Mentors[[#This Row],[Onboarded Date]]-WEEKDAY(Mentors[[#This Row],[Onboarded Date]],2)+1)</f>
        <v>45656</v>
      </c>
    </row>
    <row r="212" spans="1:40" ht="19.2" customHeight="1" x14ac:dyDescent="0.3">
      <c r="A212" t="s">
        <v>1541</v>
      </c>
      <c r="B212" t="s">
        <v>152</v>
      </c>
      <c r="C212" t="s">
        <v>115</v>
      </c>
      <c r="D212" t="s">
        <v>1542</v>
      </c>
      <c r="E212" t="s">
        <v>1543</v>
      </c>
      <c r="F212">
        <v>2022</v>
      </c>
      <c r="G212">
        <f>IF(OR(Mentors[[#This Row],[Career Start Year]]="NA",ISBLANK(Mentors[[#This Row],[Career Start Year]])),"",2026 - Mentors[[#This Row],[Career Start Year]])</f>
        <v>4</v>
      </c>
      <c r="H21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212" t="s">
        <v>51</v>
      </c>
      <c r="J212" t="s">
        <v>1544</v>
      </c>
      <c r="K212" t="s">
        <v>1545</v>
      </c>
      <c r="L212" s="17">
        <v>9492330008</v>
      </c>
      <c r="M212" s="19">
        <v>45658</v>
      </c>
      <c r="O212" t="s">
        <v>0</v>
      </c>
      <c r="Q212" t="s">
        <v>54</v>
      </c>
      <c r="R212" t="s">
        <v>63</v>
      </c>
      <c r="S212" t="s">
        <v>63</v>
      </c>
      <c r="T212" t="s">
        <v>77</v>
      </c>
      <c r="U212" t="s">
        <v>65</v>
      </c>
      <c r="V212" t="s">
        <v>198</v>
      </c>
      <c r="W212" t="s">
        <v>65</v>
      </c>
      <c r="Z212" t="s">
        <v>101</v>
      </c>
      <c r="AA212" t="s">
        <v>62</v>
      </c>
      <c r="AB212">
        <v>1</v>
      </c>
      <c r="AD212" t="s">
        <v>54</v>
      </c>
      <c r="AE212" t="s">
        <v>54</v>
      </c>
      <c r="AF212" t="s">
        <v>121</v>
      </c>
      <c r="AG212" t="s">
        <v>54</v>
      </c>
      <c r="AH212" t="s">
        <v>152</v>
      </c>
      <c r="AI212" t="s">
        <v>248</v>
      </c>
      <c r="AJ212" t="s">
        <v>54</v>
      </c>
      <c r="AK212" t="s">
        <v>1546</v>
      </c>
      <c r="AL212" t="s">
        <v>1547</v>
      </c>
      <c r="AN212" s="19">
        <f>IF(ISBLANK(Mentors[[#This Row],[Onboarded Date]]),"",Mentors[[#This Row],[Onboarded Date]]-WEEKDAY(Mentors[[#This Row],[Onboarded Date]],2)+1)</f>
        <v>45656</v>
      </c>
    </row>
    <row r="213" spans="1:40" ht="19.2" customHeight="1" x14ac:dyDescent="0.3">
      <c r="A213" t="s">
        <v>1548</v>
      </c>
      <c r="B213" t="s">
        <v>840</v>
      </c>
      <c r="C213" t="s">
        <v>1549</v>
      </c>
      <c r="D213" t="s">
        <v>1550</v>
      </c>
      <c r="E213" t="s">
        <v>1551</v>
      </c>
      <c r="F213">
        <v>2005</v>
      </c>
      <c r="G213">
        <f>IF(OR(Mentors[[#This Row],[Career Start Year]]="NA",ISBLANK(Mentors[[#This Row],[Career Start Year]])),"",2026 - Mentors[[#This Row],[Career Start Year]])</f>
        <v>21</v>
      </c>
      <c r="H21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13" t="s">
        <v>51</v>
      </c>
      <c r="J213" t="s">
        <v>118</v>
      </c>
      <c r="K213" t="s">
        <v>1552</v>
      </c>
      <c r="L213" s="17">
        <v>9819506263</v>
      </c>
      <c r="M213" s="19">
        <v>45658</v>
      </c>
      <c r="O213" t="s">
        <v>0</v>
      </c>
      <c r="Q213" t="s">
        <v>54</v>
      </c>
      <c r="R213" t="s">
        <v>54</v>
      </c>
      <c r="S213" t="s">
        <v>54</v>
      </c>
      <c r="T213" t="s">
        <v>76</v>
      </c>
      <c r="U213" t="s">
        <v>65</v>
      </c>
      <c r="V213" t="s">
        <v>481</v>
      </c>
      <c r="W213" t="s">
        <v>78</v>
      </c>
      <c r="Z213" t="s">
        <v>101</v>
      </c>
      <c r="AA213" t="s">
        <v>62</v>
      </c>
      <c r="AB213">
        <v>1</v>
      </c>
      <c r="AD213" t="s">
        <v>54</v>
      </c>
      <c r="AE213" t="s">
        <v>54</v>
      </c>
      <c r="AF213" t="s">
        <v>64</v>
      </c>
      <c r="AG213" t="s">
        <v>54</v>
      </c>
      <c r="AH213" t="s">
        <v>65</v>
      </c>
      <c r="AI213" t="s">
        <v>76</v>
      </c>
      <c r="AJ213" t="s">
        <v>54</v>
      </c>
      <c r="AK213" t="s">
        <v>1553</v>
      </c>
      <c r="AL213" t="s">
        <v>1554</v>
      </c>
      <c r="AN213" s="19">
        <f>IF(ISBLANK(Mentors[[#This Row],[Onboarded Date]]),"",Mentors[[#This Row],[Onboarded Date]]-WEEKDAY(Mentors[[#This Row],[Onboarded Date]],2)+1)</f>
        <v>45656</v>
      </c>
    </row>
    <row r="214" spans="1:40" ht="19.2" customHeight="1" x14ac:dyDescent="0.3">
      <c r="A214" t="s">
        <v>1555</v>
      </c>
      <c r="B214" t="s">
        <v>1556</v>
      </c>
      <c r="C214" t="s">
        <v>1557</v>
      </c>
      <c r="D214" t="s">
        <v>1558</v>
      </c>
      <c r="E214" t="s">
        <v>1559</v>
      </c>
      <c r="F214">
        <v>2018</v>
      </c>
      <c r="G214">
        <f>IF(OR(Mentors[[#This Row],[Career Start Year]]="NA",ISBLANK(Mentors[[#This Row],[Career Start Year]])),"",2026 - Mentors[[#This Row],[Career Start Year]])</f>
        <v>8</v>
      </c>
      <c r="H21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214" t="s">
        <v>51</v>
      </c>
      <c r="J214" t="s">
        <v>88</v>
      </c>
      <c r="K214" t="s">
        <v>1560</v>
      </c>
      <c r="L214" s="17">
        <v>9121524803</v>
      </c>
      <c r="M214" s="19">
        <v>45658</v>
      </c>
      <c r="O214" t="s">
        <v>0</v>
      </c>
      <c r="Q214" t="s">
        <v>54</v>
      </c>
      <c r="R214" t="s">
        <v>63</v>
      </c>
      <c r="S214" t="s">
        <v>63</v>
      </c>
      <c r="T214" t="s">
        <v>499</v>
      </c>
      <c r="U214" t="s">
        <v>99</v>
      </c>
      <c r="V214" t="s">
        <v>78</v>
      </c>
      <c r="W214" t="s">
        <v>481</v>
      </c>
      <c r="X214" t="s">
        <v>80</v>
      </c>
      <c r="Y214" t="s">
        <v>59</v>
      </c>
      <c r="Z214" t="s">
        <v>101</v>
      </c>
      <c r="AA214" t="s">
        <v>62</v>
      </c>
      <c r="AB214">
        <v>1</v>
      </c>
      <c r="AD214" t="s">
        <v>54</v>
      </c>
      <c r="AE214" t="s">
        <v>54</v>
      </c>
      <c r="AF214" t="s">
        <v>64</v>
      </c>
      <c r="AG214" t="s">
        <v>54</v>
      </c>
      <c r="AH214" t="s">
        <v>131</v>
      </c>
      <c r="AI214" t="s">
        <v>248</v>
      </c>
      <c r="AJ214" t="s">
        <v>54</v>
      </c>
      <c r="AK214" t="s">
        <v>1561</v>
      </c>
      <c r="AL214" t="s">
        <v>1562</v>
      </c>
      <c r="AN214" s="19">
        <f>IF(ISBLANK(Mentors[[#This Row],[Onboarded Date]]),"",Mentors[[#This Row],[Onboarded Date]]-WEEKDAY(Mentors[[#This Row],[Onboarded Date]],2)+1)</f>
        <v>45656</v>
      </c>
    </row>
    <row r="215" spans="1:40" ht="19.2" customHeight="1" x14ac:dyDescent="0.3">
      <c r="A215" t="s">
        <v>1563</v>
      </c>
      <c r="B215" t="s">
        <v>1564</v>
      </c>
      <c r="C215" t="s">
        <v>1565</v>
      </c>
      <c r="D215" t="s">
        <v>1566</v>
      </c>
      <c r="E215" t="s">
        <v>1567</v>
      </c>
      <c r="F215">
        <v>2019</v>
      </c>
      <c r="G215">
        <f>IF(OR(Mentors[[#This Row],[Career Start Year]]="NA",ISBLANK(Mentors[[#This Row],[Career Start Year]])),"",2026 - Mentors[[#This Row],[Career Start Year]])</f>
        <v>7</v>
      </c>
      <c r="H21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215" t="s">
        <v>51</v>
      </c>
      <c r="J215" t="s">
        <v>118</v>
      </c>
      <c r="K215" t="s">
        <v>1568</v>
      </c>
      <c r="L215" s="17">
        <v>9833739912</v>
      </c>
      <c r="M215" s="19">
        <v>45658</v>
      </c>
      <c r="N215" t="s">
        <v>6</v>
      </c>
      <c r="O215" t="s">
        <v>0</v>
      </c>
      <c r="Q215" t="s">
        <v>63</v>
      </c>
      <c r="R215" t="s">
        <v>63</v>
      </c>
      <c r="S215" t="s">
        <v>63</v>
      </c>
      <c r="T215" t="s">
        <v>1569</v>
      </c>
      <c r="U215" t="s">
        <v>79</v>
      </c>
      <c r="V215" t="s">
        <v>78</v>
      </c>
      <c r="W215" t="s">
        <v>120</v>
      </c>
      <c r="X215" t="s">
        <v>59</v>
      </c>
      <c r="Z215" t="s">
        <v>81</v>
      </c>
      <c r="AA215" t="s">
        <v>62</v>
      </c>
      <c r="AB215">
        <v>1</v>
      </c>
      <c r="AD215" t="s">
        <v>54</v>
      </c>
      <c r="AE215" t="s">
        <v>54</v>
      </c>
      <c r="AF215" t="s">
        <v>64</v>
      </c>
      <c r="AG215" t="s">
        <v>54</v>
      </c>
      <c r="AH215" t="s">
        <v>131</v>
      </c>
      <c r="AI215" t="s">
        <v>1177</v>
      </c>
      <c r="AJ215" t="s">
        <v>54</v>
      </c>
      <c r="AK215" t="s">
        <v>1570</v>
      </c>
      <c r="AL215" t="s">
        <v>1571</v>
      </c>
      <c r="AN215" s="19">
        <f>IF(ISBLANK(Mentors[[#This Row],[Onboarded Date]]),"",Mentors[[#This Row],[Onboarded Date]]-WEEKDAY(Mentors[[#This Row],[Onboarded Date]],2)+1)</f>
        <v>45656</v>
      </c>
    </row>
    <row r="216" spans="1:40" ht="19.2" customHeight="1" x14ac:dyDescent="0.3">
      <c r="A216" t="s">
        <v>1572</v>
      </c>
      <c r="B216" t="s">
        <v>152</v>
      </c>
      <c r="C216" t="s">
        <v>1573</v>
      </c>
      <c r="D216" t="s">
        <v>1574</v>
      </c>
      <c r="E216" t="s">
        <v>1575</v>
      </c>
      <c r="F216">
        <v>2000</v>
      </c>
      <c r="G216">
        <f>IF(OR(Mentors[[#This Row],[Career Start Year]]="NA",ISBLANK(Mentors[[#This Row],[Career Start Year]])),"",2026 - Mentors[[#This Row],[Career Start Year]])</f>
        <v>26</v>
      </c>
      <c r="H21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16" t="s">
        <v>51</v>
      </c>
      <c r="J216" t="s">
        <v>88</v>
      </c>
      <c r="K216" t="s">
        <v>1576</v>
      </c>
      <c r="L216" s="17">
        <v>7396446227</v>
      </c>
      <c r="M216" s="19">
        <v>45658</v>
      </c>
      <c r="O216" t="s">
        <v>0</v>
      </c>
      <c r="Q216" t="s">
        <v>63</v>
      </c>
      <c r="R216" t="s">
        <v>63</v>
      </c>
      <c r="S216" t="s">
        <v>54</v>
      </c>
      <c r="T216" t="s">
        <v>99</v>
      </c>
      <c r="U216" t="s">
        <v>100</v>
      </c>
      <c r="V216" t="s">
        <v>78</v>
      </c>
      <c r="W216" t="s">
        <v>57</v>
      </c>
      <c r="X216" t="s">
        <v>59</v>
      </c>
      <c r="Y216" t="s">
        <v>60</v>
      </c>
      <c r="Z216" t="s">
        <v>61</v>
      </c>
      <c r="AA216" t="s">
        <v>62</v>
      </c>
      <c r="AB216">
        <v>1</v>
      </c>
      <c r="AD216" t="s">
        <v>63</v>
      </c>
      <c r="AE216" t="s">
        <v>63</v>
      </c>
      <c r="AG216" t="s">
        <v>54</v>
      </c>
      <c r="AH216" t="s">
        <v>152</v>
      </c>
      <c r="AI216" t="s">
        <v>248</v>
      </c>
      <c r="AJ216" t="s">
        <v>63</v>
      </c>
      <c r="AK216" t="s">
        <v>1577</v>
      </c>
      <c r="AL216" t="s">
        <v>1578</v>
      </c>
      <c r="AN216" s="19">
        <f>IF(ISBLANK(Mentors[[#This Row],[Onboarded Date]]),"",Mentors[[#This Row],[Onboarded Date]]-WEEKDAY(Mentors[[#This Row],[Onboarded Date]],2)+1)</f>
        <v>45656</v>
      </c>
    </row>
    <row r="217" spans="1:40" ht="19.2" customHeight="1" x14ac:dyDescent="0.3">
      <c r="A217" t="s">
        <v>1579</v>
      </c>
      <c r="B217" t="s">
        <v>1580</v>
      </c>
      <c r="C217" t="s">
        <v>1581</v>
      </c>
      <c r="D217" t="s">
        <v>1582</v>
      </c>
      <c r="E217" t="s">
        <v>1583</v>
      </c>
      <c r="F217">
        <v>2007</v>
      </c>
      <c r="G217">
        <f>IF(OR(Mentors[[#This Row],[Career Start Year]]="NA",ISBLANK(Mentors[[#This Row],[Career Start Year]])),"",2026 - Mentors[[#This Row],[Career Start Year]])</f>
        <v>19</v>
      </c>
      <c r="H21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17" t="s">
        <v>51</v>
      </c>
      <c r="J217" t="s">
        <v>496</v>
      </c>
      <c r="K217" t="s">
        <v>1584</v>
      </c>
      <c r="L217" s="17">
        <v>9998287655</v>
      </c>
      <c r="M217" s="19">
        <v>45658</v>
      </c>
      <c r="O217" t="s">
        <v>0</v>
      </c>
      <c r="Q217" t="s">
        <v>54</v>
      </c>
      <c r="R217" t="s">
        <v>54</v>
      </c>
      <c r="S217" t="s">
        <v>54</v>
      </c>
      <c r="T217" t="s">
        <v>77</v>
      </c>
      <c r="U217" t="s">
        <v>79</v>
      </c>
      <c r="V217" t="s">
        <v>57</v>
      </c>
      <c r="W217" t="s">
        <v>78</v>
      </c>
      <c r="Z217" t="s">
        <v>61</v>
      </c>
      <c r="AA217" t="s">
        <v>62</v>
      </c>
      <c r="AB217">
        <v>1</v>
      </c>
      <c r="AD217" t="s">
        <v>54</v>
      </c>
      <c r="AE217" t="s">
        <v>54</v>
      </c>
      <c r="AF217" t="s">
        <v>64</v>
      </c>
      <c r="AG217" t="s">
        <v>54</v>
      </c>
      <c r="AH217" t="s">
        <v>65</v>
      </c>
      <c r="AI217" t="s">
        <v>412</v>
      </c>
      <c r="AJ217" t="s">
        <v>54</v>
      </c>
      <c r="AK217" t="s">
        <v>1585</v>
      </c>
      <c r="AL217" t="s">
        <v>1586</v>
      </c>
      <c r="AN217" s="19">
        <f>IF(ISBLANK(Mentors[[#This Row],[Onboarded Date]]),"",Mentors[[#This Row],[Onboarded Date]]-WEEKDAY(Mentors[[#This Row],[Onboarded Date]],2)+1)</f>
        <v>45656</v>
      </c>
    </row>
    <row r="218" spans="1:40" ht="19.2" customHeight="1" x14ac:dyDescent="0.3">
      <c r="A218" t="s">
        <v>1587</v>
      </c>
      <c r="B218" t="s">
        <v>1588</v>
      </c>
      <c r="C218" t="s">
        <v>1589</v>
      </c>
      <c r="D218" t="s">
        <v>1590</v>
      </c>
      <c r="E218" t="s">
        <v>1591</v>
      </c>
      <c r="F218">
        <v>1998</v>
      </c>
      <c r="G218">
        <f>IF(OR(Mentors[[#This Row],[Career Start Year]]="NA",ISBLANK(Mentors[[#This Row],[Career Start Year]])),"",2026 - Mentors[[#This Row],[Career Start Year]])</f>
        <v>28</v>
      </c>
      <c r="H21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18" t="s">
        <v>51</v>
      </c>
      <c r="J218" t="s">
        <v>280</v>
      </c>
      <c r="K218" t="s">
        <v>1592</v>
      </c>
      <c r="L218" s="17">
        <v>9924102213</v>
      </c>
      <c r="M218" s="19">
        <v>45658</v>
      </c>
      <c r="O218" s="5" t="s">
        <v>0</v>
      </c>
      <c r="Q218" t="s">
        <v>54</v>
      </c>
      <c r="R218" t="s">
        <v>54</v>
      </c>
      <c r="S218" t="s">
        <v>63</v>
      </c>
      <c r="T218" t="s">
        <v>110</v>
      </c>
      <c r="U218" t="s">
        <v>77</v>
      </c>
      <c r="V218" t="s">
        <v>78</v>
      </c>
      <c r="W218" t="s">
        <v>79</v>
      </c>
      <c r="X218" t="s">
        <v>80</v>
      </c>
      <c r="Y218" t="s">
        <v>59</v>
      </c>
      <c r="Z218" t="s">
        <v>101</v>
      </c>
      <c r="AA218" t="s">
        <v>62</v>
      </c>
      <c r="AB218">
        <v>1</v>
      </c>
      <c r="AD218" t="s">
        <v>54</v>
      </c>
      <c r="AE218" t="s">
        <v>54</v>
      </c>
      <c r="AF218" t="s">
        <v>64</v>
      </c>
      <c r="AG218" t="s">
        <v>54</v>
      </c>
      <c r="AH218" t="s">
        <v>65</v>
      </c>
      <c r="AI218" t="s">
        <v>122</v>
      </c>
      <c r="AJ218" t="s">
        <v>54</v>
      </c>
      <c r="AK218" t="s">
        <v>1593</v>
      </c>
      <c r="AL218" t="s">
        <v>1594</v>
      </c>
      <c r="AN218" s="19">
        <f>IF(ISBLANK(Mentors[[#This Row],[Onboarded Date]]),"",Mentors[[#This Row],[Onboarded Date]]-WEEKDAY(Mentors[[#This Row],[Onboarded Date]],2)+1)</f>
        <v>45656</v>
      </c>
    </row>
    <row r="219" spans="1:40" ht="19.2" customHeight="1" x14ac:dyDescent="0.3">
      <c r="A219" t="s">
        <v>1595</v>
      </c>
      <c r="B219" t="s">
        <v>152</v>
      </c>
      <c r="C219" t="s">
        <v>1596</v>
      </c>
      <c r="D219" s="4" t="s">
        <v>1597</v>
      </c>
      <c r="E219" s="7" t="s">
        <v>1598</v>
      </c>
      <c r="F219">
        <v>2003</v>
      </c>
      <c r="G219">
        <f>IF(OR(Mentors[[#This Row],[Career Start Year]]="NA",ISBLANK(Mentors[[#This Row],[Career Start Year]])),"",2026 - Mentors[[#This Row],[Career Start Year]])</f>
        <v>23</v>
      </c>
      <c r="H21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19" t="s">
        <v>51</v>
      </c>
      <c r="J219" t="s">
        <v>118</v>
      </c>
      <c r="K219" t="s">
        <v>1599</v>
      </c>
      <c r="L219" s="17">
        <v>9820166033</v>
      </c>
      <c r="M219" s="19">
        <v>45658</v>
      </c>
      <c r="O219" s="5" t="s">
        <v>0</v>
      </c>
      <c r="Q219" t="s">
        <v>63</v>
      </c>
      <c r="R219" t="s">
        <v>63</v>
      </c>
      <c r="S219" t="s">
        <v>63</v>
      </c>
      <c r="T219" t="s">
        <v>99</v>
      </c>
      <c r="U219" t="s">
        <v>445</v>
      </c>
      <c r="V219" t="s">
        <v>78</v>
      </c>
      <c r="W219" t="s">
        <v>79</v>
      </c>
      <c r="X219" t="s">
        <v>1120</v>
      </c>
      <c r="Z219" t="s">
        <v>61</v>
      </c>
      <c r="AA219" t="s">
        <v>62</v>
      </c>
      <c r="AB219">
        <v>1</v>
      </c>
      <c r="AD219" t="s">
        <v>54</v>
      </c>
      <c r="AE219" t="s">
        <v>63</v>
      </c>
      <c r="AF219" t="s">
        <v>64</v>
      </c>
      <c r="AG219" t="s">
        <v>54</v>
      </c>
      <c r="AH219" t="s">
        <v>152</v>
      </c>
      <c r="AI219" t="s">
        <v>1168</v>
      </c>
      <c r="AJ219" t="s">
        <v>63</v>
      </c>
      <c r="AK219" t="s">
        <v>1600</v>
      </c>
      <c r="AL219" t="s">
        <v>1601</v>
      </c>
      <c r="AN219" s="19">
        <f>IF(ISBLANK(Mentors[[#This Row],[Onboarded Date]]),"",Mentors[[#This Row],[Onboarded Date]]-WEEKDAY(Mentors[[#This Row],[Onboarded Date]],2)+1)</f>
        <v>45656</v>
      </c>
    </row>
    <row r="220" spans="1:40" ht="19.2" customHeight="1" x14ac:dyDescent="0.3">
      <c r="A220" t="s">
        <v>1602</v>
      </c>
      <c r="B220" t="s">
        <v>1603</v>
      </c>
      <c r="C220" t="s">
        <v>609</v>
      </c>
      <c r="D220" s="4" t="s">
        <v>1604</v>
      </c>
      <c r="E220" s="7" t="s">
        <v>1605</v>
      </c>
      <c r="F220">
        <v>2015</v>
      </c>
      <c r="G220">
        <f>IF(OR(Mentors[[#This Row],[Career Start Year]]="NA",ISBLANK(Mentors[[#This Row],[Career Start Year]])),"",2026 - Mentors[[#This Row],[Career Start Year]])</f>
        <v>11</v>
      </c>
      <c r="H22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220" t="s">
        <v>51</v>
      </c>
      <c r="J220" t="s">
        <v>118</v>
      </c>
      <c r="K220" t="s">
        <v>1606</v>
      </c>
      <c r="L220" s="17">
        <v>9920194885</v>
      </c>
      <c r="M220" s="19">
        <v>45658</v>
      </c>
      <c r="O220" s="5" t="s">
        <v>0</v>
      </c>
      <c r="Q220" t="s">
        <v>63</v>
      </c>
      <c r="R220" t="s">
        <v>63</v>
      </c>
      <c r="S220" t="s">
        <v>63</v>
      </c>
      <c r="T220" t="s">
        <v>99</v>
      </c>
      <c r="U220" t="s">
        <v>76</v>
      </c>
      <c r="V220" t="s">
        <v>78</v>
      </c>
      <c r="W220" t="s">
        <v>79</v>
      </c>
      <c r="Z220" t="s">
        <v>61</v>
      </c>
      <c r="AA220" t="s">
        <v>62</v>
      </c>
      <c r="AB220">
        <v>1</v>
      </c>
      <c r="AD220" t="s">
        <v>54</v>
      </c>
      <c r="AE220" t="s">
        <v>54</v>
      </c>
      <c r="AF220" t="s">
        <v>64</v>
      </c>
      <c r="AG220" t="s">
        <v>54</v>
      </c>
      <c r="AH220" t="s">
        <v>131</v>
      </c>
      <c r="AI220" t="s">
        <v>1168</v>
      </c>
      <c r="AJ220" t="s">
        <v>63</v>
      </c>
      <c r="AK220" t="s">
        <v>1607</v>
      </c>
      <c r="AL220" t="s">
        <v>1608</v>
      </c>
      <c r="AN220" s="19">
        <f>IF(ISBLANK(Mentors[[#This Row],[Onboarded Date]]),"",Mentors[[#This Row],[Onboarded Date]]-WEEKDAY(Mentors[[#This Row],[Onboarded Date]],2)+1)</f>
        <v>45656</v>
      </c>
    </row>
    <row r="221" spans="1:40" ht="19.2" customHeight="1" x14ac:dyDescent="0.3">
      <c r="A221" t="s">
        <v>1609</v>
      </c>
      <c r="B221" t="s">
        <v>1610</v>
      </c>
      <c r="C221" t="s">
        <v>1611</v>
      </c>
      <c r="D221" t="s">
        <v>1612</v>
      </c>
      <c r="E221" t="s">
        <v>1613</v>
      </c>
      <c r="F221">
        <v>2004</v>
      </c>
      <c r="G221">
        <f>IF(OR(Mentors[[#This Row],[Career Start Year]]="NA",ISBLANK(Mentors[[#This Row],[Career Start Year]])),"",2026 - Mentors[[#This Row],[Career Start Year]])</f>
        <v>22</v>
      </c>
      <c r="H22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21" t="s">
        <v>51</v>
      </c>
      <c r="J221" t="s">
        <v>118</v>
      </c>
      <c r="K221" t="s">
        <v>1614</v>
      </c>
      <c r="L221" s="17">
        <v>9819201551</v>
      </c>
      <c r="M221" s="19">
        <v>45658</v>
      </c>
      <c r="O221" s="5" t="s">
        <v>0</v>
      </c>
      <c r="Q221" t="s">
        <v>54</v>
      </c>
      <c r="R221" t="s">
        <v>54</v>
      </c>
      <c r="S221" t="s">
        <v>54</v>
      </c>
      <c r="T221" s="4" t="s">
        <v>756</v>
      </c>
      <c r="U221" t="s">
        <v>76</v>
      </c>
      <c r="V221" t="s">
        <v>78</v>
      </c>
      <c r="W221" t="s">
        <v>79</v>
      </c>
      <c r="X221" t="s">
        <v>60</v>
      </c>
      <c r="Z221" t="s">
        <v>81</v>
      </c>
      <c r="AA221" t="s">
        <v>62</v>
      </c>
      <c r="AB221">
        <v>1</v>
      </c>
      <c r="AD221" t="s">
        <v>54</v>
      </c>
      <c r="AE221" t="s">
        <v>54</v>
      </c>
      <c r="AF221" t="s">
        <v>64</v>
      </c>
      <c r="AG221" t="s">
        <v>54</v>
      </c>
      <c r="AH221" t="s">
        <v>65</v>
      </c>
      <c r="AI221" t="s">
        <v>412</v>
      </c>
      <c r="AJ221" t="s">
        <v>54</v>
      </c>
      <c r="AK221" t="s">
        <v>1615</v>
      </c>
      <c r="AL221" t="s">
        <v>1616</v>
      </c>
      <c r="AN221" s="19">
        <f>IF(ISBLANK(Mentors[[#This Row],[Onboarded Date]]),"",Mentors[[#This Row],[Onboarded Date]]-WEEKDAY(Mentors[[#This Row],[Onboarded Date]],2)+1)</f>
        <v>45656</v>
      </c>
    </row>
    <row r="222" spans="1:40" ht="19.2" customHeight="1" x14ac:dyDescent="0.3">
      <c r="A222" t="s">
        <v>1617</v>
      </c>
      <c r="B222" t="s">
        <v>680</v>
      </c>
      <c r="C222" t="s">
        <v>1618</v>
      </c>
      <c r="D222" t="s">
        <v>1619</v>
      </c>
      <c r="E222" s="7" t="s">
        <v>1620</v>
      </c>
      <c r="F222">
        <v>1998</v>
      </c>
      <c r="G222">
        <f>IF(OR(Mentors[[#This Row],[Career Start Year]]="NA",ISBLANK(Mentors[[#This Row],[Career Start Year]])),"",2026 - Mentors[[#This Row],[Career Start Year]])</f>
        <v>28</v>
      </c>
      <c r="H22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22" t="s">
        <v>51</v>
      </c>
      <c r="J222" t="s">
        <v>196</v>
      </c>
      <c r="K222" t="s">
        <v>1621</v>
      </c>
      <c r="L222" s="17">
        <v>9845213499</v>
      </c>
      <c r="M222" s="19">
        <v>45658</v>
      </c>
      <c r="O222" s="5" t="s">
        <v>0</v>
      </c>
      <c r="Q222" t="s">
        <v>63</v>
      </c>
      <c r="R222" t="s">
        <v>63</v>
      </c>
      <c r="S222" t="s">
        <v>63</v>
      </c>
      <c r="T222" t="s">
        <v>77</v>
      </c>
      <c r="U222" t="s">
        <v>187</v>
      </c>
      <c r="V222" t="s">
        <v>78</v>
      </c>
      <c r="W222" t="s">
        <v>79</v>
      </c>
      <c r="X222" t="s">
        <v>59</v>
      </c>
      <c r="Z222" t="s">
        <v>61</v>
      </c>
      <c r="AA222" t="s">
        <v>62</v>
      </c>
      <c r="AB222">
        <v>1</v>
      </c>
      <c r="AD222" t="s">
        <v>63</v>
      </c>
      <c r="AE222" t="s">
        <v>63</v>
      </c>
      <c r="AF222" t="s">
        <v>64</v>
      </c>
      <c r="AG222" t="s">
        <v>54</v>
      </c>
      <c r="AH222" t="s">
        <v>152</v>
      </c>
      <c r="AI222" t="s">
        <v>248</v>
      </c>
      <c r="AJ222" t="s">
        <v>54</v>
      </c>
      <c r="AK222" t="s">
        <v>1622</v>
      </c>
      <c r="AL222" t="s">
        <v>1623</v>
      </c>
      <c r="AN222" s="19">
        <f>IF(ISBLANK(Mentors[[#This Row],[Onboarded Date]]),"",Mentors[[#This Row],[Onboarded Date]]-WEEKDAY(Mentors[[#This Row],[Onboarded Date]],2)+1)</f>
        <v>45656</v>
      </c>
    </row>
    <row r="223" spans="1:40" ht="19.2" customHeight="1" x14ac:dyDescent="0.3">
      <c r="A223" t="s">
        <v>1624</v>
      </c>
      <c r="B223" t="s">
        <v>152</v>
      </c>
      <c r="C223" t="s">
        <v>1625</v>
      </c>
      <c r="D223" t="s">
        <v>1626</v>
      </c>
      <c r="E223" t="s">
        <v>1627</v>
      </c>
      <c r="F223">
        <v>2004</v>
      </c>
      <c r="G223">
        <f>IF(OR(Mentors[[#This Row],[Career Start Year]]="NA",ISBLANK(Mentors[[#This Row],[Career Start Year]])),"",2026 - Mentors[[#This Row],[Career Start Year]])</f>
        <v>22</v>
      </c>
      <c r="H22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23" t="s">
        <v>943</v>
      </c>
      <c r="J223" t="s">
        <v>943</v>
      </c>
      <c r="K223" t="s">
        <v>1628</v>
      </c>
      <c r="L223" s="17" t="s">
        <v>1629</v>
      </c>
      <c r="M223" s="19">
        <v>45658</v>
      </c>
      <c r="O223" s="5" t="s">
        <v>0</v>
      </c>
      <c r="Q223" t="s">
        <v>63</v>
      </c>
      <c r="R223" t="s">
        <v>63</v>
      </c>
      <c r="S223" t="s">
        <v>63</v>
      </c>
      <c r="T223" t="s">
        <v>77</v>
      </c>
      <c r="U223" t="s">
        <v>65</v>
      </c>
      <c r="V223" t="s">
        <v>57</v>
      </c>
      <c r="W223" t="s">
        <v>58</v>
      </c>
      <c r="X223" t="s">
        <v>60</v>
      </c>
      <c r="Z223" t="s">
        <v>81</v>
      </c>
      <c r="AA223" t="s">
        <v>62</v>
      </c>
      <c r="AB223">
        <v>1</v>
      </c>
      <c r="AD223" t="s">
        <v>54</v>
      </c>
      <c r="AE223" t="s">
        <v>54</v>
      </c>
      <c r="AF223" t="s">
        <v>64</v>
      </c>
      <c r="AG223" t="s">
        <v>54</v>
      </c>
      <c r="AH223" t="s">
        <v>152</v>
      </c>
      <c r="AI223" t="s">
        <v>1064</v>
      </c>
      <c r="AJ223" t="s">
        <v>54</v>
      </c>
      <c r="AK223" t="s">
        <v>1630</v>
      </c>
      <c r="AL223" t="s">
        <v>1631</v>
      </c>
      <c r="AN223" s="19">
        <f>IF(ISBLANK(Mentors[[#This Row],[Onboarded Date]]),"",Mentors[[#This Row],[Onboarded Date]]-WEEKDAY(Mentors[[#This Row],[Onboarded Date]],2)+1)</f>
        <v>45656</v>
      </c>
    </row>
    <row r="224" spans="1:40" ht="19.2" customHeight="1" x14ac:dyDescent="0.3">
      <c r="A224" t="s">
        <v>1632</v>
      </c>
      <c r="B224" t="s">
        <v>1633</v>
      </c>
      <c r="C224" t="s">
        <v>350</v>
      </c>
      <c r="D224" t="s">
        <v>1634</v>
      </c>
      <c r="E224" t="s">
        <v>1635</v>
      </c>
      <c r="F224">
        <v>2007</v>
      </c>
      <c r="G224">
        <f>IF(OR(Mentors[[#This Row],[Career Start Year]]="NA",ISBLANK(Mentors[[#This Row],[Career Start Year]])),"",2026 - Mentors[[#This Row],[Career Start Year]])</f>
        <v>19</v>
      </c>
      <c r="H22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24" t="s">
        <v>51</v>
      </c>
      <c r="J224" t="s">
        <v>140</v>
      </c>
      <c r="K224" t="s">
        <v>1636</v>
      </c>
      <c r="L224" s="17" t="s">
        <v>1637</v>
      </c>
      <c r="M224" s="19">
        <v>45658</v>
      </c>
      <c r="N224" t="s">
        <v>6</v>
      </c>
      <c r="O224" s="5" t="s">
        <v>0</v>
      </c>
      <c r="Q224" t="s">
        <v>54</v>
      </c>
      <c r="R224" t="s">
        <v>63</v>
      </c>
      <c r="S224" t="s">
        <v>63</v>
      </c>
      <c r="T224" t="s">
        <v>1638</v>
      </c>
      <c r="U224" t="s">
        <v>76</v>
      </c>
      <c r="V224" t="s">
        <v>198</v>
      </c>
      <c r="W224" t="s">
        <v>79</v>
      </c>
      <c r="X224" t="s">
        <v>80</v>
      </c>
      <c r="Z224" t="s">
        <v>81</v>
      </c>
      <c r="AA224" t="s">
        <v>62</v>
      </c>
      <c r="AB224">
        <v>1</v>
      </c>
      <c r="AD224" t="s">
        <v>54</v>
      </c>
      <c r="AE224" t="s">
        <v>54</v>
      </c>
      <c r="AF224" t="s">
        <v>121</v>
      </c>
      <c r="AG224" t="s">
        <v>54</v>
      </c>
      <c r="AH224" t="s">
        <v>65</v>
      </c>
      <c r="AI224" t="s">
        <v>1177</v>
      </c>
      <c r="AJ224" t="s">
        <v>54</v>
      </c>
      <c r="AK224" t="s">
        <v>1639</v>
      </c>
      <c r="AL224" t="s">
        <v>1640</v>
      </c>
      <c r="AN224" s="19">
        <f>IF(ISBLANK(Mentors[[#This Row],[Onboarded Date]]),"",Mentors[[#This Row],[Onboarded Date]]-WEEKDAY(Mentors[[#This Row],[Onboarded Date]],2)+1)</f>
        <v>45656</v>
      </c>
    </row>
    <row r="225" spans="1:40" ht="19.2" customHeight="1" x14ac:dyDescent="0.3">
      <c r="A225" t="s">
        <v>1641</v>
      </c>
      <c r="B225" t="s">
        <v>1642</v>
      </c>
      <c r="C225" t="s">
        <v>1643</v>
      </c>
      <c r="D225" t="s">
        <v>1644</v>
      </c>
      <c r="E225" t="s">
        <v>1645</v>
      </c>
      <c r="F225">
        <v>2002</v>
      </c>
      <c r="G225">
        <f>IF(OR(Mentors[[#This Row],[Career Start Year]]="NA",ISBLANK(Mentors[[#This Row],[Career Start Year]])),"",2026 - Mentors[[#This Row],[Career Start Year]])</f>
        <v>24</v>
      </c>
      <c r="H22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25" t="s">
        <v>51</v>
      </c>
      <c r="J225" t="s">
        <v>999</v>
      </c>
      <c r="K225" t="s">
        <v>1646</v>
      </c>
      <c r="L225" s="17">
        <v>7354565754</v>
      </c>
      <c r="M225" s="19">
        <v>45658</v>
      </c>
      <c r="O225" s="5" t="s">
        <v>0</v>
      </c>
      <c r="Q225" t="s">
        <v>54</v>
      </c>
      <c r="R225" t="s">
        <v>63</v>
      </c>
      <c r="S225" t="s">
        <v>63</v>
      </c>
      <c r="T225" t="s">
        <v>110</v>
      </c>
      <c r="U225" t="s">
        <v>77</v>
      </c>
      <c r="V225" t="s">
        <v>58</v>
      </c>
      <c r="W225" t="s">
        <v>282</v>
      </c>
      <c r="X225" t="s">
        <v>59</v>
      </c>
      <c r="Z225" t="s">
        <v>101</v>
      </c>
      <c r="AA225" t="s">
        <v>62</v>
      </c>
      <c r="AB225">
        <v>1</v>
      </c>
      <c r="AD225" t="s">
        <v>54</v>
      </c>
      <c r="AE225" t="s">
        <v>54</v>
      </c>
      <c r="AF225" t="s">
        <v>121</v>
      </c>
      <c r="AG225" t="s">
        <v>54</v>
      </c>
      <c r="AH225" t="s">
        <v>65</v>
      </c>
      <c r="AI225" t="s">
        <v>248</v>
      </c>
      <c r="AJ225" t="s">
        <v>54</v>
      </c>
      <c r="AK225" t="s">
        <v>1647</v>
      </c>
      <c r="AL225" t="s">
        <v>414</v>
      </c>
      <c r="AN225" s="19">
        <f>IF(ISBLANK(Mentors[[#This Row],[Onboarded Date]]),"",Mentors[[#This Row],[Onboarded Date]]-WEEKDAY(Mentors[[#This Row],[Onboarded Date]],2)+1)</f>
        <v>45656</v>
      </c>
    </row>
    <row r="226" spans="1:40" ht="19.2" customHeight="1" x14ac:dyDescent="0.3">
      <c r="A226" t="s">
        <v>1648</v>
      </c>
      <c r="B226" t="s">
        <v>152</v>
      </c>
      <c r="C226" t="s">
        <v>1649</v>
      </c>
      <c r="D226" t="s">
        <v>1650</v>
      </c>
      <c r="E226" t="s">
        <v>1651</v>
      </c>
      <c r="F226">
        <v>1997</v>
      </c>
      <c r="G226">
        <f>IF(OR(Mentors[[#This Row],[Career Start Year]]="NA",ISBLANK(Mentors[[#This Row],[Career Start Year]])),"",2026 - Mentors[[#This Row],[Career Start Year]])</f>
        <v>29</v>
      </c>
      <c r="H22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26" t="s">
        <v>51</v>
      </c>
      <c r="J226" t="s">
        <v>118</v>
      </c>
      <c r="K226" t="s">
        <v>1652</v>
      </c>
      <c r="L226" s="17">
        <v>9821242973</v>
      </c>
      <c r="M226" s="19">
        <v>45658</v>
      </c>
      <c r="N226" t="s">
        <v>6</v>
      </c>
      <c r="O226" t="s">
        <v>0</v>
      </c>
      <c r="Q226" t="s">
        <v>63</v>
      </c>
      <c r="R226" t="s">
        <v>63</v>
      </c>
      <c r="S226" t="s">
        <v>63</v>
      </c>
      <c r="T226" s="11" t="s">
        <v>247</v>
      </c>
      <c r="U226" t="s">
        <v>99</v>
      </c>
      <c r="V226" t="s">
        <v>306</v>
      </c>
      <c r="W226" t="s">
        <v>79</v>
      </c>
      <c r="X226" t="s">
        <v>60</v>
      </c>
      <c r="Z226" t="s">
        <v>101</v>
      </c>
      <c r="AA226" t="s">
        <v>62</v>
      </c>
      <c r="AB226">
        <v>1</v>
      </c>
      <c r="AD226" t="s">
        <v>54</v>
      </c>
      <c r="AE226" t="s">
        <v>54</v>
      </c>
      <c r="AF226" t="s">
        <v>1188</v>
      </c>
      <c r="AG226" t="s">
        <v>63</v>
      </c>
      <c r="AH226" t="s">
        <v>152</v>
      </c>
      <c r="AI226" t="s">
        <v>248</v>
      </c>
      <c r="AJ226" t="s">
        <v>54</v>
      </c>
      <c r="AK226" t="s">
        <v>1653</v>
      </c>
      <c r="AL226" t="s">
        <v>1654</v>
      </c>
      <c r="AN226" s="19">
        <f>IF(ISBLANK(Mentors[[#This Row],[Onboarded Date]]),"",Mentors[[#This Row],[Onboarded Date]]-WEEKDAY(Mentors[[#This Row],[Onboarded Date]],2)+1)</f>
        <v>45656</v>
      </c>
    </row>
    <row r="227" spans="1:40" ht="19.2" customHeight="1" x14ac:dyDescent="0.3">
      <c r="A227" t="s">
        <v>1655</v>
      </c>
      <c r="B227" t="s">
        <v>1656</v>
      </c>
      <c r="C227" t="s">
        <v>1657</v>
      </c>
      <c r="D227" t="s">
        <v>1658</v>
      </c>
      <c r="E227" t="s">
        <v>1659</v>
      </c>
      <c r="F227">
        <v>1997</v>
      </c>
      <c r="G227">
        <f>IF(OR(Mentors[[#This Row],[Career Start Year]]="NA",ISBLANK(Mentors[[#This Row],[Career Start Year]])),"",2026 - Mentors[[#This Row],[Career Start Year]])</f>
        <v>29</v>
      </c>
      <c r="H22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27" t="s">
        <v>51</v>
      </c>
      <c r="J227" t="s">
        <v>389</v>
      </c>
      <c r="K227" t="s">
        <v>1660</v>
      </c>
      <c r="L227" s="17">
        <v>9219661545</v>
      </c>
      <c r="M227" s="19">
        <v>45658</v>
      </c>
      <c r="N227" t="s">
        <v>6</v>
      </c>
      <c r="O227" t="s">
        <v>0</v>
      </c>
      <c r="Q227" t="s">
        <v>54</v>
      </c>
      <c r="R227" t="s">
        <v>54</v>
      </c>
      <c r="S227" t="s">
        <v>54</v>
      </c>
      <c r="T227" s="11" t="s">
        <v>247</v>
      </c>
      <c r="U227" t="s">
        <v>65</v>
      </c>
      <c r="V227" t="s">
        <v>306</v>
      </c>
      <c r="W227" t="s">
        <v>79</v>
      </c>
      <c r="X227" t="s">
        <v>59</v>
      </c>
      <c r="Z227" t="s">
        <v>101</v>
      </c>
      <c r="AA227" t="s">
        <v>62</v>
      </c>
      <c r="AB227">
        <v>1</v>
      </c>
      <c r="AD227" t="s">
        <v>54</v>
      </c>
      <c r="AE227" t="s">
        <v>54</v>
      </c>
      <c r="AF227" t="s">
        <v>64</v>
      </c>
      <c r="AG227" t="s">
        <v>54</v>
      </c>
      <c r="AH227" t="s">
        <v>65</v>
      </c>
      <c r="AI227" t="s">
        <v>248</v>
      </c>
      <c r="AJ227" t="s">
        <v>54</v>
      </c>
      <c r="AK227" t="s">
        <v>1661</v>
      </c>
      <c r="AL227" t="s">
        <v>1662</v>
      </c>
      <c r="AN227" s="19">
        <f>IF(ISBLANK(Mentors[[#This Row],[Onboarded Date]]),"",Mentors[[#This Row],[Onboarded Date]]-WEEKDAY(Mentors[[#This Row],[Onboarded Date]],2)+1)</f>
        <v>45656</v>
      </c>
    </row>
    <row r="228" spans="1:40" ht="19.2" customHeight="1" x14ac:dyDescent="0.3">
      <c r="A228" t="s">
        <v>1663</v>
      </c>
      <c r="B228" t="s">
        <v>1664</v>
      </c>
      <c r="C228" t="s">
        <v>1665</v>
      </c>
      <c r="D228" t="s">
        <v>1666</v>
      </c>
      <c r="E228" t="s">
        <v>1667</v>
      </c>
      <c r="F228">
        <v>1982</v>
      </c>
      <c r="G228">
        <f>IF(OR(Mentors[[#This Row],[Career Start Year]]="NA",ISBLANK(Mentors[[#This Row],[Career Start Year]])),"",2026 - Mentors[[#This Row],[Career Start Year]])</f>
        <v>44</v>
      </c>
      <c r="H22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28" t="s">
        <v>51</v>
      </c>
      <c r="J228" t="s">
        <v>118</v>
      </c>
      <c r="K228" t="s">
        <v>1668</v>
      </c>
      <c r="L228" s="17">
        <v>9820009366</v>
      </c>
      <c r="M228" s="19">
        <v>45658</v>
      </c>
      <c r="N228" t="s">
        <v>6</v>
      </c>
      <c r="O228" t="s">
        <v>0</v>
      </c>
      <c r="Q228" t="s">
        <v>54</v>
      </c>
      <c r="R228" t="s">
        <v>54</v>
      </c>
      <c r="S228" t="s">
        <v>54</v>
      </c>
      <c r="T228" s="11" t="s">
        <v>247</v>
      </c>
      <c r="U228" t="s">
        <v>77</v>
      </c>
      <c r="V228" t="s">
        <v>306</v>
      </c>
      <c r="W228" t="s">
        <v>79</v>
      </c>
      <c r="X228" t="s">
        <v>80</v>
      </c>
      <c r="Z228" t="s">
        <v>101</v>
      </c>
      <c r="AA228" t="s">
        <v>62</v>
      </c>
      <c r="AB228">
        <v>1</v>
      </c>
      <c r="AD228" t="s">
        <v>63</v>
      </c>
      <c r="AE228" t="s">
        <v>54</v>
      </c>
      <c r="AF228" t="s">
        <v>64</v>
      </c>
      <c r="AG228" t="s">
        <v>54</v>
      </c>
      <c r="AH228" t="s">
        <v>65</v>
      </c>
      <c r="AI228" t="s">
        <v>248</v>
      </c>
      <c r="AJ228" t="s">
        <v>54</v>
      </c>
      <c r="AK228" t="s">
        <v>1669</v>
      </c>
      <c r="AL228" t="s">
        <v>1670</v>
      </c>
      <c r="AN228" s="19">
        <f>IF(ISBLANK(Mentors[[#This Row],[Onboarded Date]]),"",Mentors[[#This Row],[Onboarded Date]]-WEEKDAY(Mentors[[#This Row],[Onboarded Date]],2)+1)</f>
        <v>45656</v>
      </c>
    </row>
    <row r="229" spans="1:40" ht="19.2" customHeight="1" x14ac:dyDescent="0.3">
      <c r="A229" t="s">
        <v>1671</v>
      </c>
      <c r="B229" t="s">
        <v>1672</v>
      </c>
      <c r="C229" t="s">
        <v>1673</v>
      </c>
      <c r="D229" t="s">
        <v>1674</v>
      </c>
      <c r="E229" t="s">
        <v>1675</v>
      </c>
      <c r="F229">
        <v>2008</v>
      </c>
      <c r="G229">
        <f>IF(OR(Mentors[[#This Row],[Career Start Year]]="NA",ISBLANK(Mentors[[#This Row],[Career Start Year]])),"",2026 - Mentors[[#This Row],[Career Start Year]])</f>
        <v>18</v>
      </c>
      <c r="H22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29" t="s">
        <v>51</v>
      </c>
      <c r="J229" t="s">
        <v>1676</v>
      </c>
      <c r="K229" t="s">
        <v>1677</v>
      </c>
      <c r="L229" s="17">
        <v>9845490505</v>
      </c>
      <c r="M229" s="19">
        <v>45658</v>
      </c>
      <c r="N229" t="s">
        <v>6</v>
      </c>
      <c r="O229" t="s">
        <v>0</v>
      </c>
      <c r="Q229" t="s">
        <v>54</v>
      </c>
      <c r="R229" t="s">
        <v>54</v>
      </c>
      <c r="S229" t="s">
        <v>54</v>
      </c>
      <c r="T229" t="s">
        <v>756</v>
      </c>
      <c r="U229" t="s">
        <v>77</v>
      </c>
      <c r="V229" t="s">
        <v>306</v>
      </c>
      <c r="W229" t="s">
        <v>79</v>
      </c>
      <c r="X229" t="s">
        <v>80</v>
      </c>
      <c r="Z229" t="s">
        <v>61</v>
      </c>
      <c r="AA229" t="s">
        <v>62</v>
      </c>
      <c r="AB229">
        <v>1</v>
      </c>
      <c r="AD229" t="s">
        <v>54</v>
      </c>
      <c r="AE229" t="s">
        <v>54</v>
      </c>
      <c r="AF229" t="s">
        <v>64</v>
      </c>
      <c r="AG229" t="s">
        <v>54</v>
      </c>
      <c r="AH229" t="s">
        <v>131</v>
      </c>
      <c r="AI229" t="s">
        <v>1064</v>
      </c>
      <c r="AJ229" t="s">
        <v>54</v>
      </c>
      <c r="AK229" t="s">
        <v>1678</v>
      </c>
      <c r="AL229" t="s">
        <v>1679</v>
      </c>
      <c r="AN229" s="19">
        <f>IF(ISBLANK(Mentors[[#This Row],[Onboarded Date]]),"",Mentors[[#This Row],[Onboarded Date]]-WEEKDAY(Mentors[[#This Row],[Onboarded Date]],2)+1)</f>
        <v>45656</v>
      </c>
    </row>
    <row r="230" spans="1:40" ht="19.2" customHeight="1" x14ac:dyDescent="0.3">
      <c r="A230" t="s">
        <v>1680</v>
      </c>
      <c r="B230" t="s">
        <v>1681</v>
      </c>
      <c r="C230" t="s">
        <v>1682</v>
      </c>
      <c r="D230" t="s">
        <v>1683</v>
      </c>
      <c r="E230" t="s">
        <v>1684</v>
      </c>
      <c r="F230">
        <v>1988</v>
      </c>
      <c r="G230">
        <f>IF(OR(Mentors[[#This Row],[Career Start Year]]="NA",ISBLANK(Mentors[[#This Row],[Career Start Year]])),"",2026 - Mentors[[#This Row],[Career Start Year]])</f>
        <v>38</v>
      </c>
      <c r="H23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30" t="s">
        <v>51</v>
      </c>
      <c r="J230" t="s">
        <v>74</v>
      </c>
      <c r="K230" t="s">
        <v>1685</v>
      </c>
      <c r="L230" s="17">
        <v>9312263310</v>
      </c>
      <c r="M230" s="19">
        <v>45658</v>
      </c>
      <c r="O230" t="s">
        <v>0</v>
      </c>
      <c r="Q230" t="s">
        <v>54</v>
      </c>
      <c r="R230" t="s">
        <v>63</v>
      </c>
      <c r="S230" t="s">
        <v>54</v>
      </c>
      <c r="T230" t="s">
        <v>110</v>
      </c>
      <c r="U230" t="s">
        <v>77</v>
      </c>
      <c r="V230" t="s">
        <v>78</v>
      </c>
      <c r="W230" t="s">
        <v>79</v>
      </c>
      <c r="Z230" t="s">
        <v>101</v>
      </c>
      <c r="AA230" t="s">
        <v>62</v>
      </c>
      <c r="AB230">
        <v>1</v>
      </c>
      <c r="AD230" t="s">
        <v>54</v>
      </c>
      <c r="AE230" t="s">
        <v>54</v>
      </c>
      <c r="AF230" t="s">
        <v>64</v>
      </c>
      <c r="AG230" t="s">
        <v>54</v>
      </c>
      <c r="AH230" t="s">
        <v>65</v>
      </c>
      <c r="AI230" t="s">
        <v>122</v>
      </c>
      <c r="AJ230" t="s">
        <v>54</v>
      </c>
      <c r="AK230" t="s">
        <v>1686</v>
      </c>
      <c r="AL230" t="s">
        <v>1687</v>
      </c>
      <c r="AN230" s="19">
        <f>IF(ISBLANK(Mentors[[#This Row],[Onboarded Date]]),"",Mentors[[#This Row],[Onboarded Date]]-WEEKDAY(Mentors[[#This Row],[Onboarded Date]],2)+1)</f>
        <v>45656</v>
      </c>
    </row>
    <row r="231" spans="1:40" ht="19.2" customHeight="1" x14ac:dyDescent="0.3">
      <c r="A231" t="s">
        <v>1688</v>
      </c>
      <c r="B231" t="s">
        <v>840</v>
      </c>
      <c r="C231" t="s">
        <v>1689</v>
      </c>
      <c r="D231" s="4" t="s">
        <v>1690</v>
      </c>
      <c r="E231" t="s">
        <v>1691</v>
      </c>
      <c r="F231">
        <v>1999</v>
      </c>
      <c r="G231">
        <f>IF(OR(Mentors[[#This Row],[Career Start Year]]="NA",ISBLANK(Mentors[[#This Row],[Career Start Year]])),"",2026 - Mentors[[#This Row],[Career Start Year]])</f>
        <v>27</v>
      </c>
      <c r="H23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31" t="s">
        <v>51</v>
      </c>
      <c r="J231" t="s">
        <v>570</v>
      </c>
      <c r="K231" t="s">
        <v>1692</v>
      </c>
      <c r="L231" s="17">
        <v>8875023682</v>
      </c>
      <c r="M231" s="19">
        <v>45658</v>
      </c>
      <c r="O231" t="s">
        <v>0</v>
      </c>
      <c r="Q231" t="s">
        <v>54</v>
      </c>
      <c r="R231" t="s">
        <v>54</v>
      </c>
      <c r="S231" t="s">
        <v>54</v>
      </c>
      <c r="T231" t="s">
        <v>77</v>
      </c>
      <c r="U231" t="s">
        <v>65</v>
      </c>
      <c r="V231" t="s">
        <v>120</v>
      </c>
      <c r="W231" t="s">
        <v>79</v>
      </c>
      <c r="X231" t="s">
        <v>59</v>
      </c>
      <c r="Z231" t="s">
        <v>61</v>
      </c>
      <c r="AA231" t="s">
        <v>62</v>
      </c>
      <c r="AB231">
        <v>1</v>
      </c>
      <c r="AD231" t="s">
        <v>63</v>
      </c>
      <c r="AG231" t="s">
        <v>54</v>
      </c>
      <c r="AH231" t="s">
        <v>65</v>
      </c>
      <c r="AI231" t="s">
        <v>248</v>
      </c>
      <c r="AJ231" t="s">
        <v>54</v>
      </c>
      <c r="AK231" t="s">
        <v>1693</v>
      </c>
      <c r="AL231" t="s">
        <v>1694</v>
      </c>
      <c r="AN231" s="19">
        <f>IF(ISBLANK(Mentors[[#This Row],[Onboarded Date]]),"",Mentors[[#This Row],[Onboarded Date]]-WEEKDAY(Mentors[[#This Row],[Onboarded Date]],2)+1)</f>
        <v>45656</v>
      </c>
    </row>
    <row r="232" spans="1:40" ht="19.2" customHeight="1" x14ac:dyDescent="0.3">
      <c r="A232" t="s">
        <v>1695</v>
      </c>
      <c r="B232" t="s">
        <v>1696</v>
      </c>
      <c r="C232" t="s">
        <v>1697</v>
      </c>
      <c r="D232" t="s">
        <v>1698</v>
      </c>
      <c r="E232" t="s">
        <v>1699</v>
      </c>
      <c r="F232">
        <v>1983</v>
      </c>
      <c r="G232">
        <f>IF(OR(Mentors[[#This Row],[Career Start Year]]="NA",ISBLANK(Mentors[[#This Row],[Career Start Year]])),"",2026 - Mentors[[#This Row],[Career Start Year]])</f>
        <v>43</v>
      </c>
      <c r="H23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32" t="s">
        <v>51</v>
      </c>
      <c r="J232" t="s">
        <v>52</v>
      </c>
      <c r="K232" t="s">
        <v>1700</v>
      </c>
      <c r="L232" s="17">
        <v>9822040510</v>
      </c>
      <c r="M232" s="19">
        <v>45658</v>
      </c>
      <c r="N232" t="s">
        <v>6</v>
      </c>
      <c r="O232" t="s">
        <v>0</v>
      </c>
      <c r="Q232" t="s">
        <v>54</v>
      </c>
      <c r="R232" t="s">
        <v>63</v>
      </c>
      <c r="S232" t="s">
        <v>63</v>
      </c>
      <c r="T232" s="11" t="s">
        <v>247</v>
      </c>
      <c r="U232" t="s">
        <v>76</v>
      </c>
      <c r="V232" t="s">
        <v>306</v>
      </c>
      <c r="W232" t="s">
        <v>79</v>
      </c>
      <c r="X232" t="s">
        <v>80</v>
      </c>
      <c r="Z232" t="s">
        <v>101</v>
      </c>
      <c r="AA232" t="s">
        <v>62</v>
      </c>
      <c r="AB232">
        <v>1</v>
      </c>
      <c r="AD232" t="s">
        <v>54</v>
      </c>
      <c r="AE232" t="s">
        <v>54</v>
      </c>
      <c r="AF232" t="s">
        <v>64</v>
      </c>
      <c r="AG232" t="s">
        <v>54</v>
      </c>
      <c r="AH232" t="s">
        <v>65</v>
      </c>
      <c r="AI232" t="s">
        <v>248</v>
      </c>
      <c r="AJ232" t="s">
        <v>54</v>
      </c>
      <c r="AK232" t="s">
        <v>1701</v>
      </c>
      <c r="AL232" t="s">
        <v>1702</v>
      </c>
      <c r="AN232" s="19">
        <f>IF(ISBLANK(Mentors[[#This Row],[Onboarded Date]]),"",Mentors[[#This Row],[Onboarded Date]]-WEEKDAY(Mentors[[#This Row],[Onboarded Date]],2)+1)</f>
        <v>45656</v>
      </c>
    </row>
    <row r="233" spans="1:40" ht="19.2" customHeight="1" x14ac:dyDescent="0.3">
      <c r="A233" t="s">
        <v>1703</v>
      </c>
      <c r="B233" t="s">
        <v>1704</v>
      </c>
      <c r="C233" t="s">
        <v>1705</v>
      </c>
      <c r="D233" t="s">
        <v>1706</v>
      </c>
      <c r="E233" t="s">
        <v>1707</v>
      </c>
      <c r="F233">
        <v>1994</v>
      </c>
      <c r="G233">
        <f>IF(OR(Mentors[[#This Row],[Career Start Year]]="NA",ISBLANK(Mentors[[#This Row],[Career Start Year]])),"",2026 - Mentors[[#This Row],[Career Start Year]])</f>
        <v>32</v>
      </c>
      <c r="H23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33" t="s">
        <v>51</v>
      </c>
      <c r="J233" t="s">
        <v>684</v>
      </c>
      <c r="K233" t="s">
        <v>1708</v>
      </c>
      <c r="L233" s="17">
        <v>7757042244</v>
      </c>
      <c r="M233" s="19">
        <v>45658</v>
      </c>
      <c r="O233" t="s">
        <v>0</v>
      </c>
      <c r="Q233" t="s">
        <v>54</v>
      </c>
      <c r="R233" t="s">
        <v>54</v>
      </c>
      <c r="S233" t="s">
        <v>54</v>
      </c>
      <c r="T233" t="s">
        <v>110</v>
      </c>
      <c r="U233" t="s">
        <v>77</v>
      </c>
      <c r="V233" t="s">
        <v>78</v>
      </c>
      <c r="W233" t="s">
        <v>79</v>
      </c>
      <c r="Z233" t="s">
        <v>101</v>
      </c>
      <c r="AA233" t="s">
        <v>62</v>
      </c>
      <c r="AB233">
        <v>1</v>
      </c>
      <c r="AD233" t="s">
        <v>54</v>
      </c>
      <c r="AE233" t="s">
        <v>54</v>
      </c>
      <c r="AF233" t="s">
        <v>64</v>
      </c>
      <c r="AG233" t="s">
        <v>54</v>
      </c>
      <c r="AH233" t="s">
        <v>65</v>
      </c>
      <c r="AI233" t="s">
        <v>248</v>
      </c>
      <c r="AJ233" t="s">
        <v>54</v>
      </c>
      <c r="AK233" t="s">
        <v>1709</v>
      </c>
      <c r="AL233" t="s">
        <v>1710</v>
      </c>
      <c r="AN233" s="19">
        <f>IF(ISBLANK(Mentors[[#This Row],[Onboarded Date]]),"",Mentors[[#This Row],[Onboarded Date]]-WEEKDAY(Mentors[[#This Row],[Onboarded Date]],2)+1)</f>
        <v>45656</v>
      </c>
    </row>
    <row r="234" spans="1:40" ht="19.2" customHeight="1" x14ac:dyDescent="0.3">
      <c r="A234" t="s">
        <v>1711</v>
      </c>
      <c r="B234" t="s">
        <v>1712</v>
      </c>
      <c r="C234" t="s">
        <v>1713</v>
      </c>
      <c r="D234" t="s">
        <v>1714</v>
      </c>
      <c r="E234" t="s">
        <v>1715</v>
      </c>
      <c r="F234">
        <v>1993</v>
      </c>
      <c r="G234">
        <f>IF(OR(Mentors[[#This Row],[Career Start Year]]="NA",ISBLANK(Mentors[[#This Row],[Career Start Year]])),"",2026 - Mentors[[#This Row],[Career Start Year]])</f>
        <v>33</v>
      </c>
      <c r="H23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34" t="s">
        <v>51</v>
      </c>
      <c r="J234" t="s">
        <v>280</v>
      </c>
      <c r="K234" t="s">
        <v>1716</v>
      </c>
      <c r="L234" s="17">
        <v>7859849028</v>
      </c>
      <c r="M234" s="19">
        <v>45658</v>
      </c>
      <c r="N234" t="s">
        <v>6</v>
      </c>
      <c r="O234" t="s">
        <v>0</v>
      </c>
      <c r="Q234" t="s">
        <v>54</v>
      </c>
      <c r="R234" t="s">
        <v>54</v>
      </c>
      <c r="S234" t="s">
        <v>54</v>
      </c>
      <c r="T234" s="11" t="s">
        <v>247</v>
      </c>
      <c r="U234" t="s">
        <v>77</v>
      </c>
      <c r="V234" t="s">
        <v>306</v>
      </c>
      <c r="W234" t="s">
        <v>79</v>
      </c>
      <c r="X234" t="s">
        <v>80</v>
      </c>
      <c r="Z234" t="s">
        <v>101</v>
      </c>
      <c r="AA234" t="s">
        <v>62</v>
      </c>
      <c r="AB234">
        <v>1</v>
      </c>
      <c r="AD234" t="s">
        <v>54</v>
      </c>
      <c r="AE234" t="s">
        <v>54</v>
      </c>
      <c r="AF234" t="s">
        <v>64</v>
      </c>
      <c r="AG234" t="s">
        <v>54</v>
      </c>
      <c r="AH234" t="s">
        <v>65</v>
      </c>
      <c r="AI234" t="s">
        <v>248</v>
      </c>
      <c r="AJ234" t="s">
        <v>54</v>
      </c>
      <c r="AK234" t="s">
        <v>1717</v>
      </c>
      <c r="AL234" t="s">
        <v>1718</v>
      </c>
      <c r="AN234" s="19">
        <f>IF(ISBLANK(Mentors[[#This Row],[Onboarded Date]]),"",Mentors[[#This Row],[Onboarded Date]]-WEEKDAY(Mentors[[#This Row],[Onboarded Date]],2)+1)</f>
        <v>45656</v>
      </c>
    </row>
    <row r="235" spans="1:40" ht="19.2" customHeight="1" x14ac:dyDescent="0.3">
      <c r="A235" t="s">
        <v>1719</v>
      </c>
      <c r="B235" t="s">
        <v>503</v>
      </c>
      <c r="C235" t="s">
        <v>1720</v>
      </c>
      <c r="D235" t="s">
        <v>1721</v>
      </c>
      <c r="E235" t="s">
        <v>1722</v>
      </c>
      <c r="F235">
        <v>2002</v>
      </c>
      <c r="G235">
        <f>IF(OR(Mentors[[#This Row],[Career Start Year]]="NA",ISBLANK(Mentors[[#This Row],[Career Start Year]])),"",2026 - Mentors[[#This Row],[Career Start Year]])</f>
        <v>24</v>
      </c>
      <c r="H23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35" t="s">
        <v>51</v>
      </c>
      <c r="J235" t="s">
        <v>1001</v>
      </c>
      <c r="K235" t="s">
        <v>1723</v>
      </c>
      <c r="L235" s="17">
        <v>9433255126</v>
      </c>
      <c r="M235" s="19">
        <v>45658</v>
      </c>
      <c r="O235" t="s">
        <v>0</v>
      </c>
      <c r="Q235" t="s">
        <v>54</v>
      </c>
      <c r="R235" t="s">
        <v>54</v>
      </c>
      <c r="S235" t="s">
        <v>54</v>
      </c>
      <c r="T235" t="s">
        <v>187</v>
      </c>
      <c r="U235" t="s">
        <v>65</v>
      </c>
      <c r="V235" t="s">
        <v>78</v>
      </c>
      <c r="W235" t="s">
        <v>79</v>
      </c>
      <c r="X235" t="s">
        <v>80</v>
      </c>
      <c r="Z235" t="s">
        <v>101</v>
      </c>
      <c r="AA235" t="s">
        <v>62</v>
      </c>
      <c r="AB235">
        <v>1</v>
      </c>
      <c r="AD235" t="s">
        <v>54</v>
      </c>
      <c r="AE235" t="s">
        <v>54</v>
      </c>
      <c r="AF235" t="s">
        <v>64</v>
      </c>
      <c r="AG235" t="s">
        <v>54</v>
      </c>
      <c r="AH235" t="s">
        <v>65</v>
      </c>
      <c r="AI235" t="s">
        <v>66</v>
      </c>
      <c r="AJ235" t="s">
        <v>54</v>
      </c>
      <c r="AK235" t="s">
        <v>1724</v>
      </c>
      <c r="AL235" t="s">
        <v>1725</v>
      </c>
      <c r="AN235" s="19">
        <f>IF(ISBLANK(Mentors[[#This Row],[Onboarded Date]]),"",Mentors[[#This Row],[Onboarded Date]]-WEEKDAY(Mentors[[#This Row],[Onboarded Date]],2)+1)</f>
        <v>45656</v>
      </c>
    </row>
    <row r="236" spans="1:40" ht="19.2" customHeight="1" x14ac:dyDescent="0.3">
      <c r="A236" t="s">
        <v>1726</v>
      </c>
      <c r="B236" t="s">
        <v>358</v>
      </c>
      <c r="C236" t="s">
        <v>1727</v>
      </c>
      <c r="D236" t="s">
        <v>1728</v>
      </c>
      <c r="E236" t="s">
        <v>1729</v>
      </c>
      <c r="F236">
        <v>1996</v>
      </c>
      <c r="G236">
        <f>IF(OR(Mentors[[#This Row],[Career Start Year]]="NA",ISBLANK(Mentors[[#This Row],[Career Start Year]])),"",2026 - Mentors[[#This Row],[Career Start Year]])</f>
        <v>30</v>
      </c>
      <c r="H23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36" t="s">
        <v>51</v>
      </c>
      <c r="J236" t="s">
        <v>118</v>
      </c>
      <c r="K236" t="s">
        <v>1730</v>
      </c>
      <c r="L236" s="17">
        <v>9967021345</v>
      </c>
      <c r="M236" s="19">
        <v>45658</v>
      </c>
      <c r="O236" t="s">
        <v>0</v>
      </c>
      <c r="Q236" t="s">
        <v>63</v>
      </c>
      <c r="R236" t="s">
        <v>63</v>
      </c>
      <c r="S236" t="s">
        <v>63</v>
      </c>
      <c r="T236" t="s">
        <v>77</v>
      </c>
      <c r="U236" t="s">
        <v>100</v>
      </c>
      <c r="V236" s="4" t="s">
        <v>256</v>
      </c>
      <c r="W236" t="s">
        <v>79</v>
      </c>
      <c r="X236" t="s">
        <v>80</v>
      </c>
      <c r="Z236" t="s">
        <v>61</v>
      </c>
      <c r="AA236" t="s">
        <v>62</v>
      </c>
      <c r="AB236">
        <v>1</v>
      </c>
      <c r="AD236" t="s">
        <v>54</v>
      </c>
      <c r="AE236" t="s">
        <v>54</v>
      </c>
      <c r="AF236" t="s">
        <v>54</v>
      </c>
      <c r="AG236" t="s">
        <v>54</v>
      </c>
      <c r="AH236" t="s">
        <v>131</v>
      </c>
      <c r="AI236" t="s">
        <v>412</v>
      </c>
      <c r="AJ236" t="s">
        <v>54</v>
      </c>
      <c r="AK236" t="s">
        <v>1731</v>
      </c>
      <c r="AL236" t="s">
        <v>1732</v>
      </c>
      <c r="AN236" s="19">
        <f>IF(ISBLANK(Mentors[[#This Row],[Onboarded Date]]),"",Mentors[[#This Row],[Onboarded Date]]-WEEKDAY(Mentors[[#This Row],[Onboarded Date]],2)+1)</f>
        <v>45656</v>
      </c>
    </row>
    <row r="237" spans="1:40" ht="19.2" customHeight="1" x14ac:dyDescent="0.3">
      <c r="A237" t="s">
        <v>1733</v>
      </c>
      <c r="B237" t="s">
        <v>404</v>
      </c>
      <c r="C237" t="s">
        <v>1734</v>
      </c>
      <c r="D237" t="s">
        <v>1735</v>
      </c>
      <c r="E237" t="s">
        <v>1736</v>
      </c>
      <c r="F237">
        <v>2016</v>
      </c>
      <c r="G237">
        <f>IF(OR(Mentors[[#This Row],[Career Start Year]]="NA",ISBLANK(Mentors[[#This Row],[Career Start Year]])),"",2026 - Mentors[[#This Row],[Career Start Year]])</f>
        <v>10</v>
      </c>
      <c r="H23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237" t="s">
        <v>51</v>
      </c>
      <c r="J237" t="s">
        <v>118</v>
      </c>
      <c r="K237" t="s">
        <v>1737</v>
      </c>
      <c r="L237" s="17">
        <v>9820440178</v>
      </c>
      <c r="M237" s="19">
        <v>45658</v>
      </c>
      <c r="N237" t="s">
        <v>6</v>
      </c>
      <c r="O237" t="s">
        <v>0</v>
      </c>
      <c r="Q237" t="s">
        <v>54</v>
      </c>
      <c r="R237" t="s">
        <v>54</v>
      </c>
      <c r="S237" t="s">
        <v>54</v>
      </c>
      <c r="T237" s="11" t="s">
        <v>247</v>
      </c>
      <c r="U237" t="s">
        <v>65</v>
      </c>
      <c r="V237" t="s">
        <v>306</v>
      </c>
      <c r="W237" t="s">
        <v>79</v>
      </c>
      <c r="X237" t="s">
        <v>59</v>
      </c>
      <c r="Z237" t="s">
        <v>101</v>
      </c>
      <c r="AA237" t="s">
        <v>62</v>
      </c>
      <c r="AB237">
        <v>1</v>
      </c>
      <c r="AD237" t="s">
        <v>54</v>
      </c>
      <c r="AE237" t="s">
        <v>54</v>
      </c>
      <c r="AF237" t="s">
        <v>64</v>
      </c>
      <c r="AG237" t="s">
        <v>54</v>
      </c>
      <c r="AH237" t="s">
        <v>131</v>
      </c>
      <c r="AI237" t="s">
        <v>248</v>
      </c>
      <c r="AJ237" t="s">
        <v>54</v>
      </c>
      <c r="AK237" t="s">
        <v>1738</v>
      </c>
      <c r="AL237" t="s">
        <v>1739</v>
      </c>
      <c r="AN237" s="19">
        <f>IF(ISBLANK(Mentors[[#This Row],[Onboarded Date]]),"",Mentors[[#This Row],[Onboarded Date]]-WEEKDAY(Mentors[[#This Row],[Onboarded Date]],2)+1)</f>
        <v>45656</v>
      </c>
    </row>
    <row r="238" spans="1:40" ht="19.2" customHeight="1" x14ac:dyDescent="0.3">
      <c r="A238" t="s">
        <v>1740</v>
      </c>
      <c r="B238" t="s">
        <v>358</v>
      </c>
      <c r="C238" t="s">
        <v>1741</v>
      </c>
      <c r="D238" t="s">
        <v>1742</v>
      </c>
      <c r="E238" t="s">
        <v>1743</v>
      </c>
      <c r="F238">
        <v>2006</v>
      </c>
      <c r="G238">
        <f>IF(OR(Mentors[[#This Row],[Career Start Year]]="NA",ISBLANK(Mentors[[#This Row],[Career Start Year]])),"",2026 - Mentors[[#This Row],[Career Start Year]])</f>
        <v>20</v>
      </c>
      <c r="H23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38" t="s">
        <v>51</v>
      </c>
      <c r="J238" t="s">
        <v>118</v>
      </c>
      <c r="K238" t="s">
        <v>1744</v>
      </c>
      <c r="L238" s="17">
        <v>9819013622</v>
      </c>
      <c r="M238" s="19">
        <v>45658</v>
      </c>
      <c r="N238" t="s">
        <v>6</v>
      </c>
      <c r="O238" t="s">
        <v>0</v>
      </c>
      <c r="Q238" t="s">
        <v>54</v>
      </c>
      <c r="R238" t="s">
        <v>63</v>
      </c>
      <c r="S238" t="s">
        <v>63</v>
      </c>
      <c r="T238" s="11" t="s">
        <v>247</v>
      </c>
      <c r="U238" t="s">
        <v>65</v>
      </c>
      <c r="V238" t="s">
        <v>306</v>
      </c>
      <c r="W238" t="s">
        <v>79</v>
      </c>
      <c r="X238" t="s">
        <v>80</v>
      </c>
      <c r="Y238" t="s">
        <v>59</v>
      </c>
      <c r="Z238" t="s">
        <v>101</v>
      </c>
      <c r="AA238" t="s">
        <v>62</v>
      </c>
      <c r="AB238">
        <v>1</v>
      </c>
      <c r="AD238" t="s">
        <v>54</v>
      </c>
      <c r="AE238" t="s">
        <v>54</v>
      </c>
      <c r="AF238" t="s">
        <v>64</v>
      </c>
      <c r="AG238" t="s">
        <v>54</v>
      </c>
      <c r="AH238" t="s">
        <v>131</v>
      </c>
      <c r="AI238" t="s">
        <v>412</v>
      </c>
      <c r="AJ238" t="s">
        <v>54</v>
      </c>
      <c r="AK238" t="s">
        <v>1745</v>
      </c>
      <c r="AL238" t="s">
        <v>1746</v>
      </c>
      <c r="AN238" s="19">
        <f>IF(ISBLANK(Mentors[[#This Row],[Onboarded Date]]),"",Mentors[[#This Row],[Onboarded Date]]-WEEKDAY(Mentors[[#This Row],[Onboarded Date]],2)+1)</f>
        <v>45656</v>
      </c>
    </row>
    <row r="239" spans="1:40" ht="19.2" customHeight="1" x14ac:dyDescent="0.3">
      <c r="A239" t="s">
        <v>1747</v>
      </c>
      <c r="B239" t="s">
        <v>1748</v>
      </c>
      <c r="C239" t="s">
        <v>1749</v>
      </c>
      <c r="D239" t="s">
        <v>1750</v>
      </c>
      <c r="E239" t="s">
        <v>1751</v>
      </c>
      <c r="F239">
        <v>2006</v>
      </c>
      <c r="G239">
        <f>IF(OR(Mentors[[#This Row],[Career Start Year]]="NA",ISBLANK(Mentors[[#This Row],[Career Start Year]])),"",2026 - Mentors[[#This Row],[Career Start Year]])</f>
        <v>20</v>
      </c>
      <c r="H23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39" t="s">
        <v>51</v>
      </c>
      <c r="J239" t="s">
        <v>389</v>
      </c>
      <c r="K239" t="s">
        <v>1752</v>
      </c>
      <c r="L239" s="17">
        <v>9971114952</v>
      </c>
      <c r="M239" s="19">
        <v>45658</v>
      </c>
      <c r="O239" t="s">
        <v>0</v>
      </c>
      <c r="Q239" t="s">
        <v>54</v>
      </c>
      <c r="R239" t="s">
        <v>54</v>
      </c>
      <c r="S239" t="s">
        <v>54</v>
      </c>
      <c r="T239" t="s">
        <v>265</v>
      </c>
      <c r="U239" t="s">
        <v>65</v>
      </c>
      <c r="V239" t="s">
        <v>78</v>
      </c>
      <c r="W239" t="s">
        <v>79</v>
      </c>
      <c r="X239" t="s">
        <v>80</v>
      </c>
      <c r="Y239" t="s">
        <v>59</v>
      </c>
      <c r="Z239" t="s">
        <v>101</v>
      </c>
      <c r="AA239" t="s">
        <v>62</v>
      </c>
      <c r="AB239">
        <v>1</v>
      </c>
      <c r="AD239" t="s">
        <v>54</v>
      </c>
      <c r="AE239" t="s">
        <v>54</v>
      </c>
      <c r="AF239" t="s">
        <v>64</v>
      </c>
      <c r="AG239" t="s">
        <v>54</v>
      </c>
      <c r="AH239" t="s">
        <v>65</v>
      </c>
      <c r="AI239" t="s">
        <v>248</v>
      </c>
      <c r="AJ239" t="s">
        <v>54</v>
      </c>
      <c r="AK239" t="s">
        <v>1753</v>
      </c>
      <c r="AL239" t="s">
        <v>1754</v>
      </c>
      <c r="AN239" s="19">
        <f>IF(ISBLANK(Mentors[[#This Row],[Onboarded Date]]),"",Mentors[[#This Row],[Onboarded Date]]-WEEKDAY(Mentors[[#This Row],[Onboarded Date]],2)+1)</f>
        <v>45656</v>
      </c>
    </row>
    <row r="240" spans="1:40" ht="19.2" customHeight="1" x14ac:dyDescent="0.3">
      <c r="A240" t="s">
        <v>1755</v>
      </c>
      <c r="B240" t="s">
        <v>1756</v>
      </c>
      <c r="C240" t="s">
        <v>1757</v>
      </c>
      <c r="D240" t="s">
        <v>1758</v>
      </c>
      <c r="E240" t="s">
        <v>1759</v>
      </c>
      <c r="F240">
        <v>1993</v>
      </c>
      <c r="G240">
        <f>IF(OR(Mentors[[#This Row],[Career Start Year]]="NA",ISBLANK(Mentors[[#This Row],[Career Start Year]])),"",2026 - Mentors[[#This Row],[Career Start Year]])</f>
        <v>33</v>
      </c>
      <c r="H24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40" t="s">
        <v>51</v>
      </c>
      <c r="J240" t="s">
        <v>88</v>
      </c>
      <c r="K240" t="s">
        <v>1760</v>
      </c>
      <c r="L240" s="17">
        <v>7330999660</v>
      </c>
      <c r="M240" s="19">
        <v>45658</v>
      </c>
      <c r="O240" t="s">
        <v>0</v>
      </c>
      <c r="Q240" t="s">
        <v>54</v>
      </c>
      <c r="R240" t="s">
        <v>54</v>
      </c>
      <c r="S240" t="s">
        <v>54</v>
      </c>
      <c r="T240" t="s">
        <v>110</v>
      </c>
      <c r="U240" t="s">
        <v>65</v>
      </c>
      <c r="V240" t="s">
        <v>78</v>
      </c>
      <c r="W240" t="s">
        <v>79</v>
      </c>
      <c r="Z240" t="s">
        <v>101</v>
      </c>
      <c r="AA240" t="s">
        <v>62</v>
      </c>
      <c r="AB240">
        <v>1</v>
      </c>
      <c r="AD240" t="s">
        <v>54</v>
      </c>
      <c r="AE240" t="s">
        <v>54</v>
      </c>
      <c r="AF240" t="s">
        <v>64</v>
      </c>
      <c r="AG240" t="s">
        <v>54</v>
      </c>
      <c r="AH240" t="s">
        <v>65</v>
      </c>
      <c r="AI240" t="s">
        <v>122</v>
      </c>
      <c r="AJ240" t="s">
        <v>54</v>
      </c>
      <c r="AK240" t="s">
        <v>1761</v>
      </c>
      <c r="AL240" t="s">
        <v>1762</v>
      </c>
      <c r="AN240" s="19">
        <f>IF(ISBLANK(Mentors[[#This Row],[Onboarded Date]]),"",Mentors[[#This Row],[Onboarded Date]]-WEEKDAY(Mentors[[#This Row],[Onboarded Date]],2)+1)</f>
        <v>45656</v>
      </c>
    </row>
    <row r="241" spans="1:40" ht="19.2" customHeight="1" x14ac:dyDescent="0.3">
      <c r="A241" t="s">
        <v>1763</v>
      </c>
      <c r="B241" t="s">
        <v>1035</v>
      </c>
      <c r="C241" t="s">
        <v>1764</v>
      </c>
      <c r="D241" t="s">
        <v>1765</v>
      </c>
      <c r="E241" s="7" t="s">
        <v>1766</v>
      </c>
      <c r="F241">
        <v>2005</v>
      </c>
      <c r="G241">
        <f>IF(OR(Mentors[[#This Row],[Career Start Year]]="NA",ISBLANK(Mentors[[#This Row],[Career Start Year]])),"",2026 - Mentors[[#This Row],[Career Start Year]])</f>
        <v>21</v>
      </c>
      <c r="H24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41" t="s">
        <v>51</v>
      </c>
      <c r="J241" t="s">
        <v>88</v>
      </c>
      <c r="K241" t="s">
        <v>1767</v>
      </c>
      <c r="L241" s="17">
        <v>8074648547</v>
      </c>
      <c r="M241" s="19">
        <v>45658</v>
      </c>
      <c r="O241" t="s">
        <v>0</v>
      </c>
      <c r="Q241" t="s">
        <v>54</v>
      </c>
      <c r="R241" t="s">
        <v>63</v>
      </c>
      <c r="S241" t="s">
        <v>63</v>
      </c>
      <c r="T241" t="s">
        <v>77</v>
      </c>
      <c r="U241" t="s">
        <v>99</v>
      </c>
      <c r="V241" t="s">
        <v>120</v>
      </c>
      <c r="W241" t="s">
        <v>79</v>
      </c>
      <c r="X241" t="s">
        <v>59</v>
      </c>
      <c r="Z241" t="s">
        <v>61</v>
      </c>
      <c r="AA241" t="s">
        <v>62</v>
      </c>
      <c r="AB241">
        <v>1</v>
      </c>
      <c r="AD241" t="s">
        <v>54</v>
      </c>
      <c r="AE241" t="s">
        <v>54</v>
      </c>
      <c r="AF241" t="s">
        <v>64</v>
      </c>
      <c r="AG241" t="s">
        <v>54</v>
      </c>
      <c r="AH241" t="s">
        <v>215</v>
      </c>
      <c r="AI241" t="s">
        <v>122</v>
      </c>
      <c r="AJ241" t="s">
        <v>54</v>
      </c>
      <c r="AK241" t="s">
        <v>1768</v>
      </c>
      <c r="AL241" t="s">
        <v>1769</v>
      </c>
      <c r="AN241" s="19">
        <f>IF(ISBLANK(Mentors[[#This Row],[Onboarded Date]]),"",Mentors[[#This Row],[Onboarded Date]]-WEEKDAY(Mentors[[#This Row],[Onboarded Date]],2)+1)</f>
        <v>45656</v>
      </c>
    </row>
    <row r="242" spans="1:40" ht="19.2" customHeight="1" x14ac:dyDescent="0.3">
      <c r="A242" t="s">
        <v>1770</v>
      </c>
      <c r="B242" t="s">
        <v>1771</v>
      </c>
      <c r="C242" t="s">
        <v>1772</v>
      </c>
      <c r="D242" t="s">
        <v>1773</v>
      </c>
      <c r="E242" t="s">
        <v>1774</v>
      </c>
      <c r="F242">
        <v>2008</v>
      </c>
      <c r="G242">
        <f>IF(OR(Mentors[[#This Row],[Career Start Year]]="NA",ISBLANK(Mentors[[#This Row],[Career Start Year]])),"",2026 - Mentors[[#This Row],[Career Start Year]])</f>
        <v>18</v>
      </c>
      <c r="H24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42" t="s">
        <v>51</v>
      </c>
      <c r="J242" t="s">
        <v>1775</v>
      </c>
      <c r="K242" t="s">
        <v>1776</v>
      </c>
      <c r="L242" s="17">
        <v>8826784646</v>
      </c>
      <c r="M242" s="19">
        <v>45658</v>
      </c>
      <c r="O242" t="s">
        <v>0</v>
      </c>
      <c r="Q242" t="s">
        <v>54</v>
      </c>
      <c r="R242" t="s">
        <v>54</v>
      </c>
      <c r="S242" t="s">
        <v>54</v>
      </c>
      <c r="T242" t="s">
        <v>77</v>
      </c>
      <c r="U242" t="s">
        <v>65</v>
      </c>
      <c r="V242" t="s">
        <v>78</v>
      </c>
      <c r="W242" t="s">
        <v>79</v>
      </c>
      <c r="Z242" t="s">
        <v>101</v>
      </c>
      <c r="AA242" t="s">
        <v>62</v>
      </c>
      <c r="AB242">
        <v>1</v>
      </c>
      <c r="AD242" t="s">
        <v>54</v>
      </c>
      <c r="AE242" t="s">
        <v>54</v>
      </c>
      <c r="AF242" t="s">
        <v>64</v>
      </c>
      <c r="AG242" t="s">
        <v>63</v>
      </c>
      <c r="AH242" t="s">
        <v>94</v>
      </c>
      <c r="AI242" t="s">
        <v>248</v>
      </c>
      <c r="AJ242" t="s">
        <v>54</v>
      </c>
      <c r="AK242" t="s">
        <v>1777</v>
      </c>
      <c r="AL242" t="s">
        <v>1778</v>
      </c>
      <c r="AN242" s="19">
        <f>IF(ISBLANK(Mentors[[#This Row],[Onboarded Date]]),"",Mentors[[#This Row],[Onboarded Date]]-WEEKDAY(Mentors[[#This Row],[Onboarded Date]],2)+1)</f>
        <v>45656</v>
      </c>
    </row>
    <row r="243" spans="1:40" ht="19.2" customHeight="1" x14ac:dyDescent="0.3">
      <c r="A243" t="s">
        <v>1779</v>
      </c>
      <c r="B243" t="s">
        <v>1780</v>
      </c>
      <c r="C243" t="s">
        <v>1781</v>
      </c>
      <c r="D243" t="s">
        <v>1782</v>
      </c>
      <c r="E243" t="s">
        <v>1783</v>
      </c>
      <c r="F243">
        <v>2012</v>
      </c>
      <c r="G243">
        <f>IF(OR(Mentors[[#This Row],[Career Start Year]]="NA",ISBLANK(Mentors[[#This Row],[Career Start Year]])),"",2026 - Mentors[[#This Row],[Career Start Year]])</f>
        <v>14</v>
      </c>
      <c r="H24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243" t="s">
        <v>51</v>
      </c>
      <c r="J243" t="s">
        <v>52</v>
      </c>
      <c r="K243" t="s">
        <v>1784</v>
      </c>
      <c r="L243" s="17">
        <v>9922919565</v>
      </c>
      <c r="M243" s="19">
        <v>45658</v>
      </c>
      <c r="N243" t="s">
        <v>6</v>
      </c>
      <c r="O243" t="s">
        <v>0</v>
      </c>
      <c r="Q243" t="s">
        <v>54</v>
      </c>
      <c r="R243" t="s">
        <v>54</v>
      </c>
      <c r="S243" t="s">
        <v>54</v>
      </c>
      <c r="T243" s="11" t="s">
        <v>247</v>
      </c>
      <c r="U243" t="s">
        <v>77</v>
      </c>
      <c r="V243" t="s">
        <v>306</v>
      </c>
      <c r="W243" t="s">
        <v>79</v>
      </c>
      <c r="X243" t="s">
        <v>59</v>
      </c>
      <c r="Z243" t="s">
        <v>101</v>
      </c>
      <c r="AA243" t="s">
        <v>62</v>
      </c>
      <c r="AB243">
        <v>1</v>
      </c>
      <c r="AD243" t="s">
        <v>54</v>
      </c>
      <c r="AE243" t="s">
        <v>54</v>
      </c>
      <c r="AF243" t="s">
        <v>64</v>
      </c>
      <c r="AG243" t="s">
        <v>54</v>
      </c>
      <c r="AH243" t="s">
        <v>215</v>
      </c>
      <c r="AI243" t="s">
        <v>248</v>
      </c>
      <c r="AJ243" t="s">
        <v>54</v>
      </c>
      <c r="AK243" t="s">
        <v>1785</v>
      </c>
      <c r="AL243" t="s">
        <v>1786</v>
      </c>
      <c r="AN243" s="19">
        <f>IF(ISBLANK(Mentors[[#This Row],[Onboarded Date]]),"",Mentors[[#This Row],[Onboarded Date]]-WEEKDAY(Mentors[[#This Row],[Onboarded Date]],2)+1)</f>
        <v>45656</v>
      </c>
    </row>
    <row r="244" spans="1:40" ht="19.2" customHeight="1" x14ac:dyDescent="0.3">
      <c r="A244" t="s">
        <v>1787</v>
      </c>
      <c r="B244" t="s">
        <v>404</v>
      </c>
      <c r="C244" t="s">
        <v>1788</v>
      </c>
      <c r="D244" t="s">
        <v>1789</v>
      </c>
      <c r="E244" s="7" t="s">
        <v>1790</v>
      </c>
      <c r="G244" t="str">
        <f>IF(OR(Mentors[[#This Row],[Career Start Year]]="NA",ISBLANK(Mentors[[#This Row],[Career Start Year]])),"",2026 - Mentors[[#This Row],[Career Start Year]])</f>
        <v/>
      </c>
      <c r="H24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
      </c>
      <c r="I244" t="s">
        <v>51</v>
      </c>
      <c r="J244" t="s">
        <v>999</v>
      </c>
      <c r="K244" t="s">
        <v>1791</v>
      </c>
      <c r="L244" s="17">
        <v>9893004933</v>
      </c>
      <c r="M244" s="19">
        <v>45658</v>
      </c>
      <c r="N244" t="s">
        <v>6</v>
      </c>
      <c r="O244" t="s">
        <v>0</v>
      </c>
      <c r="Q244" t="s">
        <v>54</v>
      </c>
      <c r="R244" t="s">
        <v>54</v>
      </c>
      <c r="S244" t="s">
        <v>54</v>
      </c>
      <c r="T244" s="11" t="s">
        <v>247</v>
      </c>
      <c r="U244" t="s">
        <v>65</v>
      </c>
      <c r="V244" t="s">
        <v>120</v>
      </c>
      <c r="W244" t="s">
        <v>306</v>
      </c>
      <c r="X244" t="s">
        <v>80</v>
      </c>
      <c r="Y244" t="s">
        <v>59</v>
      </c>
      <c r="Z244" t="s">
        <v>101</v>
      </c>
      <c r="AA244" t="s">
        <v>62</v>
      </c>
      <c r="AB244">
        <v>1</v>
      </c>
      <c r="AD244" t="s">
        <v>54</v>
      </c>
      <c r="AE244" t="s">
        <v>54</v>
      </c>
      <c r="AF244" t="s">
        <v>64</v>
      </c>
      <c r="AG244" t="s">
        <v>54</v>
      </c>
      <c r="AH244" t="s">
        <v>65</v>
      </c>
      <c r="AI244" t="s">
        <v>248</v>
      </c>
      <c r="AJ244" t="s">
        <v>54</v>
      </c>
      <c r="AK244" t="s">
        <v>1792</v>
      </c>
      <c r="AL244" t="s">
        <v>1793</v>
      </c>
      <c r="AN244" s="19">
        <f>IF(ISBLANK(Mentors[[#This Row],[Onboarded Date]]),"",Mentors[[#This Row],[Onboarded Date]]-WEEKDAY(Mentors[[#This Row],[Onboarded Date]],2)+1)</f>
        <v>45656</v>
      </c>
    </row>
    <row r="245" spans="1:40" ht="19.2" customHeight="1" x14ac:dyDescent="0.3">
      <c r="A245" t="s">
        <v>1794</v>
      </c>
      <c r="B245" t="s">
        <v>1795</v>
      </c>
      <c r="C245" t="s">
        <v>1796</v>
      </c>
      <c r="D245" t="s">
        <v>1797</v>
      </c>
      <c r="E245" t="s">
        <v>1798</v>
      </c>
      <c r="F245">
        <v>2005</v>
      </c>
      <c r="G245">
        <f>IF(OR(Mentors[[#This Row],[Career Start Year]]="NA",ISBLANK(Mentors[[#This Row],[Career Start Year]])),"",2026 - Mentors[[#This Row],[Career Start Year]])</f>
        <v>21</v>
      </c>
      <c r="H24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45" t="s">
        <v>51</v>
      </c>
      <c r="J245" t="s">
        <v>280</v>
      </c>
      <c r="K245" t="s">
        <v>1799</v>
      </c>
      <c r="L245" s="17">
        <v>9376161650</v>
      </c>
      <c r="M245" s="19">
        <v>45658</v>
      </c>
      <c r="N245" t="s">
        <v>6</v>
      </c>
      <c r="O245" t="s">
        <v>0</v>
      </c>
      <c r="Q245" t="s">
        <v>54</v>
      </c>
      <c r="R245" t="s">
        <v>54</v>
      </c>
      <c r="S245" t="s">
        <v>54</v>
      </c>
      <c r="T245" s="11" t="s">
        <v>247</v>
      </c>
      <c r="U245" t="s">
        <v>100</v>
      </c>
      <c r="V245" t="s">
        <v>78</v>
      </c>
      <c r="W245" t="s">
        <v>306</v>
      </c>
      <c r="X245" t="s">
        <v>60</v>
      </c>
      <c r="Z245" t="s">
        <v>101</v>
      </c>
      <c r="AA245" t="s">
        <v>62</v>
      </c>
      <c r="AB245">
        <v>1</v>
      </c>
      <c r="AD245" t="s">
        <v>54</v>
      </c>
      <c r="AE245" t="s">
        <v>54</v>
      </c>
      <c r="AF245" t="s">
        <v>64</v>
      </c>
      <c r="AG245" t="s">
        <v>54</v>
      </c>
      <c r="AH245" t="s">
        <v>65</v>
      </c>
      <c r="AI245" t="s">
        <v>248</v>
      </c>
      <c r="AJ245" t="s">
        <v>54</v>
      </c>
      <c r="AK245" t="s">
        <v>1800</v>
      </c>
      <c r="AL245" t="s">
        <v>1801</v>
      </c>
      <c r="AN245" s="19">
        <f>IF(ISBLANK(Mentors[[#This Row],[Onboarded Date]]),"",Mentors[[#This Row],[Onboarded Date]]-WEEKDAY(Mentors[[#This Row],[Onboarded Date]],2)+1)</f>
        <v>45656</v>
      </c>
    </row>
    <row r="246" spans="1:40" ht="19.2" customHeight="1" x14ac:dyDescent="0.3">
      <c r="A246" t="s">
        <v>1802</v>
      </c>
      <c r="B246" t="s">
        <v>1803</v>
      </c>
      <c r="C246" t="s">
        <v>1804</v>
      </c>
      <c r="D246" t="s">
        <v>1805</v>
      </c>
      <c r="E246" t="s">
        <v>1806</v>
      </c>
      <c r="F246">
        <v>2005</v>
      </c>
      <c r="G246">
        <f>IF(OR(Mentors[[#This Row],[Career Start Year]]="NA",ISBLANK(Mentors[[#This Row],[Career Start Year]])),"",2026 - Mentors[[#This Row],[Career Start Year]])</f>
        <v>21</v>
      </c>
      <c r="H24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46" t="s">
        <v>51</v>
      </c>
      <c r="J246" t="s">
        <v>570</v>
      </c>
      <c r="K246" t="s">
        <v>1807</v>
      </c>
      <c r="L246" s="17">
        <v>9001097511</v>
      </c>
      <c r="M246" s="19">
        <v>45658</v>
      </c>
      <c r="O246" t="s">
        <v>0</v>
      </c>
      <c r="Q246" t="s">
        <v>54</v>
      </c>
      <c r="R246" t="s">
        <v>63</v>
      </c>
      <c r="S246" t="s">
        <v>63</v>
      </c>
      <c r="T246" t="s">
        <v>56</v>
      </c>
      <c r="U246" t="s">
        <v>110</v>
      </c>
      <c r="V246" t="s">
        <v>78</v>
      </c>
      <c r="W246" t="s">
        <v>79</v>
      </c>
      <c r="X246" t="s">
        <v>80</v>
      </c>
      <c r="Z246" t="s">
        <v>101</v>
      </c>
      <c r="AA246" t="s">
        <v>62</v>
      </c>
      <c r="AB246">
        <v>1</v>
      </c>
      <c r="AD246" t="s">
        <v>54</v>
      </c>
      <c r="AE246" t="s">
        <v>54</v>
      </c>
      <c r="AF246" t="s">
        <v>64</v>
      </c>
      <c r="AG246" t="s">
        <v>54</v>
      </c>
      <c r="AH246" t="s">
        <v>152</v>
      </c>
      <c r="AI246" t="s">
        <v>132</v>
      </c>
      <c r="AJ246" t="s">
        <v>54</v>
      </c>
      <c r="AK246" t="s">
        <v>1808</v>
      </c>
      <c r="AL246" t="s">
        <v>1809</v>
      </c>
      <c r="AN246" s="19">
        <f>IF(ISBLANK(Mentors[[#This Row],[Onboarded Date]]),"",Mentors[[#This Row],[Onboarded Date]]-WEEKDAY(Mentors[[#This Row],[Onboarded Date]],2)+1)</f>
        <v>45656</v>
      </c>
    </row>
    <row r="247" spans="1:40" ht="19.2" customHeight="1" x14ac:dyDescent="0.3">
      <c r="A247" t="s">
        <v>1810</v>
      </c>
      <c r="B247" t="s">
        <v>152</v>
      </c>
      <c r="C247" t="s">
        <v>1811</v>
      </c>
      <c r="D247" t="s">
        <v>1812</v>
      </c>
      <c r="E247" t="s">
        <v>1813</v>
      </c>
      <c r="F247">
        <v>2008</v>
      </c>
      <c r="G247">
        <f>IF(OR(Mentors[[#This Row],[Career Start Year]]="NA",ISBLANK(Mentors[[#This Row],[Career Start Year]])),"",2026 - Mentors[[#This Row],[Career Start Year]])</f>
        <v>18</v>
      </c>
      <c r="H24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47" t="s">
        <v>51</v>
      </c>
      <c r="J247" t="s">
        <v>74</v>
      </c>
      <c r="K247" t="s">
        <v>1814</v>
      </c>
      <c r="L247" s="17">
        <v>9958166929</v>
      </c>
      <c r="M247" s="19">
        <v>45658</v>
      </c>
      <c r="O247" t="s">
        <v>0</v>
      </c>
      <c r="Q247" t="s">
        <v>63</v>
      </c>
      <c r="R247" t="s">
        <v>63</v>
      </c>
      <c r="S247" t="s">
        <v>63</v>
      </c>
      <c r="T247" t="s">
        <v>76</v>
      </c>
      <c r="U247" t="s">
        <v>65</v>
      </c>
      <c r="V247" t="s">
        <v>78</v>
      </c>
      <c r="W247" t="s">
        <v>79</v>
      </c>
      <c r="X247" t="s">
        <v>59</v>
      </c>
      <c r="Z247" t="s">
        <v>81</v>
      </c>
      <c r="AA247" t="s">
        <v>62</v>
      </c>
      <c r="AB247">
        <v>1</v>
      </c>
      <c r="AD247" t="s">
        <v>54</v>
      </c>
      <c r="AE247" t="s">
        <v>63</v>
      </c>
      <c r="AF247" t="s">
        <v>64</v>
      </c>
      <c r="AG247" t="s">
        <v>54</v>
      </c>
      <c r="AH247" t="s">
        <v>152</v>
      </c>
      <c r="AI247" t="s">
        <v>1177</v>
      </c>
      <c r="AJ247" t="s">
        <v>54</v>
      </c>
      <c r="AK247" t="s">
        <v>1815</v>
      </c>
      <c r="AL247" t="s">
        <v>1816</v>
      </c>
      <c r="AN247" s="19">
        <f>IF(ISBLANK(Mentors[[#This Row],[Onboarded Date]]),"",Mentors[[#This Row],[Onboarded Date]]-WEEKDAY(Mentors[[#This Row],[Onboarded Date]],2)+1)</f>
        <v>45656</v>
      </c>
    </row>
    <row r="248" spans="1:40" ht="19.2" customHeight="1" x14ac:dyDescent="0.3">
      <c r="A248" t="s">
        <v>1817</v>
      </c>
      <c r="B248" t="s">
        <v>1818</v>
      </c>
      <c r="C248" t="s">
        <v>1819</v>
      </c>
      <c r="D248" t="s">
        <v>1820</v>
      </c>
      <c r="E248" t="s">
        <v>1821</v>
      </c>
      <c r="F248">
        <v>2005</v>
      </c>
      <c r="G248">
        <f>IF(OR(Mentors[[#This Row],[Career Start Year]]="NA",ISBLANK(Mentors[[#This Row],[Career Start Year]])),"",2026 - Mentors[[#This Row],[Career Start Year]])</f>
        <v>21</v>
      </c>
      <c r="H24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48" t="s">
        <v>51</v>
      </c>
      <c r="J248" t="s">
        <v>297</v>
      </c>
      <c r="K248" s="7" t="s">
        <v>1822</v>
      </c>
      <c r="L248" s="17">
        <v>9818663833</v>
      </c>
      <c r="M248" s="19">
        <v>45658</v>
      </c>
      <c r="O248" t="s">
        <v>0</v>
      </c>
      <c r="Q248" t="s">
        <v>54</v>
      </c>
      <c r="R248" t="s">
        <v>54</v>
      </c>
      <c r="S248" t="s">
        <v>63</v>
      </c>
      <c r="T248" t="s">
        <v>187</v>
      </c>
      <c r="U248" t="s">
        <v>445</v>
      </c>
      <c r="V248" t="s">
        <v>120</v>
      </c>
      <c r="W248" t="s">
        <v>79</v>
      </c>
      <c r="X248" t="s">
        <v>59</v>
      </c>
      <c r="Y248" t="s">
        <v>1120</v>
      </c>
      <c r="Z248" t="s">
        <v>81</v>
      </c>
      <c r="AA248" t="s">
        <v>62</v>
      </c>
      <c r="AB248">
        <v>1</v>
      </c>
      <c r="AD248" t="s">
        <v>63</v>
      </c>
      <c r="AE248" t="s">
        <v>63</v>
      </c>
      <c r="AG248" t="s">
        <v>54</v>
      </c>
      <c r="AH248" t="s">
        <v>215</v>
      </c>
      <c r="AI248" t="s">
        <v>132</v>
      </c>
      <c r="AJ248" t="s">
        <v>54</v>
      </c>
      <c r="AK248" t="s">
        <v>1823</v>
      </c>
      <c r="AL248" t="s">
        <v>1824</v>
      </c>
      <c r="AN248" s="19">
        <f>IF(ISBLANK(Mentors[[#This Row],[Onboarded Date]]),"",Mentors[[#This Row],[Onboarded Date]]-WEEKDAY(Mentors[[#This Row],[Onboarded Date]],2)+1)</f>
        <v>45656</v>
      </c>
    </row>
    <row r="249" spans="1:40" ht="19.2" customHeight="1" x14ac:dyDescent="0.3">
      <c r="A249" t="s">
        <v>1825</v>
      </c>
      <c r="B249" t="s">
        <v>404</v>
      </c>
      <c r="C249" t="s">
        <v>1470</v>
      </c>
      <c r="D249" t="s">
        <v>1826</v>
      </c>
      <c r="E249" t="s">
        <v>1827</v>
      </c>
      <c r="F249">
        <v>2007</v>
      </c>
      <c r="G249">
        <f>IF(OR(Mentors[[#This Row],[Career Start Year]]="NA",ISBLANK(Mentors[[#This Row],[Career Start Year]])),"",2026 - Mentors[[#This Row],[Career Start Year]])</f>
        <v>19</v>
      </c>
      <c r="H24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49" t="s">
        <v>51</v>
      </c>
      <c r="J249" t="s">
        <v>1828</v>
      </c>
      <c r="K249" t="s">
        <v>1829</v>
      </c>
      <c r="L249" s="17">
        <v>9724059260</v>
      </c>
      <c r="M249" s="19">
        <v>45658</v>
      </c>
      <c r="O249" t="s">
        <v>0</v>
      </c>
      <c r="Q249" t="s">
        <v>54</v>
      </c>
      <c r="R249" t="s">
        <v>54</v>
      </c>
      <c r="S249" t="s">
        <v>54</v>
      </c>
      <c r="T249" t="s">
        <v>77</v>
      </c>
      <c r="U249" t="s">
        <v>65</v>
      </c>
      <c r="V249" t="s">
        <v>78</v>
      </c>
      <c r="W249" t="s">
        <v>79</v>
      </c>
      <c r="X249" t="s">
        <v>59</v>
      </c>
      <c r="Z249" t="s">
        <v>101</v>
      </c>
      <c r="AA249" t="s">
        <v>62</v>
      </c>
      <c r="AB249">
        <v>1</v>
      </c>
      <c r="AD249" t="s">
        <v>54</v>
      </c>
      <c r="AE249" t="s">
        <v>54</v>
      </c>
      <c r="AF249" t="s">
        <v>64</v>
      </c>
      <c r="AG249" t="s">
        <v>54</v>
      </c>
      <c r="AH249" t="s">
        <v>65</v>
      </c>
      <c r="AI249" t="s">
        <v>248</v>
      </c>
      <c r="AJ249" t="s">
        <v>54</v>
      </c>
      <c r="AK249" t="s">
        <v>1830</v>
      </c>
      <c r="AL249" t="s">
        <v>1831</v>
      </c>
      <c r="AN249" s="19">
        <f>IF(ISBLANK(Mentors[[#This Row],[Onboarded Date]]),"",Mentors[[#This Row],[Onboarded Date]]-WEEKDAY(Mentors[[#This Row],[Onboarded Date]],2)+1)</f>
        <v>45656</v>
      </c>
    </row>
    <row r="250" spans="1:40" ht="19.2" customHeight="1" x14ac:dyDescent="0.3">
      <c r="A250" t="s">
        <v>1832</v>
      </c>
      <c r="B250" t="s">
        <v>1247</v>
      </c>
      <c r="C250" t="s">
        <v>1833</v>
      </c>
      <c r="D250" t="s">
        <v>1834</v>
      </c>
      <c r="E250" t="s">
        <v>1835</v>
      </c>
      <c r="F250">
        <v>2011</v>
      </c>
      <c r="G250">
        <f>IF(OR(Mentors[[#This Row],[Career Start Year]]="NA",ISBLANK(Mentors[[#This Row],[Career Start Year]])),"",2026 - Mentors[[#This Row],[Career Start Year]])</f>
        <v>15</v>
      </c>
      <c r="H25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250" t="s">
        <v>51</v>
      </c>
      <c r="J250" t="s">
        <v>1007</v>
      </c>
      <c r="K250" t="s">
        <v>1836</v>
      </c>
      <c r="L250" s="17">
        <v>9003374417</v>
      </c>
      <c r="M250" s="19">
        <v>45658</v>
      </c>
      <c r="O250" t="s">
        <v>0</v>
      </c>
      <c r="Q250" t="s">
        <v>54</v>
      </c>
      <c r="R250" t="s">
        <v>54</v>
      </c>
      <c r="S250" t="s">
        <v>54</v>
      </c>
      <c r="T250" t="s">
        <v>77</v>
      </c>
      <c r="U250" t="s">
        <v>65</v>
      </c>
      <c r="V250" s="4" t="s">
        <v>481</v>
      </c>
      <c r="W250" t="s">
        <v>79</v>
      </c>
      <c r="Z250" t="s">
        <v>101</v>
      </c>
      <c r="AA250" t="s">
        <v>62</v>
      </c>
      <c r="AB250">
        <v>1</v>
      </c>
      <c r="AD250" t="s">
        <v>54</v>
      </c>
      <c r="AE250" t="s">
        <v>54</v>
      </c>
      <c r="AF250" t="s">
        <v>64</v>
      </c>
      <c r="AG250" t="s">
        <v>54</v>
      </c>
      <c r="AH250" t="s">
        <v>65</v>
      </c>
      <c r="AI250" t="s">
        <v>248</v>
      </c>
      <c r="AJ250" t="s">
        <v>54</v>
      </c>
      <c r="AK250" t="s">
        <v>1837</v>
      </c>
      <c r="AL250" t="s">
        <v>1838</v>
      </c>
      <c r="AN250" s="19">
        <f>IF(ISBLANK(Mentors[[#This Row],[Onboarded Date]]),"",Mentors[[#This Row],[Onboarded Date]]-WEEKDAY(Mentors[[#This Row],[Onboarded Date]],2)+1)</f>
        <v>45656</v>
      </c>
    </row>
    <row r="251" spans="1:40" ht="19.2" customHeight="1" x14ac:dyDescent="0.3">
      <c r="A251" t="s">
        <v>1839</v>
      </c>
      <c r="B251" t="s">
        <v>404</v>
      </c>
      <c r="C251" t="s">
        <v>1840</v>
      </c>
      <c r="D251" t="s">
        <v>1841</v>
      </c>
      <c r="E251" t="s">
        <v>1842</v>
      </c>
      <c r="F251">
        <v>2005</v>
      </c>
      <c r="G251">
        <f>IF(OR(Mentors[[#This Row],[Career Start Year]]="NA",ISBLANK(Mentors[[#This Row],[Career Start Year]])),"",2026 - Mentors[[#This Row],[Career Start Year]])</f>
        <v>21</v>
      </c>
      <c r="H25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51" t="s">
        <v>51</v>
      </c>
      <c r="J251" t="s">
        <v>74</v>
      </c>
      <c r="K251" t="s">
        <v>1843</v>
      </c>
      <c r="L251" s="17">
        <v>9811300019</v>
      </c>
      <c r="M251" s="19">
        <v>45658</v>
      </c>
      <c r="O251" t="s">
        <v>0</v>
      </c>
      <c r="Q251" t="s">
        <v>54</v>
      </c>
      <c r="R251" t="s">
        <v>54</v>
      </c>
      <c r="S251" t="s">
        <v>54</v>
      </c>
      <c r="T251" t="s">
        <v>110</v>
      </c>
      <c r="U251" t="s">
        <v>65</v>
      </c>
      <c r="V251" t="s">
        <v>78</v>
      </c>
      <c r="W251" t="s">
        <v>79</v>
      </c>
      <c r="Z251" t="s">
        <v>101</v>
      </c>
      <c r="AA251" t="s">
        <v>62</v>
      </c>
      <c r="AB251">
        <v>1</v>
      </c>
      <c r="AD251" t="s">
        <v>54</v>
      </c>
      <c r="AE251" t="s">
        <v>54</v>
      </c>
      <c r="AF251" t="s">
        <v>64</v>
      </c>
      <c r="AG251" t="s">
        <v>54</v>
      </c>
      <c r="AH251" t="s">
        <v>65</v>
      </c>
      <c r="AI251" t="s">
        <v>248</v>
      </c>
      <c r="AJ251" t="s">
        <v>54</v>
      </c>
      <c r="AK251" t="s">
        <v>1844</v>
      </c>
      <c r="AL251" t="s">
        <v>1845</v>
      </c>
      <c r="AN251" s="19">
        <f>IF(ISBLANK(Mentors[[#This Row],[Onboarded Date]]),"",Mentors[[#This Row],[Onboarded Date]]-WEEKDAY(Mentors[[#This Row],[Onboarded Date]],2)+1)</f>
        <v>45656</v>
      </c>
    </row>
    <row r="252" spans="1:40" ht="19.2" customHeight="1" x14ac:dyDescent="0.3">
      <c r="A252" t="s">
        <v>1846</v>
      </c>
      <c r="B252" t="s">
        <v>1847</v>
      </c>
      <c r="C252" t="s">
        <v>1848</v>
      </c>
      <c r="D252" t="s">
        <v>1849</v>
      </c>
      <c r="E252" t="s">
        <v>1850</v>
      </c>
      <c r="F252">
        <v>2003</v>
      </c>
      <c r="G252">
        <f>IF(OR(Mentors[[#This Row],[Career Start Year]]="NA",ISBLANK(Mentors[[#This Row],[Career Start Year]])),"",2026 - Mentors[[#This Row],[Career Start Year]])</f>
        <v>23</v>
      </c>
      <c r="H25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52" t="s">
        <v>51</v>
      </c>
      <c r="J252" t="s">
        <v>1007</v>
      </c>
      <c r="K252" t="s">
        <v>1851</v>
      </c>
      <c r="L252" s="17">
        <v>8012108962</v>
      </c>
      <c r="M252" s="19">
        <v>45658</v>
      </c>
      <c r="N252" t="s">
        <v>6</v>
      </c>
      <c r="O252" t="s">
        <v>0</v>
      </c>
      <c r="Q252" t="s">
        <v>54</v>
      </c>
      <c r="R252" t="s">
        <v>54</v>
      </c>
      <c r="S252" t="s">
        <v>54</v>
      </c>
      <c r="T252" s="11" t="s">
        <v>247</v>
      </c>
      <c r="U252" t="s">
        <v>65</v>
      </c>
      <c r="V252" t="s">
        <v>306</v>
      </c>
      <c r="W252" t="s">
        <v>306</v>
      </c>
      <c r="X252" t="s">
        <v>80</v>
      </c>
      <c r="Y252" t="s">
        <v>59</v>
      </c>
      <c r="Z252" t="s">
        <v>101</v>
      </c>
      <c r="AA252" t="s">
        <v>62</v>
      </c>
      <c r="AB252">
        <v>1</v>
      </c>
      <c r="AD252" t="s">
        <v>54</v>
      </c>
      <c r="AE252" t="s">
        <v>54</v>
      </c>
      <c r="AF252" t="s">
        <v>64</v>
      </c>
      <c r="AG252" t="s">
        <v>54</v>
      </c>
      <c r="AH252" t="s">
        <v>65</v>
      </c>
      <c r="AI252" t="s">
        <v>248</v>
      </c>
      <c r="AJ252" t="s">
        <v>54</v>
      </c>
      <c r="AK252" t="s">
        <v>1852</v>
      </c>
      <c r="AL252" t="s">
        <v>1475</v>
      </c>
      <c r="AN252" s="19">
        <f>IF(ISBLANK(Mentors[[#This Row],[Onboarded Date]]),"",Mentors[[#This Row],[Onboarded Date]]-WEEKDAY(Mentors[[#This Row],[Onboarded Date]],2)+1)</f>
        <v>45656</v>
      </c>
    </row>
    <row r="253" spans="1:40" ht="19.2" customHeight="1" x14ac:dyDescent="0.3">
      <c r="A253" t="s">
        <v>1853</v>
      </c>
      <c r="B253" t="s">
        <v>1854</v>
      </c>
      <c r="C253" t="s">
        <v>1855</v>
      </c>
      <c r="D253" t="s">
        <v>1856</v>
      </c>
      <c r="E253" t="s">
        <v>1857</v>
      </c>
      <c r="F253">
        <v>2003</v>
      </c>
      <c r="G253">
        <f>IF(OR(Mentors[[#This Row],[Career Start Year]]="NA",ISBLANK(Mentors[[#This Row],[Career Start Year]])),"",2026 - Mentors[[#This Row],[Career Start Year]])</f>
        <v>23</v>
      </c>
      <c r="H25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53" t="s">
        <v>51</v>
      </c>
      <c r="J253" t="s">
        <v>52</v>
      </c>
      <c r="K253" t="s">
        <v>1858</v>
      </c>
      <c r="L253" s="17">
        <v>9833838177</v>
      </c>
      <c r="M253" s="19">
        <v>45658</v>
      </c>
      <c r="O253" t="s">
        <v>0</v>
      </c>
      <c r="Q253" t="s">
        <v>54</v>
      </c>
      <c r="R253" t="s">
        <v>63</v>
      </c>
      <c r="S253" t="s">
        <v>63</v>
      </c>
      <c r="T253" t="s">
        <v>77</v>
      </c>
      <c r="U253" t="s">
        <v>65</v>
      </c>
      <c r="V253" s="4" t="s">
        <v>256</v>
      </c>
      <c r="W253" t="s">
        <v>79</v>
      </c>
      <c r="X253" t="s">
        <v>59</v>
      </c>
      <c r="Z253" t="s">
        <v>101</v>
      </c>
      <c r="AA253" t="s">
        <v>62</v>
      </c>
      <c r="AB253">
        <v>1</v>
      </c>
      <c r="AD253" t="s">
        <v>54</v>
      </c>
      <c r="AE253" t="s">
        <v>54</v>
      </c>
      <c r="AF253" t="s">
        <v>64</v>
      </c>
      <c r="AG253" t="s">
        <v>54</v>
      </c>
      <c r="AH253" t="s">
        <v>65</v>
      </c>
      <c r="AI253" t="s">
        <v>248</v>
      </c>
      <c r="AJ253" t="s">
        <v>54</v>
      </c>
      <c r="AK253" t="s">
        <v>1859</v>
      </c>
      <c r="AL253" t="s">
        <v>1860</v>
      </c>
      <c r="AN253" s="19">
        <f>IF(ISBLANK(Mentors[[#This Row],[Onboarded Date]]),"",Mentors[[#This Row],[Onboarded Date]]-WEEKDAY(Mentors[[#This Row],[Onboarded Date]],2)+1)</f>
        <v>45656</v>
      </c>
    </row>
    <row r="254" spans="1:40" ht="19.2" customHeight="1" x14ac:dyDescent="0.3">
      <c r="A254" t="s">
        <v>1861</v>
      </c>
      <c r="B254" t="s">
        <v>115</v>
      </c>
      <c r="C254" t="s">
        <v>1862</v>
      </c>
      <c r="D254" t="s">
        <v>1863</v>
      </c>
      <c r="E254" t="s">
        <v>1864</v>
      </c>
      <c r="F254">
        <v>1984</v>
      </c>
      <c r="G254">
        <f>IF(OR(Mentors[[#This Row],[Career Start Year]]="NA",ISBLANK(Mentors[[#This Row],[Career Start Year]])),"",2026 - Mentors[[#This Row],[Career Start Year]])</f>
        <v>42</v>
      </c>
      <c r="H25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54" t="s">
        <v>51</v>
      </c>
      <c r="J254" t="s">
        <v>917</v>
      </c>
      <c r="K254" t="s">
        <v>1865</v>
      </c>
      <c r="L254" s="17">
        <v>9839013786</v>
      </c>
      <c r="M254" s="19">
        <v>45658</v>
      </c>
      <c r="O254" t="s">
        <v>0</v>
      </c>
      <c r="Q254" t="s">
        <v>63</v>
      </c>
      <c r="R254" t="s">
        <v>63</v>
      </c>
      <c r="S254" t="s">
        <v>63</v>
      </c>
      <c r="T254" t="s">
        <v>110</v>
      </c>
      <c r="U254" t="s">
        <v>79</v>
      </c>
      <c r="V254" t="s">
        <v>78</v>
      </c>
      <c r="W254" t="s">
        <v>79</v>
      </c>
      <c r="Z254" t="s">
        <v>61</v>
      </c>
      <c r="AA254" t="s">
        <v>62</v>
      </c>
      <c r="AB254">
        <v>1</v>
      </c>
      <c r="AD254" t="s">
        <v>63</v>
      </c>
      <c r="AE254" t="s">
        <v>54</v>
      </c>
      <c r="AF254" t="s">
        <v>64</v>
      </c>
      <c r="AG254" t="s">
        <v>54</v>
      </c>
      <c r="AH254" t="s">
        <v>65</v>
      </c>
      <c r="AI254" t="s">
        <v>122</v>
      </c>
      <c r="AJ254" t="s">
        <v>54</v>
      </c>
      <c r="AK254" t="s">
        <v>1866</v>
      </c>
      <c r="AL254" t="s">
        <v>1867</v>
      </c>
      <c r="AN254" s="19">
        <f>IF(ISBLANK(Mentors[[#This Row],[Onboarded Date]]),"",Mentors[[#This Row],[Onboarded Date]]-WEEKDAY(Mentors[[#This Row],[Onboarded Date]],2)+1)</f>
        <v>45656</v>
      </c>
    </row>
    <row r="255" spans="1:40" ht="19.2" customHeight="1" x14ac:dyDescent="0.3">
      <c r="A255" t="s">
        <v>1868</v>
      </c>
      <c r="B255" t="s">
        <v>1869</v>
      </c>
      <c r="C255" t="s">
        <v>1870</v>
      </c>
      <c r="D255" t="s">
        <v>1871</v>
      </c>
      <c r="E255" t="s">
        <v>1872</v>
      </c>
      <c r="F255">
        <v>2003</v>
      </c>
      <c r="G255">
        <f>IF(OR(Mentors[[#This Row],[Career Start Year]]="NA",ISBLANK(Mentors[[#This Row],[Career Start Year]])),"",2026 - Mentors[[#This Row],[Career Start Year]])</f>
        <v>23</v>
      </c>
      <c r="H25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55" t="s">
        <v>51</v>
      </c>
      <c r="J255" t="s">
        <v>88</v>
      </c>
      <c r="K255" t="s">
        <v>1873</v>
      </c>
      <c r="L255" s="17">
        <v>9849560981</v>
      </c>
      <c r="M255" s="19">
        <v>45658</v>
      </c>
      <c r="O255" t="s">
        <v>0</v>
      </c>
      <c r="Q255" t="s">
        <v>54</v>
      </c>
      <c r="R255" t="s">
        <v>63</v>
      </c>
      <c r="S255" t="s">
        <v>63</v>
      </c>
      <c r="T255" t="s">
        <v>110</v>
      </c>
      <c r="U255" t="s">
        <v>77</v>
      </c>
      <c r="V255" t="s">
        <v>78</v>
      </c>
      <c r="W255" t="s">
        <v>79</v>
      </c>
      <c r="X255" t="s">
        <v>59</v>
      </c>
      <c r="Z255" t="s">
        <v>101</v>
      </c>
      <c r="AA255" t="s">
        <v>62</v>
      </c>
      <c r="AB255">
        <v>1</v>
      </c>
      <c r="AD255" t="s">
        <v>54</v>
      </c>
      <c r="AE255" t="s">
        <v>54</v>
      </c>
      <c r="AF255" t="s">
        <v>64</v>
      </c>
      <c r="AG255" t="s">
        <v>54</v>
      </c>
      <c r="AH255" t="s">
        <v>65</v>
      </c>
      <c r="AI255" t="s">
        <v>77</v>
      </c>
      <c r="AJ255" t="s">
        <v>54</v>
      </c>
      <c r="AK255" t="s">
        <v>1874</v>
      </c>
      <c r="AL255" t="s">
        <v>1875</v>
      </c>
      <c r="AN255" s="19">
        <f>IF(ISBLANK(Mentors[[#This Row],[Onboarded Date]]),"",Mentors[[#This Row],[Onboarded Date]]-WEEKDAY(Mentors[[#This Row],[Onboarded Date]],2)+1)</f>
        <v>45656</v>
      </c>
    </row>
    <row r="256" spans="1:40" ht="19.2" customHeight="1" x14ac:dyDescent="0.3">
      <c r="A256" t="s">
        <v>1876</v>
      </c>
      <c r="B256" t="s">
        <v>115</v>
      </c>
      <c r="C256" t="s">
        <v>1877</v>
      </c>
      <c r="D256" t="s">
        <v>1878</v>
      </c>
      <c r="E256" t="s">
        <v>1879</v>
      </c>
      <c r="F256">
        <v>1989</v>
      </c>
      <c r="G256">
        <f>IF(OR(Mentors[[#This Row],[Career Start Year]]="NA",ISBLANK(Mentors[[#This Row],[Career Start Year]])),"",2026 - Mentors[[#This Row],[Career Start Year]])</f>
        <v>37</v>
      </c>
      <c r="H25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56" t="s">
        <v>51</v>
      </c>
      <c r="J256" t="s">
        <v>196</v>
      </c>
      <c r="K256" t="s">
        <v>1880</v>
      </c>
      <c r="L256" s="17">
        <v>9886117267</v>
      </c>
      <c r="M256" s="19">
        <v>45658</v>
      </c>
      <c r="O256" t="s">
        <v>0</v>
      </c>
      <c r="Q256" t="s">
        <v>54</v>
      </c>
      <c r="R256" t="s">
        <v>54</v>
      </c>
      <c r="S256" t="s">
        <v>63</v>
      </c>
      <c r="T256" t="s">
        <v>110</v>
      </c>
      <c r="U256" t="s">
        <v>265</v>
      </c>
      <c r="V256" t="s">
        <v>78</v>
      </c>
      <c r="W256" t="s">
        <v>57</v>
      </c>
      <c r="X256" t="s">
        <v>59</v>
      </c>
      <c r="Y256" t="s">
        <v>60</v>
      </c>
      <c r="Z256" t="s">
        <v>81</v>
      </c>
      <c r="AA256" t="s">
        <v>62</v>
      </c>
      <c r="AB256">
        <v>1</v>
      </c>
      <c r="AD256" t="s">
        <v>63</v>
      </c>
      <c r="AE256" t="s">
        <v>54</v>
      </c>
      <c r="AF256" t="s">
        <v>64</v>
      </c>
      <c r="AG256" t="s">
        <v>54</v>
      </c>
      <c r="AH256" t="s">
        <v>65</v>
      </c>
      <c r="AI256" t="s">
        <v>248</v>
      </c>
      <c r="AJ256" t="s">
        <v>54</v>
      </c>
      <c r="AK256" t="s">
        <v>1881</v>
      </c>
      <c r="AL256" t="s">
        <v>1882</v>
      </c>
      <c r="AN256" s="19">
        <f>IF(ISBLANK(Mentors[[#This Row],[Onboarded Date]]),"",Mentors[[#This Row],[Onboarded Date]]-WEEKDAY(Mentors[[#This Row],[Onboarded Date]],2)+1)</f>
        <v>45656</v>
      </c>
    </row>
    <row r="257" spans="1:40" ht="19.2" customHeight="1" x14ac:dyDescent="0.3">
      <c r="A257" t="s">
        <v>1883</v>
      </c>
      <c r="B257" t="s">
        <v>1884</v>
      </c>
      <c r="C257" t="s">
        <v>1885</v>
      </c>
      <c r="D257" t="s">
        <v>1886</v>
      </c>
      <c r="E257" t="s">
        <v>1887</v>
      </c>
      <c r="F257">
        <v>2007</v>
      </c>
      <c r="G257">
        <f>IF(OR(Mentors[[#This Row],[Career Start Year]]="NA",ISBLANK(Mentors[[#This Row],[Career Start Year]])),"",2026 - Mentors[[#This Row],[Career Start Year]])</f>
        <v>19</v>
      </c>
      <c r="H25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57" t="s">
        <v>51</v>
      </c>
      <c r="J257" t="s">
        <v>314</v>
      </c>
      <c r="K257" t="s">
        <v>1888</v>
      </c>
      <c r="L257" s="17">
        <v>9833058992</v>
      </c>
      <c r="M257" s="19">
        <v>45658</v>
      </c>
      <c r="O257" t="s">
        <v>0</v>
      </c>
      <c r="Q257" t="s">
        <v>54</v>
      </c>
      <c r="R257" t="s">
        <v>54</v>
      </c>
      <c r="S257" t="s">
        <v>54</v>
      </c>
      <c r="T257" t="s">
        <v>56</v>
      </c>
      <c r="U257" t="s">
        <v>381</v>
      </c>
      <c r="V257" t="s">
        <v>78</v>
      </c>
      <c r="W257" t="s">
        <v>120</v>
      </c>
      <c r="X257" t="s">
        <v>60</v>
      </c>
      <c r="Z257" t="s">
        <v>81</v>
      </c>
      <c r="AA257" t="s">
        <v>62</v>
      </c>
      <c r="AB257">
        <v>1</v>
      </c>
      <c r="AD257" t="s">
        <v>54</v>
      </c>
      <c r="AE257" t="s">
        <v>54</v>
      </c>
      <c r="AF257" t="s">
        <v>64</v>
      </c>
      <c r="AG257" t="s">
        <v>54</v>
      </c>
      <c r="AH257" t="s">
        <v>65</v>
      </c>
      <c r="AI257" t="s">
        <v>132</v>
      </c>
      <c r="AJ257" t="s">
        <v>54</v>
      </c>
      <c r="AK257" t="s">
        <v>1889</v>
      </c>
      <c r="AL257" t="s">
        <v>1890</v>
      </c>
      <c r="AN257" s="19">
        <f>IF(ISBLANK(Mentors[[#This Row],[Onboarded Date]]),"",Mentors[[#This Row],[Onboarded Date]]-WEEKDAY(Mentors[[#This Row],[Onboarded Date]],2)+1)</f>
        <v>45656</v>
      </c>
    </row>
    <row r="258" spans="1:40" ht="19.2" customHeight="1" x14ac:dyDescent="0.3">
      <c r="A258" t="s">
        <v>1891</v>
      </c>
      <c r="B258" t="s">
        <v>1892</v>
      </c>
      <c r="C258" t="s">
        <v>1893</v>
      </c>
      <c r="D258" t="s">
        <v>1894</v>
      </c>
      <c r="E258" s="7" t="s">
        <v>1895</v>
      </c>
      <c r="F258">
        <v>2008</v>
      </c>
      <c r="G258">
        <f>IF(OR(Mentors[[#This Row],[Career Start Year]]="NA",ISBLANK(Mentors[[#This Row],[Career Start Year]])),"",2026 - Mentors[[#This Row],[Career Start Year]])</f>
        <v>18</v>
      </c>
      <c r="H25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58" t="s">
        <v>51</v>
      </c>
      <c r="J258" t="s">
        <v>118</v>
      </c>
      <c r="K258" s="7" t="s">
        <v>1896</v>
      </c>
      <c r="L258" s="17">
        <v>9289121121</v>
      </c>
      <c r="M258" s="19">
        <v>45658</v>
      </c>
      <c r="O258" t="s">
        <v>0</v>
      </c>
      <c r="Q258" t="s">
        <v>63</v>
      </c>
      <c r="R258" t="s">
        <v>63</v>
      </c>
      <c r="S258" t="s">
        <v>63</v>
      </c>
      <c r="T258" t="s">
        <v>166</v>
      </c>
      <c r="U258" t="s">
        <v>77</v>
      </c>
      <c r="V258" t="s">
        <v>78</v>
      </c>
      <c r="W258" t="s">
        <v>57</v>
      </c>
      <c r="X258" t="s">
        <v>59</v>
      </c>
      <c r="Y258" t="s">
        <v>60</v>
      </c>
      <c r="Z258" t="s">
        <v>101</v>
      </c>
      <c r="AA258" t="s">
        <v>62</v>
      </c>
      <c r="AB258">
        <v>1</v>
      </c>
      <c r="AD258" t="s">
        <v>54</v>
      </c>
      <c r="AE258" t="s">
        <v>54</v>
      </c>
      <c r="AF258" t="s">
        <v>64</v>
      </c>
      <c r="AG258" t="s">
        <v>54</v>
      </c>
      <c r="AH258" t="s">
        <v>131</v>
      </c>
      <c r="AI258" t="s">
        <v>412</v>
      </c>
      <c r="AJ258" t="s">
        <v>54</v>
      </c>
      <c r="AK258" t="s">
        <v>1897</v>
      </c>
      <c r="AL258" t="s">
        <v>1898</v>
      </c>
      <c r="AN258" s="19">
        <f>IF(ISBLANK(Mentors[[#This Row],[Onboarded Date]]),"",Mentors[[#This Row],[Onboarded Date]]-WEEKDAY(Mentors[[#This Row],[Onboarded Date]],2)+1)</f>
        <v>45656</v>
      </c>
    </row>
    <row r="259" spans="1:40" ht="19.2" customHeight="1" x14ac:dyDescent="0.3">
      <c r="A259" t="s">
        <v>1899</v>
      </c>
      <c r="B259" t="s">
        <v>94</v>
      </c>
      <c r="C259" t="s">
        <v>1900</v>
      </c>
      <c r="D259" t="s">
        <v>1901</v>
      </c>
      <c r="E259" t="s">
        <v>1902</v>
      </c>
      <c r="F259">
        <v>2000</v>
      </c>
      <c r="G259">
        <f>IF(OR(Mentors[[#This Row],[Career Start Year]]="NA",ISBLANK(Mentors[[#This Row],[Career Start Year]])),"",2026 - Mentors[[#This Row],[Career Start Year]])</f>
        <v>26</v>
      </c>
      <c r="H25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59" t="s">
        <v>51</v>
      </c>
      <c r="J259" t="s">
        <v>1903</v>
      </c>
      <c r="K259" t="s">
        <v>1904</v>
      </c>
      <c r="L259" s="17">
        <v>9906666664</v>
      </c>
      <c r="M259" s="19">
        <v>45658</v>
      </c>
      <c r="O259" t="s">
        <v>0</v>
      </c>
      <c r="Q259" t="s">
        <v>54</v>
      </c>
      <c r="R259" t="s">
        <v>54</v>
      </c>
      <c r="S259" t="s">
        <v>54</v>
      </c>
      <c r="T259" t="s">
        <v>77</v>
      </c>
      <c r="U259" t="s">
        <v>99</v>
      </c>
      <c r="V259" t="s">
        <v>198</v>
      </c>
      <c r="W259" t="s">
        <v>78</v>
      </c>
      <c r="X259" t="s">
        <v>59</v>
      </c>
      <c r="Z259" t="s">
        <v>61</v>
      </c>
      <c r="AA259" t="s">
        <v>62</v>
      </c>
      <c r="AB259">
        <v>1</v>
      </c>
      <c r="AD259" t="s">
        <v>54</v>
      </c>
      <c r="AE259" t="s">
        <v>54</v>
      </c>
      <c r="AG259" t="s">
        <v>54</v>
      </c>
      <c r="AH259" t="s">
        <v>94</v>
      </c>
      <c r="AI259" t="s">
        <v>77</v>
      </c>
      <c r="AJ259" t="s">
        <v>54</v>
      </c>
      <c r="AK259" t="s">
        <v>1905</v>
      </c>
      <c r="AL259" t="s">
        <v>1906</v>
      </c>
      <c r="AN259" s="19">
        <f>IF(ISBLANK(Mentors[[#This Row],[Onboarded Date]]),"",Mentors[[#This Row],[Onboarded Date]]-WEEKDAY(Mentors[[#This Row],[Onboarded Date]],2)+1)</f>
        <v>45656</v>
      </c>
    </row>
    <row r="260" spans="1:40" ht="19.2" customHeight="1" x14ac:dyDescent="0.3">
      <c r="A260" t="s">
        <v>1907</v>
      </c>
      <c r="B260" t="s">
        <v>1908</v>
      </c>
      <c r="C260" t="s">
        <v>1909</v>
      </c>
      <c r="D260" t="s">
        <v>1910</v>
      </c>
      <c r="E260" t="s">
        <v>1911</v>
      </c>
      <c r="F260">
        <v>2000</v>
      </c>
      <c r="G260">
        <f>IF(OR(Mentors[[#This Row],[Career Start Year]]="NA",ISBLANK(Mentors[[#This Row],[Career Start Year]])),"",2026 - Mentors[[#This Row],[Career Start Year]])</f>
        <v>26</v>
      </c>
      <c r="H26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60" t="s">
        <v>51</v>
      </c>
      <c r="J260" t="s">
        <v>140</v>
      </c>
      <c r="K260" t="s">
        <v>1912</v>
      </c>
      <c r="L260" s="17">
        <v>9538499900</v>
      </c>
      <c r="M260" s="19">
        <v>45658</v>
      </c>
      <c r="O260" t="s">
        <v>0</v>
      </c>
      <c r="Q260" t="s">
        <v>54</v>
      </c>
      <c r="R260" t="s">
        <v>54</v>
      </c>
      <c r="S260" t="s">
        <v>54</v>
      </c>
      <c r="T260" t="s">
        <v>110</v>
      </c>
      <c r="U260" t="s">
        <v>265</v>
      </c>
      <c r="V260" t="s">
        <v>57</v>
      </c>
      <c r="W260" t="s">
        <v>78</v>
      </c>
      <c r="X260" t="s">
        <v>59</v>
      </c>
      <c r="Z260" t="s">
        <v>61</v>
      </c>
      <c r="AA260" t="s">
        <v>62</v>
      </c>
      <c r="AB260">
        <v>1</v>
      </c>
      <c r="AD260" t="s">
        <v>54</v>
      </c>
      <c r="AE260" t="s">
        <v>54</v>
      </c>
      <c r="AF260" t="s">
        <v>64</v>
      </c>
      <c r="AG260" t="s">
        <v>54</v>
      </c>
      <c r="AH260" t="s">
        <v>215</v>
      </c>
      <c r="AI260" t="s">
        <v>122</v>
      </c>
      <c r="AJ260" t="s">
        <v>54</v>
      </c>
      <c r="AK260" t="s">
        <v>1913</v>
      </c>
      <c r="AL260" t="s">
        <v>1914</v>
      </c>
      <c r="AN260" s="19">
        <f>IF(ISBLANK(Mentors[[#This Row],[Onboarded Date]]),"",Mentors[[#This Row],[Onboarded Date]]-WEEKDAY(Mentors[[#This Row],[Onboarded Date]],2)+1)</f>
        <v>45656</v>
      </c>
    </row>
    <row r="261" spans="1:40" ht="19.2" customHeight="1" x14ac:dyDescent="0.3">
      <c r="A261" t="s">
        <v>1915</v>
      </c>
      <c r="B261" t="s">
        <v>1916</v>
      </c>
      <c r="C261" t="s">
        <v>85</v>
      </c>
      <c r="D261" t="s">
        <v>1917</v>
      </c>
      <c r="E261" s="7" t="s">
        <v>1918</v>
      </c>
      <c r="F261">
        <v>2004</v>
      </c>
      <c r="G261">
        <f>IF(OR(Mentors[[#This Row],[Career Start Year]]="NA",ISBLANK(Mentors[[#This Row],[Career Start Year]])),"",2026 - Mentors[[#This Row],[Career Start Year]])</f>
        <v>22</v>
      </c>
      <c r="H26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61" t="s">
        <v>51</v>
      </c>
      <c r="J261" t="s">
        <v>196</v>
      </c>
      <c r="K261" t="s">
        <v>1919</v>
      </c>
      <c r="L261" s="17">
        <v>7829808787</v>
      </c>
      <c r="M261" s="19">
        <v>45658</v>
      </c>
      <c r="O261" t="s">
        <v>0</v>
      </c>
      <c r="Q261" t="s">
        <v>63</v>
      </c>
      <c r="R261" t="s">
        <v>63</v>
      </c>
      <c r="S261" t="s">
        <v>54</v>
      </c>
      <c r="T261" t="s">
        <v>77</v>
      </c>
      <c r="U261" t="s">
        <v>99</v>
      </c>
      <c r="V261" t="s">
        <v>57</v>
      </c>
      <c r="W261" t="s">
        <v>120</v>
      </c>
      <c r="X261" t="s">
        <v>60</v>
      </c>
      <c r="Z261" t="s">
        <v>61</v>
      </c>
      <c r="AA261" t="s">
        <v>62</v>
      </c>
      <c r="AB261">
        <v>1</v>
      </c>
      <c r="AD261" t="s">
        <v>54</v>
      </c>
      <c r="AE261" t="s">
        <v>54</v>
      </c>
      <c r="AF261" t="s">
        <v>121</v>
      </c>
      <c r="AG261" t="s">
        <v>54</v>
      </c>
      <c r="AH261" t="s">
        <v>65</v>
      </c>
      <c r="AI261" t="s">
        <v>412</v>
      </c>
      <c r="AJ261" t="s">
        <v>54</v>
      </c>
      <c r="AK261" t="s">
        <v>1920</v>
      </c>
      <c r="AL261" t="s">
        <v>1921</v>
      </c>
      <c r="AN261" s="19">
        <f>IF(ISBLANK(Mentors[[#This Row],[Onboarded Date]]),"",Mentors[[#This Row],[Onboarded Date]]-WEEKDAY(Mentors[[#This Row],[Onboarded Date]],2)+1)</f>
        <v>45656</v>
      </c>
    </row>
    <row r="262" spans="1:40" ht="19.2" customHeight="1" x14ac:dyDescent="0.3">
      <c r="A262" t="s">
        <v>1922</v>
      </c>
      <c r="B262" t="s">
        <v>1923</v>
      </c>
      <c r="C262" t="s">
        <v>1924</v>
      </c>
      <c r="D262" t="s">
        <v>1925</v>
      </c>
      <c r="E262" t="s">
        <v>1926</v>
      </c>
      <c r="F262">
        <v>2008</v>
      </c>
      <c r="G262">
        <f>IF(OR(Mentors[[#This Row],[Career Start Year]]="NA",ISBLANK(Mentors[[#This Row],[Career Start Year]])),"",2026 - Mentors[[#This Row],[Career Start Year]])</f>
        <v>18</v>
      </c>
      <c r="H26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62" t="s">
        <v>1384</v>
      </c>
      <c r="J262" t="s">
        <v>1927</v>
      </c>
      <c r="K262" t="s">
        <v>1928</v>
      </c>
      <c r="L262" s="17">
        <v>9930663087</v>
      </c>
      <c r="M262" s="19">
        <v>45658</v>
      </c>
      <c r="O262" t="s">
        <v>0</v>
      </c>
      <c r="Q262" t="s">
        <v>54</v>
      </c>
      <c r="R262" t="s">
        <v>54</v>
      </c>
      <c r="S262" t="s">
        <v>54</v>
      </c>
      <c r="T262" t="s">
        <v>77</v>
      </c>
      <c r="U262" t="s">
        <v>76</v>
      </c>
      <c r="V262" t="s">
        <v>282</v>
      </c>
      <c r="W262" t="s">
        <v>58</v>
      </c>
      <c r="X262" t="s">
        <v>59</v>
      </c>
      <c r="Y262" t="s">
        <v>60</v>
      </c>
      <c r="Z262" t="s">
        <v>101</v>
      </c>
      <c r="AA262" t="s">
        <v>62</v>
      </c>
      <c r="AB262">
        <v>1</v>
      </c>
      <c r="AD262" t="s">
        <v>54</v>
      </c>
      <c r="AE262" t="s">
        <v>54</v>
      </c>
      <c r="AF262" t="s">
        <v>64</v>
      </c>
      <c r="AG262" t="s">
        <v>54</v>
      </c>
      <c r="AH262" t="s">
        <v>65</v>
      </c>
      <c r="AI262" t="s">
        <v>66</v>
      </c>
      <c r="AJ262" t="s">
        <v>54</v>
      </c>
      <c r="AK262" t="s">
        <v>1929</v>
      </c>
      <c r="AL262" t="s">
        <v>1930</v>
      </c>
      <c r="AN262" s="19">
        <f>IF(ISBLANK(Mentors[[#This Row],[Onboarded Date]]),"",Mentors[[#This Row],[Onboarded Date]]-WEEKDAY(Mentors[[#This Row],[Onboarded Date]],2)+1)</f>
        <v>45656</v>
      </c>
    </row>
    <row r="263" spans="1:40" ht="19.2" customHeight="1" x14ac:dyDescent="0.3">
      <c r="A263" t="s">
        <v>1931</v>
      </c>
      <c r="B263" t="s">
        <v>47</v>
      </c>
      <c r="C263" t="s">
        <v>1932</v>
      </c>
      <c r="D263" t="s">
        <v>1933</v>
      </c>
      <c r="E263" t="s">
        <v>1934</v>
      </c>
      <c r="F263">
        <v>2007</v>
      </c>
      <c r="G263">
        <f>IF(OR(Mentors[[#This Row],[Career Start Year]]="NA",ISBLANK(Mentors[[#This Row],[Career Start Year]])),"",2026 - Mentors[[#This Row],[Career Start Year]])</f>
        <v>19</v>
      </c>
      <c r="H26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63" t="s">
        <v>51</v>
      </c>
      <c r="J263" t="s">
        <v>1828</v>
      </c>
      <c r="K263" t="s">
        <v>1935</v>
      </c>
      <c r="L263" s="17">
        <v>9149407437</v>
      </c>
      <c r="M263" s="19">
        <v>45658</v>
      </c>
      <c r="O263" t="s">
        <v>0</v>
      </c>
      <c r="Q263" t="s">
        <v>54</v>
      </c>
      <c r="R263" t="s">
        <v>54</v>
      </c>
      <c r="S263" t="s">
        <v>54</v>
      </c>
      <c r="T263" t="s">
        <v>77</v>
      </c>
      <c r="U263" t="s">
        <v>265</v>
      </c>
      <c r="V263" t="s">
        <v>78</v>
      </c>
      <c r="W263" t="s">
        <v>79</v>
      </c>
      <c r="Z263" t="s">
        <v>61</v>
      </c>
      <c r="AA263" t="s">
        <v>62</v>
      </c>
      <c r="AB263">
        <v>1</v>
      </c>
      <c r="AD263" t="s">
        <v>54</v>
      </c>
      <c r="AE263" t="s">
        <v>54</v>
      </c>
      <c r="AF263" t="s">
        <v>64</v>
      </c>
      <c r="AG263" t="s">
        <v>54</v>
      </c>
      <c r="AH263" t="s">
        <v>65</v>
      </c>
      <c r="AI263" t="s">
        <v>122</v>
      </c>
      <c r="AJ263" t="s">
        <v>54</v>
      </c>
      <c r="AK263" t="s">
        <v>1936</v>
      </c>
      <c r="AL263" t="s">
        <v>1937</v>
      </c>
      <c r="AN263" s="19">
        <f>IF(ISBLANK(Mentors[[#This Row],[Onboarded Date]]),"",Mentors[[#This Row],[Onboarded Date]]-WEEKDAY(Mentors[[#This Row],[Onboarded Date]],2)+1)</f>
        <v>45656</v>
      </c>
    </row>
    <row r="264" spans="1:40" ht="19.2" customHeight="1" x14ac:dyDescent="0.3">
      <c r="A264" t="s">
        <v>1938</v>
      </c>
      <c r="D264" t="s">
        <v>1939</v>
      </c>
      <c r="E264" t="s">
        <v>1940</v>
      </c>
      <c r="F264">
        <v>1999</v>
      </c>
      <c r="G264">
        <f>IF(OR(Mentors[[#This Row],[Career Start Year]]="NA",ISBLANK(Mentors[[#This Row],[Career Start Year]])),"",2026 - Mentors[[#This Row],[Career Start Year]])</f>
        <v>27</v>
      </c>
      <c r="H26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64" t="s">
        <v>51</v>
      </c>
      <c r="J264" t="s">
        <v>297</v>
      </c>
      <c r="K264" t="s">
        <v>1941</v>
      </c>
      <c r="L264" s="17">
        <v>9810157634</v>
      </c>
      <c r="M264" s="19">
        <v>45658</v>
      </c>
      <c r="O264" t="s">
        <v>0</v>
      </c>
      <c r="Q264" t="s">
        <v>54</v>
      </c>
      <c r="R264" t="s">
        <v>63</v>
      </c>
      <c r="S264" t="s">
        <v>63</v>
      </c>
      <c r="T264" t="s">
        <v>56</v>
      </c>
      <c r="U264" t="s">
        <v>381</v>
      </c>
      <c r="V264" t="s">
        <v>78</v>
      </c>
      <c r="W264" t="s">
        <v>57</v>
      </c>
      <c r="Z264" t="s">
        <v>61</v>
      </c>
      <c r="AA264" t="s">
        <v>62</v>
      </c>
      <c r="AB264">
        <v>1</v>
      </c>
      <c r="AD264" t="s">
        <v>63</v>
      </c>
      <c r="AG264" t="s">
        <v>54</v>
      </c>
      <c r="AH264" t="s">
        <v>65</v>
      </c>
      <c r="AI264" t="s">
        <v>132</v>
      </c>
      <c r="AJ264" t="s">
        <v>54</v>
      </c>
      <c r="AK264" t="s">
        <v>1942</v>
      </c>
      <c r="AL264" t="s">
        <v>1943</v>
      </c>
      <c r="AN264" s="19">
        <f>IF(ISBLANK(Mentors[[#This Row],[Onboarded Date]]),"",Mentors[[#This Row],[Onboarded Date]]-WEEKDAY(Mentors[[#This Row],[Onboarded Date]],2)+1)</f>
        <v>45656</v>
      </c>
    </row>
    <row r="265" spans="1:40" ht="19.2" customHeight="1" x14ac:dyDescent="0.3">
      <c r="A265" t="s">
        <v>1944</v>
      </c>
      <c r="B265" t="s">
        <v>152</v>
      </c>
      <c r="C265" t="s">
        <v>1945</v>
      </c>
      <c r="D265" t="s">
        <v>1946</v>
      </c>
      <c r="E265" t="s">
        <v>1947</v>
      </c>
      <c r="F265">
        <v>2012</v>
      </c>
      <c r="G265">
        <f>IF(OR(Mentors[[#This Row],[Career Start Year]]="NA",ISBLANK(Mentors[[#This Row],[Career Start Year]])),"",2026 - Mentors[[#This Row],[Career Start Year]])</f>
        <v>14</v>
      </c>
      <c r="H26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265" t="s">
        <v>51</v>
      </c>
      <c r="J265" t="s">
        <v>196</v>
      </c>
      <c r="K265" t="s">
        <v>1948</v>
      </c>
      <c r="L265" s="17">
        <v>9741950883</v>
      </c>
      <c r="M265" s="19">
        <v>45658</v>
      </c>
      <c r="O265" s="5" t="s">
        <v>0</v>
      </c>
      <c r="Q265" t="s">
        <v>54</v>
      </c>
      <c r="R265" t="s">
        <v>63</v>
      </c>
      <c r="S265" t="s">
        <v>63</v>
      </c>
      <c r="T265" t="s">
        <v>77</v>
      </c>
      <c r="U265" t="s">
        <v>65</v>
      </c>
      <c r="V265" t="s">
        <v>57</v>
      </c>
      <c r="W265" t="s">
        <v>79</v>
      </c>
      <c r="X265" t="s">
        <v>59</v>
      </c>
      <c r="Z265" t="s">
        <v>61</v>
      </c>
      <c r="AA265" t="s">
        <v>62</v>
      </c>
      <c r="AB265">
        <v>1</v>
      </c>
      <c r="AD265" t="s">
        <v>54</v>
      </c>
      <c r="AE265" t="s">
        <v>63</v>
      </c>
      <c r="AF265" t="s">
        <v>64</v>
      </c>
      <c r="AG265" t="s">
        <v>54</v>
      </c>
      <c r="AH265" t="s">
        <v>152</v>
      </c>
      <c r="AI265" t="s">
        <v>1177</v>
      </c>
      <c r="AJ265" t="s">
        <v>54</v>
      </c>
      <c r="AK265" t="s">
        <v>1949</v>
      </c>
      <c r="AL265" t="s">
        <v>1950</v>
      </c>
      <c r="AN265" s="19">
        <f>IF(ISBLANK(Mentors[[#This Row],[Onboarded Date]]),"",Mentors[[#This Row],[Onboarded Date]]-WEEKDAY(Mentors[[#This Row],[Onboarded Date]],2)+1)</f>
        <v>45656</v>
      </c>
    </row>
    <row r="266" spans="1:40" ht="19.2" customHeight="1" x14ac:dyDescent="0.3">
      <c r="A266" t="s">
        <v>1951</v>
      </c>
      <c r="B266" t="s">
        <v>1952</v>
      </c>
      <c r="C266" t="s">
        <v>1953</v>
      </c>
      <c r="D266" t="s">
        <v>1954</v>
      </c>
      <c r="E266" t="s">
        <v>1955</v>
      </c>
      <c r="F266">
        <v>2001</v>
      </c>
      <c r="G266">
        <f>IF(OR(Mentors[[#This Row],[Career Start Year]]="NA",ISBLANK(Mentors[[#This Row],[Career Start Year]])),"",2026 - Mentors[[#This Row],[Career Start Year]])</f>
        <v>25</v>
      </c>
      <c r="H26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66" t="s">
        <v>927</v>
      </c>
      <c r="J266" t="s">
        <v>928</v>
      </c>
      <c r="K266" t="s">
        <v>1956</v>
      </c>
      <c r="L266" s="18" t="s">
        <v>1957</v>
      </c>
      <c r="M266" s="19">
        <v>45658</v>
      </c>
      <c r="O266" s="5" t="s">
        <v>0</v>
      </c>
      <c r="Q266" t="s">
        <v>54</v>
      </c>
      <c r="R266" t="s">
        <v>54</v>
      </c>
      <c r="S266" t="s">
        <v>54</v>
      </c>
      <c r="T266" s="4" t="s">
        <v>756</v>
      </c>
      <c r="U266" t="s">
        <v>65</v>
      </c>
      <c r="V266" t="s">
        <v>57</v>
      </c>
      <c r="W266" t="s">
        <v>79</v>
      </c>
      <c r="X266" t="s">
        <v>60</v>
      </c>
      <c r="Z266" t="s">
        <v>101</v>
      </c>
      <c r="AA266" t="s">
        <v>62</v>
      </c>
      <c r="AB266">
        <v>1</v>
      </c>
      <c r="AD266" t="s">
        <v>54</v>
      </c>
      <c r="AE266" t="s">
        <v>54</v>
      </c>
      <c r="AF266" t="s">
        <v>64</v>
      </c>
      <c r="AG266" t="s">
        <v>54</v>
      </c>
      <c r="AH266" t="s">
        <v>65</v>
      </c>
      <c r="AI266" t="s">
        <v>412</v>
      </c>
      <c r="AJ266" t="s">
        <v>54</v>
      </c>
      <c r="AK266" t="s">
        <v>1958</v>
      </c>
      <c r="AL266" t="s">
        <v>1959</v>
      </c>
      <c r="AN266" s="19">
        <f>IF(ISBLANK(Mentors[[#This Row],[Onboarded Date]]),"",Mentors[[#This Row],[Onboarded Date]]-WEEKDAY(Mentors[[#This Row],[Onboarded Date]],2)+1)</f>
        <v>45656</v>
      </c>
    </row>
    <row r="267" spans="1:40" ht="19.2" customHeight="1" x14ac:dyDescent="0.3">
      <c r="A267" t="s">
        <v>1960</v>
      </c>
      <c r="B267" t="s">
        <v>1961</v>
      </c>
      <c r="C267" t="s">
        <v>1962</v>
      </c>
      <c r="D267" t="s">
        <v>1963</v>
      </c>
      <c r="E267" t="s">
        <v>1964</v>
      </c>
      <c r="F267">
        <v>2014</v>
      </c>
      <c r="G267">
        <f>IF(OR(Mentors[[#This Row],[Career Start Year]]="NA",ISBLANK(Mentors[[#This Row],[Career Start Year]])),"",2026 - Mentors[[#This Row],[Career Start Year]])</f>
        <v>12</v>
      </c>
      <c r="H26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267" t="s">
        <v>51</v>
      </c>
      <c r="J267" t="s">
        <v>196</v>
      </c>
      <c r="K267" t="s">
        <v>1965</v>
      </c>
      <c r="L267" s="17">
        <v>8130755275</v>
      </c>
      <c r="M267" s="19">
        <v>45658</v>
      </c>
      <c r="N267" t="s">
        <v>6</v>
      </c>
      <c r="O267" s="5" t="s">
        <v>0</v>
      </c>
      <c r="Q267" t="s">
        <v>54</v>
      </c>
      <c r="R267" t="s">
        <v>63</v>
      </c>
      <c r="S267" t="s">
        <v>63</v>
      </c>
      <c r="T267" s="11" t="s">
        <v>247</v>
      </c>
      <c r="U267" t="s">
        <v>77</v>
      </c>
      <c r="V267" t="s">
        <v>421</v>
      </c>
      <c r="W267" t="s">
        <v>1268</v>
      </c>
      <c r="X267" t="s">
        <v>59</v>
      </c>
      <c r="Z267" t="s">
        <v>61</v>
      </c>
      <c r="AA267" t="s">
        <v>62</v>
      </c>
      <c r="AB267">
        <v>1</v>
      </c>
      <c r="AD267" t="s">
        <v>63</v>
      </c>
      <c r="AG267" t="s">
        <v>54</v>
      </c>
      <c r="AH267" t="s">
        <v>215</v>
      </c>
      <c r="AI267" t="s">
        <v>248</v>
      </c>
      <c r="AJ267" t="s">
        <v>54</v>
      </c>
      <c r="AK267" t="s">
        <v>1966</v>
      </c>
      <c r="AL267" t="s">
        <v>1967</v>
      </c>
      <c r="AN267" s="19">
        <f>IF(ISBLANK(Mentors[[#This Row],[Onboarded Date]]),"",Mentors[[#This Row],[Onboarded Date]]-WEEKDAY(Mentors[[#This Row],[Onboarded Date]],2)+1)</f>
        <v>45656</v>
      </c>
    </row>
    <row r="268" spans="1:40" ht="19.2" customHeight="1" x14ac:dyDescent="0.3">
      <c r="A268" t="s">
        <v>1968</v>
      </c>
      <c r="B268" t="s">
        <v>1969</v>
      </c>
      <c r="C268" t="s">
        <v>1970</v>
      </c>
      <c r="D268" t="s">
        <v>1971</v>
      </c>
      <c r="E268" t="s">
        <v>1972</v>
      </c>
      <c r="F268">
        <v>1998</v>
      </c>
      <c r="G268">
        <f>IF(OR(Mentors[[#This Row],[Career Start Year]]="NA",ISBLANK(Mentors[[#This Row],[Career Start Year]])),"",2026 - Mentors[[#This Row],[Career Start Year]])</f>
        <v>28</v>
      </c>
      <c r="H26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68" t="s">
        <v>51</v>
      </c>
      <c r="J268" t="s">
        <v>1235</v>
      </c>
      <c r="K268" t="s">
        <v>1973</v>
      </c>
      <c r="L268" s="17">
        <v>9881874609</v>
      </c>
      <c r="M268" s="19">
        <v>45658</v>
      </c>
      <c r="O268" s="5" t="s">
        <v>0</v>
      </c>
      <c r="Q268" t="s">
        <v>54</v>
      </c>
      <c r="R268" t="s">
        <v>63</v>
      </c>
      <c r="S268" t="s">
        <v>63</v>
      </c>
      <c r="T268" t="s">
        <v>77</v>
      </c>
      <c r="U268" t="s">
        <v>56</v>
      </c>
      <c r="V268" t="s">
        <v>58</v>
      </c>
      <c r="W268" t="s">
        <v>282</v>
      </c>
      <c r="X268" t="s">
        <v>59</v>
      </c>
      <c r="Z268" t="s">
        <v>101</v>
      </c>
      <c r="AA268" t="s">
        <v>62</v>
      </c>
      <c r="AB268">
        <v>1</v>
      </c>
      <c r="AD268" t="s">
        <v>54</v>
      </c>
      <c r="AG268" t="s">
        <v>54</v>
      </c>
      <c r="AH268" t="s">
        <v>65</v>
      </c>
      <c r="AI268" t="s">
        <v>248</v>
      </c>
      <c r="AJ268" t="s">
        <v>54</v>
      </c>
      <c r="AK268" t="s">
        <v>1974</v>
      </c>
      <c r="AL268" t="s">
        <v>1975</v>
      </c>
      <c r="AN268" s="19">
        <f>IF(ISBLANK(Mentors[[#This Row],[Onboarded Date]]),"",Mentors[[#This Row],[Onboarded Date]]-WEEKDAY(Mentors[[#This Row],[Onboarded Date]],2)+1)</f>
        <v>45656</v>
      </c>
    </row>
    <row r="269" spans="1:40" ht="19.2" customHeight="1" x14ac:dyDescent="0.3">
      <c r="A269" t="s">
        <v>1976</v>
      </c>
      <c r="B269" t="s">
        <v>396</v>
      </c>
      <c r="C269" t="s">
        <v>1977</v>
      </c>
      <c r="D269" t="s">
        <v>1978</v>
      </c>
      <c r="E269" t="s">
        <v>1979</v>
      </c>
      <c r="F269">
        <v>2000</v>
      </c>
      <c r="G269">
        <f>IF(OR(Mentors[[#This Row],[Career Start Year]]="NA",ISBLANK(Mentors[[#This Row],[Career Start Year]])),"",2026 - Mentors[[#This Row],[Career Start Year]])</f>
        <v>26</v>
      </c>
      <c r="H26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69" t="s">
        <v>51</v>
      </c>
      <c r="J269" t="s">
        <v>118</v>
      </c>
      <c r="K269" t="s">
        <v>1980</v>
      </c>
      <c r="L269" s="17">
        <v>7304654584</v>
      </c>
      <c r="M269" s="19">
        <v>45658</v>
      </c>
      <c r="O269" s="5" t="s">
        <v>0</v>
      </c>
      <c r="Q269" t="s">
        <v>54</v>
      </c>
      <c r="R269" t="s">
        <v>63</v>
      </c>
      <c r="S269" t="s">
        <v>63</v>
      </c>
      <c r="T269" t="s">
        <v>187</v>
      </c>
      <c r="U269" t="s">
        <v>56</v>
      </c>
      <c r="V269" t="s">
        <v>78</v>
      </c>
      <c r="W269" t="s">
        <v>65</v>
      </c>
      <c r="Z269" t="s">
        <v>81</v>
      </c>
      <c r="AA269" t="s">
        <v>62</v>
      </c>
      <c r="AB269">
        <v>1</v>
      </c>
      <c r="AD269" t="s">
        <v>54</v>
      </c>
      <c r="AE269" t="s">
        <v>63</v>
      </c>
      <c r="AF269" t="s">
        <v>64</v>
      </c>
      <c r="AG269" t="s">
        <v>54</v>
      </c>
      <c r="AH269" t="s">
        <v>152</v>
      </c>
      <c r="AI269" t="s">
        <v>132</v>
      </c>
      <c r="AJ269" t="s">
        <v>54</v>
      </c>
      <c r="AK269" t="s">
        <v>1981</v>
      </c>
      <c r="AL269" t="s">
        <v>1982</v>
      </c>
      <c r="AN269" s="19">
        <f>IF(ISBLANK(Mentors[[#This Row],[Onboarded Date]]),"",Mentors[[#This Row],[Onboarded Date]]-WEEKDAY(Mentors[[#This Row],[Onboarded Date]],2)+1)</f>
        <v>45656</v>
      </c>
    </row>
    <row r="270" spans="1:40" ht="19.2" customHeight="1" x14ac:dyDescent="0.3">
      <c r="A270" t="s">
        <v>1983</v>
      </c>
      <c r="B270" t="s">
        <v>85</v>
      </c>
      <c r="C270" t="s">
        <v>840</v>
      </c>
      <c r="D270" t="s">
        <v>1984</v>
      </c>
      <c r="E270" t="s">
        <v>1985</v>
      </c>
      <c r="F270">
        <v>2009</v>
      </c>
      <c r="G270">
        <f>IF(OR(Mentors[[#This Row],[Career Start Year]]="NA",ISBLANK(Mentors[[#This Row],[Career Start Year]])),"",2026 - Mentors[[#This Row],[Career Start Year]])</f>
        <v>17</v>
      </c>
      <c r="H27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70" t="s">
        <v>51</v>
      </c>
      <c r="J270" t="s">
        <v>140</v>
      </c>
      <c r="K270" t="s">
        <v>1986</v>
      </c>
      <c r="L270" s="17">
        <v>7004646746</v>
      </c>
      <c r="M270" s="19">
        <v>45658</v>
      </c>
      <c r="O270" s="5" t="s">
        <v>0</v>
      </c>
      <c r="Q270" t="s">
        <v>54</v>
      </c>
      <c r="R270" t="s">
        <v>54</v>
      </c>
      <c r="S270" t="s">
        <v>54</v>
      </c>
      <c r="T270" t="s">
        <v>110</v>
      </c>
      <c r="U270" t="s">
        <v>187</v>
      </c>
      <c r="V270" s="4" t="s">
        <v>78</v>
      </c>
      <c r="W270" t="s">
        <v>65</v>
      </c>
      <c r="X270" t="s">
        <v>59</v>
      </c>
      <c r="Z270" t="s">
        <v>61</v>
      </c>
      <c r="AA270" t="s">
        <v>62</v>
      </c>
      <c r="AB270">
        <v>1</v>
      </c>
      <c r="AD270" t="s">
        <v>54</v>
      </c>
      <c r="AG270" t="s">
        <v>54</v>
      </c>
      <c r="AH270" t="s">
        <v>65</v>
      </c>
      <c r="AI270" t="s">
        <v>122</v>
      </c>
      <c r="AJ270" t="s">
        <v>54</v>
      </c>
      <c r="AK270" t="s">
        <v>1987</v>
      </c>
      <c r="AL270" t="s">
        <v>1988</v>
      </c>
      <c r="AN270" s="19">
        <f>IF(ISBLANK(Mentors[[#This Row],[Onboarded Date]]),"",Mentors[[#This Row],[Onboarded Date]]-WEEKDAY(Mentors[[#This Row],[Onboarded Date]],2)+1)</f>
        <v>45656</v>
      </c>
    </row>
    <row r="271" spans="1:40" ht="19.2" customHeight="1" x14ac:dyDescent="0.3">
      <c r="A271" t="s">
        <v>1989</v>
      </c>
      <c r="B271" t="s">
        <v>1990</v>
      </c>
      <c r="C271" t="s">
        <v>1991</v>
      </c>
      <c r="D271" t="s">
        <v>1992</v>
      </c>
      <c r="E271" t="s">
        <v>1993</v>
      </c>
      <c r="F271">
        <v>2003</v>
      </c>
      <c r="G271">
        <f>IF(OR(Mentors[[#This Row],[Career Start Year]]="NA",ISBLANK(Mentors[[#This Row],[Career Start Year]])),"",2026 - Mentors[[#This Row],[Career Start Year]])</f>
        <v>23</v>
      </c>
      <c r="H27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71" t="s">
        <v>51</v>
      </c>
      <c r="J271" t="s">
        <v>52</v>
      </c>
      <c r="K271" t="s">
        <v>1994</v>
      </c>
      <c r="L271" s="17">
        <v>9823673796</v>
      </c>
      <c r="M271" s="19">
        <v>45658</v>
      </c>
      <c r="O271" s="5" t="s">
        <v>0</v>
      </c>
      <c r="Q271" t="s">
        <v>54</v>
      </c>
      <c r="R271" t="s">
        <v>63</v>
      </c>
      <c r="S271" t="s">
        <v>63</v>
      </c>
      <c r="T271" t="s">
        <v>77</v>
      </c>
      <c r="U271" t="s">
        <v>65</v>
      </c>
      <c r="V271" t="s">
        <v>78</v>
      </c>
      <c r="W271" t="s">
        <v>65</v>
      </c>
      <c r="X271" t="s">
        <v>59</v>
      </c>
      <c r="Z271" t="s">
        <v>61</v>
      </c>
      <c r="AA271" t="s">
        <v>62</v>
      </c>
      <c r="AB271">
        <v>1</v>
      </c>
      <c r="AD271" t="s">
        <v>54</v>
      </c>
      <c r="AE271" t="s">
        <v>54</v>
      </c>
      <c r="AG271" t="s">
        <v>63</v>
      </c>
      <c r="AH271" t="s">
        <v>65</v>
      </c>
      <c r="AI271" t="s">
        <v>248</v>
      </c>
      <c r="AJ271" t="s">
        <v>54</v>
      </c>
      <c r="AK271" t="s">
        <v>1995</v>
      </c>
      <c r="AL271" t="s">
        <v>1996</v>
      </c>
      <c r="AN271" s="19">
        <f>IF(ISBLANK(Mentors[[#This Row],[Onboarded Date]]),"",Mentors[[#This Row],[Onboarded Date]]-WEEKDAY(Mentors[[#This Row],[Onboarded Date]],2)+1)</f>
        <v>45656</v>
      </c>
    </row>
    <row r="272" spans="1:40" ht="19.2" customHeight="1" x14ac:dyDescent="0.3">
      <c r="A272" t="s">
        <v>1997</v>
      </c>
      <c r="B272" t="s">
        <v>1998</v>
      </c>
      <c r="C272" t="s">
        <v>1999</v>
      </c>
      <c r="D272" t="s">
        <v>2000</v>
      </c>
      <c r="E272" t="s">
        <v>2001</v>
      </c>
      <c r="F272">
        <v>2015</v>
      </c>
      <c r="G272">
        <f>IF(OR(Mentors[[#This Row],[Career Start Year]]="NA",ISBLANK(Mentors[[#This Row],[Career Start Year]])),"",2026 - Mentors[[#This Row],[Career Start Year]])</f>
        <v>11</v>
      </c>
      <c r="H27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272" t="s">
        <v>51</v>
      </c>
      <c r="J272" t="s">
        <v>314</v>
      </c>
      <c r="K272" t="s">
        <v>2002</v>
      </c>
      <c r="L272" s="17">
        <v>9884540050</v>
      </c>
      <c r="M272" s="19">
        <v>45658</v>
      </c>
      <c r="N272" t="s">
        <v>6</v>
      </c>
      <c r="O272" s="5" t="s">
        <v>0</v>
      </c>
      <c r="Q272" t="s">
        <v>54</v>
      </c>
      <c r="R272" t="s">
        <v>63</v>
      </c>
      <c r="S272" t="s">
        <v>54</v>
      </c>
      <c r="T272" t="s">
        <v>187</v>
      </c>
      <c r="U272" t="s">
        <v>187</v>
      </c>
      <c r="V272" t="s">
        <v>57</v>
      </c>
      <c r="W272" t="s">
        <v>198</v>
      </c>
      <c r="X272" t="s">
        <v>230</v>
      </c>
      <c r="Y272" t="s">
        <v>59</v>
      </c>
      <c r="Z272" t="s">
        <v>61</v>
      </c>
      <c r="AA272" t="s">
        <v>62</v>
      </c>
      <c r="AB272">
        <v>1</v>
      </c>
      <c r="AD272" t="s">
        <v>54</v>
      </c>
      <c r="AG272" t="s">
        <v>54</v>
      </c>
      <c r="AH272" t="s">
        <v>65</v>
      </c>
      <c r="AI272" t="s">
        <v>132</v>
      </c>
      <c r="AJ272" t="s">
        <v>54</v>
      </c>
      <c r="AK272" t="s">
        <v>2003</v>
      </c>
      <c r="AL272" t="s">
        <v>2004</v>
      </c>
      <c r="AN272" s="19">
        <f>IF(ISBLANK(Mentors[[#This Row],[Onboarded Date]]),"",Mentors[[#This Row],[Onboarded Date]]-WEEKDAY(Mentors[[#This Row],[Onboarded Date]],2)+1)</f>
        <v>45656</v>
      </c>
    </row>
    <row r="273" spans="1:40" ht="19.2" customHeight="1" x14ac:dyDescent="0.3">
      <c r="A273" t="s">
        <v>2005</v>
      </c>
      <c r="B273" t="s">
        <v>404</v>
      </c>
      <c r="C273" t="s">
        <v>2006</v>
      </c>
      <c r="D273" t="s">
        <v>2007</v>
      </c>
      <c r="E273" t="s">
        <v>2008</v>
      </c>
      <c r="F273">
        <v>1997</v>
      </c>
      <c r="G273">
        <f>IF(OR(Mentors[[#This Row],[Career Start Year]]="NA",ISBLANK(Mentors[[#This Row],[Career Start Year]])),"",2026 - Mentors[[#This Row],[Career Start Year]])</f>
        <v>29</v>
      </c>
      <c r="H27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73" t="s">
        <v>51</v>
      </c>
      <c r="J273" t="s">
        <v>196</v>
      </c>
      <c r="K273" t="s">
        <v>2009</v>
      </c>
      <c r="L273" s="17">
        <v>7975793055</v>
      </c>
      <c r="M273" s="19">
        <v>45658</v>
      </c>
      <c r="O273" s="5" t="s">
        <v>0</v>
      </c>
      <c r="Q273" t="s">
        <v>54</v>
      </c>
      <c r="R273" t="s">
        <v>54</v>
      </c>
      <c r="S273" t="s">
        <v>54</v>
      </c>
      <c r="T273" t="s">
        <v>77</v>
      </c>
      <c r="U273" t="s">
        <v>65</v>
      </c>
      <c r="V273" t="s">
        <v>57</v>
      </c>
      <c r="W273" t="s">
        <v>198</v>
      </c>
      <c r="Z273" t="s">
        <v>101</v>
      </c>
      <c r="AA273" t="s">
        <v>62</v>
      </c>
      <c r="AB273">
        <v>1</v>
      </c>
      <c r="AD273" t="s">
        <v>54</v>
      </c>
      <c r="AG273" t="s">
        <v>54</v>
      </c>
      <c r="AH273" t="s">
        <v>65</v>
      </c>
      <c r="AI273" t="s">
        <v>248</v>
      </c>
      <c r="AJ273" t="s">
        <v>54</v>
      </c>
      <c r="AK273" t="s">
        <v>2010</v>
      </c>
      <c r="AL273" t="s">
        <v>2011</v>
      </c>
      <c r="AN273" s="19">
        <f>IF(ISBLANK(Mentors[[#This Row],[Onboarded Date]]),"",Mentors[[#This Row],[Onboarded Date]]-WEEKDAY(Mentors[[#This Row],[Onboarded Date]],2)+1)</f>
        <v>45656</v>
      </c>
    </row>
    <row r="274" spans="1:40" ht="19.2" customHeight="1" x14ac:dyDescent="0.3">
      <c r="A274" t="s">
        <v>2012</v>
      </c>
      <c r="B274" t="s">
        <v>2013</v>
      </c>
      <c r="C274" t="s">
        <v>2014</v>
      </c>
      <c r="D274" t="s">
        <v>2015</v>
      </c>
      <c r="E274" t="s">
        <v>2016</v>
      </c>
      <c r="F274">
        <v>1998</v>
      </c>
      <c r="G274">
        <f>IF(OR(Mentors[[#This Row],[Career Start Year]]="NA",ISBLANK(Mentors[[#This Row],[Career Start Year]])),"",2026 - Mentors[[#This Row],[Career Start Year]])</f>
        <v>28</v>
      </c>
      <c r="H27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74" t="s">
        <v>51</v>
      </c>
      <c r="J274" t="s">
        <v>2017</v>
      </c>
      <c r="K274" t="s">
        <v>2018</v>
      </c>
      <c r="L274" s="17">
        <v>9824459041</v>
      </c>
      <c r="M274" s="19">
        <v>45658</v>
      </c>
      <c r="O274" t="s">
        <v>0</v>
      </c>
      <c r="Q274" t="s">
        <v>54</v>
      </c>
      <c r="R274" t="s">
        <v>63</v>
      </c>
      <c r="S274" t="s">
        <v>63</v>
      </c>
      <c r="T274" t="s">
        <v>499</v>
      </c>
      <c r="U274" t="s">
        <v>65</v>
      </c>
      <c r="V274" t="s">
        <v>58</v>
      </c>
      <c r="W274" s="4" t="s">
        <v>421</v>
      </c>
      <c r="X274" s="4"/>
      <c r="Y274" s="4"/>
      <c r="Z274" t="s">
        <v>61</v>
      </c>
      <c r="AA274" t="s">
        <v>62</v>
      </c>
      <c r="AB274">
        <v>1</v>
      </c>
      <c r="AD274" t="s">
        <v>54</v>
      </c>
      <c r="AE274" t="s">
        <v>63</v>
      </c>
      <c r="AG274" t="s">
        <v>54</v>
      </c>
      <c r="AH274" t="s">
        <v>152</v>
      </c>
      <c r="AI274" t="s">
        <v>77</v>
      </c>
      <c r="AJ274" t="s">
        <v>54</v>
      </c>
      <c r="AK274" t="s">
        <v>2019</v>
      </c>
      <c r="AL274" t="s">
        <v>2020</v>
      </c>
      <c r="AN274" s="19">
        <f>IF(ISBLANK(Mentors[[#This Row],[Onboarded Date]]),"",Mentors[[#This Row],[Onboarded Date]]-WEEKDAY(Mentors[[#This Row],[Onboarded Date]],2)+1)</f>
        <v>45656</v>
      </c>
    </row>
    <row r="275" spans="1:40" ht="19.2" customHeight="1" x14ac:dyDescent="0.3">
      <c r="A275" t="s">
        <v>2021</v>
      </c>
      <c r="B275" t="s">
        <v>2022</v>
      </c>
      <c r="C275" t="s">
        <v>2023</v>
      </c>
      <c r="D275" t="s">
        <v>2024</v>
      </c>
      <c r="E275" t="s">
        <v>2025</v>
      </c>
      <c r="F275">
        <v>2008</v>
      </c>
      <c r="G275">
        <f>IF(OR(Mentors[[#This Row],[Career Start Year]]="NA",ISBLANK(Mentors[[#This Row],[Career Start Year]])),"",2026 - Mentors[[#This Row],[Career Start Year]])</f>
        <v>18</v>
      </c>
      <c r="H27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75" t="s">
        <v>51</v>
      </c>
      <c r="J275" t="s">
        <v>2026</v>
      </c>
      <c r="K275" t="s">
        <v>2027</v>
      </c>
      <c r="L275" s="17">
        <v>6396939972</v>
      </c>
      <c r="M275" s="19">
        <v>45658</v>
      </c>
      <c r="O275" t="s">
        <v>0</v>
      </c>
      <c r="Q275" t="s">
        <v>54</v>
      </c>
      <c r="R275" t="s">
        <v>63</v>
      </c>
      <c r="S275" t="s">
        <v>54</v>
      </c>
      <c r="T275" t="s">
        <v>265</v>
      </c>
      <c r="U275" t="s">
        <v>65</v>
      </c>
      <c r="V275" t="s">
        <v>78</v>
      </c>
      <c r="W275" t="s">
        <v>79</v>
      </c>
      <c r="Z275" t="s">
        <v>61</v>
      </c>
      <c r="AA275" t="s">
        <v>62</v>
      </c>
      <c r="AB275">
        <v>1</v>
      </c>
      <c r="AD275" t="s">
        <v>54</v>
      </c>
      <c r="AE275" t="s">
        <v>54</v>
      </c>
      <c r="AG275" t="s">
        <v>54</v>
      </c>
      <c r="AH275" t="s">
        <v>65</v>
      </c>
      <c r="AI275" t="s">
        <v>122</v>
      </c>
      <c r="AJ275" t="s">
        <v>54</v>
      </c>
      <c r="AK275" t="s">
        <v>2028</v>
      </c>
      <c r="AL275" t="s">
        <v>2029</v>
      </c>
      <c r="AN275" s="19">
        <f>IF(ISBLANK(Mentors[[#This Row],[Onboarded Date]]),"",Mentors[[#This Row],[Onboarded Date]]-WEEKDAY(Mentors[[#This Row],[Onboarded Date]],2)+1)</f>
        <v>45656</v>
      </c>
    </row>
    <row r="276" spans="1:40" ht="19.2" customHeight="1" x14ac:dyDescent="0.3">
      <c r="A276" t="s">
        <v>2030</v>
      </c>
      <c r="B276" t="s">
        <v>2031</v>
      </c>
      <c r="C276" t="s">
        <v>2032</v>
      </c>
      <c r="D276" t="s">
        <v>2033</v>
      </c>
      <c r="E276" s="7" t="s">
        <v>2034</v>
      </c>
      <c r="F276">
        <v>2005</v>
      </c>
      <c r="G276">
        <f>IF(OR(Mentors[[#This Row],[Career Start Year]]="NA",ISBLANK(Mentors[[#This Row],[Career Start Year]])),"",2026 - Mentors[[#This Row],[Career Start Year]])</f>
        <v>21</v>
      </c>
      <c r="H27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76" t="s">
        <v>51</v>
      </c>
      <c r="J276" t="s">
        <v>118</v>
      </c>
      <c r="K276" t="s">
        <v>2035</v>
      </c>
      <c r="L276" s="17">
        <v>7769035000</v>
      </c>
      <c r="M276" s="19">
        <v>45658</v>
      </c>
      <c r="O276" t="s">
        <v>0</v>
      </c>
      <c r="Q276" t="s">
        <v>54</v>
      </c>
      <c r="R276" t="s">
        <v>63</v>
      </c>
      <c r="S276" t="s">
        <v>63</v>
      </c>
      <c r="T276" s="4" t="s">
        <v>756</v>
      </c>
      <c r="U276" t="s">
        <v>77</v>
      </c>
      <c r="V276" t="s">
        <v>57</v>
      </c>
      <c r="W276" t="s">
        <v>79</v>
      </c>
      <c r="Z276" t="s">
        <v>61</v>
      </c>
      <c r="AA276" t="s">
        <v>62</v>
      </c>
      <c r="AB276">
        <v>1</v>
      </c>
      <c r="AD276" t="s">
        <v>54</v>
      </c>
      <c r="AE276" t="s">
        <v>54</v>
      </c>
      <c r="AG276" t="s">
        <v>54</v>
      </c>
      <c r="AH276" t="s">
        <v>65</v>
      </c>
      <c r="AI276" t="s">
        <v>412</v>
      </c>
      <c r="AJ276" t="s">
        <v>54</v>
      </c>
      <c r="AK276" t="s">
        <v>2036</v>
      </c>
      <c r="AL276" t="s">
        <v>2037</v>
      </c>
      <c r="AN276" s="19">
        <f>IF(ISBLANK(Mentors[[#This Row],[Onboarded Date]]),"",Mentors[[#This Row],[Onboarded Date]]-WEEKDAY(Mentors[[#This Row],[Onboarded Date]],2)+1)</f>
        <v>45656</v>
      </c>
    </row>
    <row r="277" spans="1:40" ht="19.2" customHeight="1" x14ac:dyDescent="0.3">
      <c r="A277" t="s">
        <v>2038</v>
      </c>
      <c r="B277" t="s">
        <v>2039</v>
      </c>
      <c r="C277" t="s">
        <v>2040</v>
      </c>
      <c r="D277" t="s">
        <v>2041</v>
      </c>
      <c r="E277" t="s">
        <v>2042</v>
      </c>
      <c r="F277">
        <v>2006</v>
      </c>
      <c r="G277">
        <f>IF(OR(Mentors[[#This Row],[Career Start Year]]="NA",ISBLANK(Mentors[[#This Row],[Career Start Year]])),"",2026 - Mentors[[#This Row],[Career Start Year]])</f>
        <v>20</v>
      </c>
      <c r="H27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77" t="s">
        <v>51</v>
      </c>
      <c r="J277" t="s">
        <v>196</v>
      </c>
      <c r="K277" t="s">
        <v>2043</v>
      </c>
      <c r="L277" s="17">
        <v>7995385305</v>
      </c>
      <c r="M277" s="19">
        <v>45658</v>
      </c>
      <c r="O277" t="s">
        <v>0</v>
      </c>
      <c r="Q277" t="s">
        <v>54</v>
      </c>
      <c r="R277" t="s">
        <v>63</v>
      </c>
      <c r="S277" t="s">
        <v>63</v>
      </c>
      <c r="T277" s="4" t="s">
        <v>756</v>
      </c>
      <c r="U277" t="s">
        <v>65</v>
      </c>
      <c r="V277" t="s">
        <v>78</v>
      </c>
      <c r="W277" t="s">
        <v>79</v>
      </c>
      <c r="Z277" t="s">
        <v>61</v>
      </c>
      <c r="AA277" t="s">
        <v>62</v>
      </c>
      <c r="AB277">
        <v>1</v>
      </c>
      <c r="AD277" t="s">
        <v>54</v>
      </c>
      <c r="AE277" t="s">
        <v>54</v>
      </c>
      <c r="AG277" t="s">
        <v>54</v>
      </c>
      <c r="AH277" t="s">
        <v>65</v>
      </c>
      <c r="AI277" t="s">
        <v>412</v>
      </c>
      <c r="AJ277" t="s">
        <v>54</v>
      </c>
      <c r="AK277" t="s">
        <v>2044</v>
      </c>
      <c r="AL277" t="s">
        <v>2045</v>
      </c>
      <c r="AN277" s="19">
        <f>IF(ISBLANK(Mentors[[#This Row],[Onboarded Date]]),"",Mentors[[#This Row],[Onboarded Date]]-WEEKDAY(Mentors[[#This Row],[Onboarded Date]],2)+1)</f>
        <v>45656</v>
      </c>
    </row>
    <row r="278" spans="1:40" ht="19.2" customHeight="1" x14ac:dyDescent="0.3">
      <c r="A278" t="s">
        <v>2046</v>
      </c>
      <c r="B278" t="s">
        <v>2047</v>
      </c>
      <c r="C278" t="s">
        <v>2048</v>
      </c>
      <c r="D278" t="s">
        <v>2049</v>
      </c>
      <c r="E278" t="s">
        <v>2050</v>
      </c>
      <c r="F278">
        <v>2005</v>
      </c>
      <c r="G278">
        <f>IF(OR(Mentors[[#This Row],[Career Start Year]]="NA",ISBLANK(Mentors[[#This Row],[Career Start Year]])),"",2026 - Mentors[[#This Row],[Career Start Year]])</f>
        <v>21</v>
      </c>
      <c r="H27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78" t="s">
        <v>51</v>
      </c>
      <c r="J278" t="s">
        <v>2051</v>
      </c>
      <c r="K278" t="s">
        <v>2052</v>
      </c>
      <c r="L278" s="17">
        <v>8547267826</v>
      </c>
      <c r="M278" s="19">
        <v>45658</v>
      </c>
      <c r="O278" t="s">
        <v>0</v>
      </c>
      <c r="Q278" t="s">
        <v>54</v>
      </c>
      <c r="R278" t="s">
        <v>54</v>
      </c>
      <c r="S278" t="s">
        <v>63</v>
      </c>
      <c r="T278" t="s">
        <v>77</v>
      </c>
      <c r="U278" t="s">
        <v>65</v>
      </c>
      <c r="V278" t="s">
        <v>57</v>
      </c>
      <c r="W278" t="s">
        <v>79</v>
      </c>
      <c r="Z278" t="s">
        <v>61</v>
      </c>
      <c r="AA278" t="s">
        <v>62</v>
      </c>
      <c r="AB278">
        <v>1</v>
      </c>
      <c r="AD278" t="s">
        <v>63</v>
      </c>
      <c r="AE278" t="s">
        <v>63</v>
      </c>
      <c r="AG278" t="s">
        <v>54</v>
      </c>
      <c r="AH278" t="s">
        <v>152</v>
      </c>
      <c r="AI278" t="s">
        <v>122</v>
      </c>
      <c r="AJ278" t="s">
        <v>54</v>
      </c>
      <c r="AK278" t="s">
        <v>2053</v>
      </c>
      <c r="AL278" t="s">
        <v>2054</v>
      </c>
      <c r="AN278" s="19">
        <f>IF(ISBLANK(Mentors[[#This Row],[Onboarded Date]]),"",Mentors[[#This Row],[Onboarded Date]]-WEEKDAY(Mentors[[#This Row],[Onboarded Date]],2)+1)</f>
        <v>45656</v>
      </c>
    </row>
    <row r="279" spans="1:40" ht="19.2" customHeight="1" x14ac:dyDescent="0.3">
      <c r="A279" t="s">
        <v>2055</v>
      </c>
      <c r="B279" t="s">
        <v>2056</v>
      </c>
      <c r="C279" t="s">
        <v>2057</v>
      </c>
      <c r="D279" t="s">
        <v>2058</v>
      </c>
      <c r="E279" t="s">
        <v>2059</v>
      </c>
      <c r="F279">
        <v>2006</v>
      </c>
      <c r="G279">
        <f>IF(OR(Mentors[[#This Row],[Career Start Year]]="NA",ISBLANK(Mentors[[#This Row],[Career Start Year]])),"",2026 - Mentors[[#This Row],[Career Start Year]])</f>
        <v>20</v>
      </c>
      <c r="H27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79" t="s">
        <v>51</v>
      </c>
      <c r="J279" t="s">
        <v>993</v>
      </c>
      <c r="K279" t="s">
        <v>2060</v>
      </c>
      <c r="L279" s="17">
        <v>9420943794</v>
      </c>
      <c r="M279" s="19">
        <v>45658</v>
      </c>
      <c r="N279" t="s">
        <v>6</v>
      </c>
      <c r="O279" t="s">
        <v>0</v>
      </c>
      <c r="Q279" t="s">
        <v>54</v>
      </c>
      <c r="R279" t="s">
        <v>54</v>
      </c>
      <c r="S279" t="s">
        <v>54</v>
      </c>
      <c r="T279" s="11" t="s">
        <v>247</v>
      </c>
      <c r="U279" t="s">
        <v>77</v>
      </c>
      <c r="V279" t="s">
        <v>306</v>
      </c>
      <c r="W279" t="s">
        <v>79</v>
      </c>
      <c r="Z279" t="s">
        <v>101</v>
      </c>
      <c r="AA279" t="s">
        <v>62</v>
      </c>
      <c r="AB279">
        <v>1</v>
      </c>
      <c r="AD279" t="s">
        <v>63</v>
      </c>
      <c r="AE279" t="s">
        <v>54</v>
      </c>
      <c r="AG279" t="s">
        <v>54</v>
      </c>
      <c r="AH279" t="s">
        <v>65</v>
      </c>
      <c r="AI279" t="s">
        <v>248</v>
      </c>
      <c r="AJ279" t="s">
        <v>54</v>
      </c>
      <c r="AK279" t="s">
        <v>2061</v>
      </c>
      <c r="AL279" t="s">
        <v>2062</v>
      </c>
      <c r="AN279" s="19">
        <f>IF(ISBLANK(Mentors[[#This Row],[Onboarded Date]]),"",Mentors[[#This Row],[Onboarded Date]]-WEEKDAY(Mentors[[#This Row],[Onboarded Date]],2)+1)</f>
        <v>45656</v>
      </c>
    </row>
    <row r="280" spans="1:40" ht="19.2" customHeight="1" x14ac:dyDescent="0.3">
      <c r="A280" t="s">
        <v>2063</v>
      </c>
      <c r="B280" t="s">
        <v>2064</v>
      </c>
      <c r="C280" t="s">
        <v>2065</v>
      </c>
      <c r="D280" t="s">
        <v>2066</v>
      </c>
      <c r="E280" t="s">
        <v>2067</v>
      </c>
      <c r="F280">
        <v>1983</v>
      </c>
      <c r="G280">
        <f>IF(OR(Mentors[[#This Row],[Career Start Year]]="NA",ISBLANK(Mentors[[#This Row],[Career Start Year]])),"",2026 - Mentors[[#This Row],[Career Start Year]])</f>
        <v>43</v>
      </c>
      <c r="H28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80" t="s">
        <v>51</v>
      </c>
      <c r="J280" t="s">
        <v>118</v>
      </c>
      <c r="K280" t="s">
        <v>2068</v>
      </c>
      <c r="L280" s="17">
        <v>7506098760</v>
      </c>
      <c r="M280" s="19">
        <v>45658</v>
      </c>
      <c r="N280" t="s">
        <v>6</v>
      </c>
      <c r="O280" t="s">
        <v>0</v>
      </c>
      <c r="Q280" t="s">
        <v>54</v>
      </c>
      <c r="R280" t="s">
        <v>54</v>
      </c>
      <c r="S280" t="s">
        <v>54</v>
      </c>
      <c r="T280" t="s">
        <v>77</v>
      </c>
      <c r="U280" t="s">
        <v>187</v>
      </c>
      <c r="V280" t="s">
        <v>613</v>
      </c>
      <c r="W280" t="s">
        <v>79</v>
      </c>
      <c r="Z280" t="s">
        <v>61</v>
      </c>
      <c r="AA280" t="s">
        <v>62</v>
      </c>
      <c r="AB280">
        <v>1</v>
      </c>
      <c r="AD280" t="s">
        <v>63</v>
      </c>
      <c r="AE280" t="s">
        <v>54</v>
      </c>
      <c r="AG280" t="s">
        <v>54</v>
      </c>
      <c r="AH280" t="s">
        <v>65</v>
      </c>
      <c r="AI280" t="s">
        <v>77</v>
      </c>
      <c r="AJ280" t="s">
        <v>54</v>
      </c>
      <c r="AK280" t="s">
        <v>2069</v>
      </c>
      <c r="AL280" t="s">
        <v>2070</v>
      </c>
      <c r="AN280" s="19">
        <f>IF(ISBLANK(Mentors[[#This Row],[Onboarded Date]]),"",Mentors[[#This Row],[Onboarded Date]]-WEEKDAY(Mentors[[#This Row],[Onboarded Date]],2)+1)</f>
        <v>45656</v>
      </c>
    </row>
    <row r="281" spans="1:40" ht="19.2" customHeight="1" x14ac:dyDescent="0.3">
      <c r="A281" t="s">
        <v>2071</v>
      </c>
      <c r="B281" t="s">
        <v>2072</v>
      </c>
      <c r="C281" t="s">
        <v>2073</v>
      </c>
      <c r="D281" t="s">
        <v>2074</v>
      </c>
      <c r="E281" t="s">
        <v>2075</v>
      </c>
      <c r="F281">
        <v>1994</v>
      </c>
      <c r="G281">
        <f>IF(OR(Mentors[[#This Row],[Career Start Year]]="NA",ISBLANK(Mentors[[#This Row],[Career Start Year]])),"",2026 - Mentors[[#This Row],[Career Start Year]])</f>
        <v>32</v>
      </c>
      <c r="H28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81" t="s">
        <v>51</v>
      </c>
      <c r="J281" t="s">
        <v>196</v>
      </c>
      <c r="K281" t="s">
        <v>2076</v>
      </c>
      <c r="L281" s="17" t="s">
        <v>2077</v>
      </c>
      <c r="M281" s="19">
        <v>45658</v>
      </c>
      <c r="N281" t="s">
        <v>6</v>
      </c>
      <c r="O281" t="s">
        <v>0</v>
      </c>
      <c r="Q281" t="s">
        <v>54</v>
      </c>
      <c r="R281" t="s">
        <v>54</v>
      </c>
      <c r="S281" t="s">
        <v>54</v>
      </c>
      <c r="T281" t="s">
        <v>756</v>
      </c>
      <c r="U281" t="s">
        <v>79</v>
      </c>
      <c r="V281" t="s">
        <v>644</v>
      </c>
      <c r="W281" t="s">
        <v>79</v>
      </c>
      <c r="Z281" t="s">
        <v>61</v>
      </c>
      <c r="AA281" t="s">
        <v>62</v>
      </c>
      <c r="AB281">
        <v>1</v>
      </c>
      <c r="AD281" t="s">
        <v>63</v>
      </c>
      <c r="AE281" t="s">
        <v>54</v>
      </c>
      <c r="AG281" t="s">
        <v>54</v>
      </c>
      <c r="AH281" t="s">
        <v>131</v>
      </c>
      <c r="AI281" t="s">
        <v>1064</v>
      </c>
      <c r="AJ281" t="s">
        <v>54</v>
      </c>
      <c r="AK281" t="s">
        <v>2078</v>
      </c>
      <c r="AL281" t="s">
        <v>2079</v>
      </c>
      <c r="AN281" s="19">
        <f>IF(ISBLANK(Mentors[[#This Row],[Onboarded Date]]),"",Mentors[[#This Row],[Onboarded Date]]-WEEKDAY(Mentors[[#This Row],[Onboarded Date]],2)+1)</f>
        <v>45656</v>
      </c>
    </row>
    <row r="282" spans="1:40" ht="19.2" customHeight="1" x14ac:dyDescent="0.3">
      <c r="A282" t="s">
        <v>2080</v>
      </c>
      <c r="B282" t="s">
        <v>2081</v>
      </c>
      <c r="C282" t="s">
        <v>2082</v>
      </c>
      <c r="D282" t="s">
        <v>2083</v>
      </c>
      <c r="E282" t="s">
        <v>2084</v>
      </c>
      <c r="F282">
        <v>2013</v>
      </c>
      <c r="G282">
        <f>IF(OR(Mentors[[#This Row],[Career Start Year]]="NA",ISBLANK(Mentors[[#This Row],[Career Start Year]])),"",2026 - Mentors[[#This Row],[Career Start Year]])</f>
        <v>13</v>
      </c>
      <c r="H28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282" t="s">
        <v>51</v>
      </c>
      <c r="J282" t="s">
        <v>570</v>
      </c>
      <c r="K282" t="s">
        <v>2085</v>
      </c>
      <c r="L282" s="17">
        <v>9982016532</v>
      </c>
      <c r="M282" s="19">
        <v>45658</v>
      </c>
      <c r="N282" t="s">
        <v>4</v>
      </c>
      <c r="O282" t="s">
        <v>0</v>
      </c>
      <c r="Q282" t="s">
        <v>63</v>
      </c>
      <c r="R282" t="s">
        <v>63</v>
      </c>
      <c r="S282" t="s">
        <v>63</v>
      </c>
      <c r="T282" s="4" t="s">
        <v>381</v>
      </c>
      <c r="U282" t="s">
        <v>65</v>
      </c>
      <c r="V282" t="s">
        <v>382</v>
      </c>
      <c r="W282" t="s">
        <v>79</v>
      </c>
      <c r="X282" t="s">
        <v>59</v>
      </c>
      <c r="Y282" t="s">
        <v>60</v>
      </c>
      <c r="Z282" t="s">
        <v>61</v>
      </c>
      <c r="AA282" t="s">
        <v>62</v>
      </c>
      <c r="AB282">
        <v>1</v>
      </c>
      <c r="AD282" t="s">
        <v>54</v>
      </c>
      <c r="AE282" t="s">
        <v>63</v>
      </c>
      <c r="AG282" t="s">
        <v>54</v>
      </c>
      <c r="AH282" t="s">
        <v>152</v>
      </c>
      <c r="AI282" t="s">
        <v>66</v>
      </c>
      <c r="AJ282" t="s">
        <v>54</v>
      </c>
      <c r="AK282" t="s">
        <v>2086</v>
      </c>
      <c r="AL282" t="s">
        <v>2087</v>
      </c>
      <c r="AN282" s="19">
        <f>IF(ISBLANK(Mentors[[#This Row],[Onboarded Date]]),"",Mentors[[#This Row],[Onboarded Date]]-WEEKDAY(Mentors[[#This Row],[Onboarded Date]],2)+1)</f>
        <v>45656</v>
      </c>
    </row>
    <row r="283" spans="1:40" ht="19.2" customHeight="1" x14ac:dyDescent="0.3">
      <c r="A283" t="s">
        <v>2088</v>
      </c>
      <c r="B283" t="s">
        <v>2089</v>
      </c>
      <c r="C283" t="s">
        <v>2090</v>
      </c>
      <c r="D283" t="s">
        <v>2091</v>
      </c>
      <c r="E283" t="s">
        <v>2092</v>
      </c>
      <c r="F283">
        <v>1999</v>
      </c>
      <c r="G283">
        <f>IF(OR(Mentors[[#This Row],[Career Start Year]]="NA",ISBLANK(Mentors[[#This Row],[Career Start Year]])),"",2026 - Mentors[[#This Row],[Career Start Year]])</f>
        <v>27</v>
      </c>
      <c r="H28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83" t="s">
        <v>51</v>
      </c>
      <c r="J283" t="s">
        <v>118</v>
      </c>
      <c r="K283" t="s">
        <v>2093</v>
      </c>
      <c r="L283" s="17">
        <v>9867509474</v>
      </c>
      <c r="M283" s="19">
        <v>45658</v>
      </c>
      <c r="N283" t="s">
        <v>6</v>
      </c>
      <c r="O283" t="s">
        <v>0</v>
      </c>
      <c r="Q283" t="s">
        <v>54</v>
      </c>
      <c r="R283" t="s">
        <v>54</v>
      </c>
      <c r="S283" t="s">
        <v>54</v>
      </c>
      <c r="T283" t="s">
        <v>77</v>
      </c>
      <c r="U283" t="s">
        <v>79</v>
      </c>
      <c r="V283" t="s">
        <v>58</v>
      </c>
      <c r="W283" t="s">
        <v>79</v>
      </c>
      <c r="X283" t="s">
        <v>59</v>
      </c>
      <c r="Z283" t="s">
        <v>61</v>
      </c>
      <c r="AA283" t="s">
        <v>62</v>
      </c>
      <c r="AB283">
        <v>1</v>
      </c>
      <c r="AD283" t="s">
        <v>54</v>
      </c>
      <c r="AE283" t="s">
        <v>54</v>
      </c>
      <c r="AG283" t="s">
        <v>54</v>
      </c>
      <c r="AH283" t="s">
        <v>65</v>
      </c>
      <c r="AI283" t="s">
        <v>412</v>
      </c>
      <c r="AJ283" t="s">
        <v>54</v>
      </c>
      <c r="AK283" t="s">
        <v>2094</v>
      </c>
      <c r="AL283" t="s">
        <v>2095</v>
      </c>
      <c r="AN283" s="19">
        <f>IF(ISBLANK(Mentors[[#This Row],[Onboarded Date]]),"",Mentors[[#This Row],[Onboarded Date]]-WEEKDAY(Mentors[[#This Row],[Onboarded Date]],2)+1)</f>
        <v>45656</v>
      </c>
    </row>
    <row r="284" spans="1:40" ht="19.2" customHeight="1" x14ac:dyDescent="0.3">
      <c r="A284" t="s">
        <v>2096</v>
      </c>
      <c r="B284" t="s">
        <v>2097</v>
      </c>
      <c r="C284" t="s">
        <v>2098</v>
      </c>
      <c r="D284" t="s">
        <v>2099</v>
      </c>
      <c r="E284" t="s">
        <v>2100</v>
      </c>
      <c r="F284">
        <v>2014</v>
      </c>
      <c r="G284">
        <f>IF(OR(Mentors[[#This Row],[Career Start Year]]="NA",ISBLANK(Mentors[[#This Row],[Career Start Year]])),"",2026 - Mentors[[#This Row],[Career Start Year]])</f>
        <v>12</v>
      </c>
      <c r="H28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284" t="s">
        <v>51</v>
      </c>
      <c r="J284" t="s">
        <v>280</v>
      </c>
      <c r="K284" t="s">
        <v>2101</v>
      </c>
      <c r="L284" s="17" t="s">
        <v>2102</v>
      </c>
      <c r="M284" s="19">
        <v>45658</v>
      </c>
      <c r="O284" t="s">
        <v>0</v>
      </c>
      <c r="Q284" t="s">
        <v>63</v>
      </c>
      <c r="R284" t="s">
        <v>54</v>
      </c>
      <c r="S284" t="s">
        <v>54</v>
      </c>
      <c r="T284" s="4" t="s">
        <v>756</v>
      </c>
      <c r="U284" t="s">
        <v>65</v>
      </c>
      <c r="V284" t="s">
        <v>58</v>
      </c>
      <c r="W284" s="4" t="s">
        <v>58</v>
      </c>
      <c r="X284" s="4" t="s">
        <v>59</v>
      </c>
      <c r="Y284" s="4"/>
      <c r="Z284" t="s">
        <v>61</v>
      </c>
      <c r="AA284" t="s">
        <v>62</v>
      </c>
      <c r="AB284">
        <v>1</v>
      </c>
      <c r="AD284" t="s">
        <v>63</v>
      </c>
      <c r="AE284" t="s">
        <v>63</v>
      </c>
      <c r="AG284" t="s">
        <v>54</v>
      </c>
      <c r="AH284" t="s">
        <v>152</v>
      </c>
      <c r="AI284" t="s">
        <v>412</v>
      </c>
      <c r="AJ284" t="s">
        <v>54</v>
      </c>
      <c r="AK284" t="s">
        <v>2103</v>
      </c>
      <c r="AL284" t="s">
        <v>2104</v>
      </c>
      <c r="AN284" s="19">
        <f>IF(ISBLANK(Mentors[[#This Row],[Onboarded Date]]),"",Mentors[[#This Row],[Onboarded Date]]-WEEKDAY(Mentors[[#This Row],[Onboarded Date]],2)+1)</f>
        <v>45656</v>
      </c>
    </row>
    <row r="285" spans="1:40" ht="19.2" customHeight="1" x14ac:dyDescent="0.3">
      <c r="A285" t="s">
        <v>2105</v>
      </c>
      <c r="B285" t="s">
        <v>396</v>
      </c>
      <c r="C285" t="s">
        <v>2106</v>
      </c>
      <c r="D285" t="s">
        <v>2107</v>
      </c>
      <c r="E285" t="s">
        <v>2108</v>
      </c>
      <c r="F285">
        <v>1996</v>
      </c>
      <c r="G285">
        <f>IF(OR(Mentors[[#This Row],[Career Start Year]]="NA",ISBLANK(Mentors[[#This Row],[Career Start Year]])),"",2026 - Mentors[[#This Row],[Career Start Year]])</f>
        <v>30</v>
      </c>
      <c r="H28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85" t="s">
        <v>51</v>
      </c>
      <c r="J285" t="s">
        <v>74</v>
      </c>
      <c r="K285" t="s">
        <v>2109</v>
      </c>
      <c r="L285" s="17">
        <v>9818145331</v>
      </c>
      <c r="M285" s="19">
        <v>45658</v>
      </c>
      <c r="O285" t="s">
        <v>0</v>
      </c>
      <c r="Q285" t="s">
        <v>63</v>
      </c>
      <c r="R285" t="s">
        <v>63</v>
      </c>
      <c r="S285" t="s">
        <v>63</v>
      </c>
      <c r="T285" t="s">
        <v>77</v>
      </c>
      <c r="U285" t="s">
        <v>100</v>
      </c>
      <c r="V285" t="s">
        <v>78</v>
      </c>
      <c r="W285" t="s">
        <v>79</v>
      </c>
      <c r="X285" t="s">
        <v>59</v>
      </c>
      <c r="Z285" t="s">
        <v>81</v>
      </c>
      <c r="AA285" t="s">
        <v>62</v>
      </c>
      <c r="AB285">
        <v>1</v>
      </c>
      <c r="AD285" t="s">
        <v>54</v>
      </c>
      <c r="AE285" t="s">
        <v>63</v>
      </c>
      <c r="AF285" t="s">
        <v>64</v>
      </c>
      <c r="AG285" t="s">
        <v>54</v>
      </c>
      <c r="AH285" t="s">
        <v>152</v>
      </c>
      <c r="AI285" t="s">
        <v>122</v>
      </c>
      <c r="AJ285" t="s">
        <v>54</v>
      </c>
      <c r="AK285" t="s">
        <v>2110</v>
      </c>
      <c r="AL285" t="s">
        <v>2111</v>
      </c>
      <c r="AN285" s="19">
        <f>IF(ISBLANK(Mentors[[#This Row],[Onboarded Date]]),"",Mentors[[#This Row],[Onboarded Date]]-WEEKDAY(Mentors[[#This Row],[Onboarded Date]],2)+1)</f>
        <v>45656</v>
      </c>
    </row>
    <row r="286" spans="1:40" ht="19.2" customHeight="1" x14ac:dyDescent="0.3">
      <c r="A286" t="s">
        <v>2112</v>
      </c>
      <c r="B286" t="s">
        <v>2113</v>
      </c>
      <c r="C286" t="s">
        <v>2114</v>
      </c>
      <c r="D286" t="s">
        <v>2115</v>
      </c>
      <c r="E286" t="s">
        <v>2116</v>
      </c>
      <c r="F286">
        <v>2006</v>
      </c>
      <c r="G286">
        <f>IF(OR(Mentors[[#This Row],[Career Start Year]]="NA",ISBLANK(Mentors[[#This Row],[Career Start Year]])),"",2026 - Mentors[[#This Row],[Career Start Year]])</f>
        <v>20</v>
      </c>
      <c r="H28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86" t="s">
        <v>51</v>
      </c>
      <c r="J286" t="s">
        <v>280</v>
      </c>
      <c r="K286" t="s">
        <v>2117</v>
      </c>
      <c r="L286" s="17">
        <v>9824254590</v>
      </c>
      <c r="M286" s="19">
        <v>45658</v>
      </c>
      <c r="N286" t="s">
        <v>6</v>
      </c>
      <c r="O286" t="s">
        <v>0</v>
      </c>
      <c r="Q286" t="s">
        <v>54</v>
      </c>
      <c r="R286" t="s">
        <v>54</v>
      </c>
      <c r="S286" t="s">
        <v>54</v>
      </c>
      <c r="T286" s="11" t="s">
        <v>247</v>
      </c>
      <c r="U286" t="s">
        <v>79</v>
      </c>
      <c r="V286" t="s">
        <v>306</v>
      </c>
      <c r="W286" t="s">
        <v>79</v>
      </c>
      <c r="X286" t="s">
        <v>60</v>
      </c>
      <c r="Z286" t="s">
        <v>101</v>
      </c>
      <c r="AA286" t="s">
        <v>62</v>
      </c>
      <c r="AB286">
        <v>1</v>
      </c>
      <c r="AD286" t="s">
        <v>63</v>
      </c>
      <c r="AE286" t="s">
        <v>54</v>
      </c>
      <c r="AG286" t="s">
        <v>54</v>
      </c>
      <c r="AH286" t="s">
        <v>65</v>
      </c>
      <c r="AI286" t="s">
        <v>248</v>
      </c>
      <c r="AJ286" t="s">
        <v>54</v>
      </c>
      <c r="AK286" t="s">
        <v>2118</v>
      </c>
      <c r="AL286" t="s">
        <v>2119</v>
      </c>
      <c r="AN286" s="19">
        <f>IF(ISBLANK(Mentors[[#This Row],[Onboarded Date]]),"",Mentors[[#This Row],[Onboarded Date]]-WEEKDAY(Mentors[[#This Row],[Onboarded Date]],2)+1)</f>
        <v>45656</v>
      </c>
    </row>
    <row r="287" spans="1:40" ht="19.2" customHeight="1" x14ac:dyDescent="0.3">
      <c r="A287" t="s">
        <v>2120</v>
      </c>
      <c r="B287" t="s">
        <v>2121</v>
      </c>
      <c r="C287" t="s">
        <v>2122</v>
      </c>
      <c r="D287" t="s">
        <v>2123</v>
      </c>
      <c r="E287" s="7" t="s">
        <v>2124</v>
      </c>
      <c r="F287">
        <v>2007</v>
      </c>
      <c r="G287">
        <f>IF(OR(Mentors[[#This Row],[Career Start Year]]="NA",ISBLANK(Mentors[[#This Row],[Career Start Year]])),"",2026 - Mentors[[#This Row],[Career Start Year]])</f>
        <v>19</v>
      </c>
      <c r="H28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87" t="s">
        <v>51</v>
      </c>
      <c r="J287" t="s">
        <v>118</v>
      </c>
      <c r="K287" t="s">
        <v>2125</v>
      </c>
      <c r="L287" s="17">
        <v>9820447521</v>
      </c>
      <c r="M287" s="19">
        <v>45658</v>
      </c>
      <c r="N287" t="s">
        <v>4</v>
      </c>
      <c r="O287" t="s">
        <v>0</v>
      </c>
      <c r="Q287" t="s">
        <v>54</v>
      </c>
      <c r="R287" t="s">
        <v>54</v>
      </c>
      <c r="S287" t="s">
        <v>54</v>
      </c>
      <c r="T287" t="s">
        <v>187</v>
      </c>
      <c r="U287" t="s">
        <v>79</v>
      </c>
      <c r="V287" t="s">
        <v>765</v>
      </c>
      <c r="W287" t="s">
        <v>78</v>
      </c>
      <c r="X287" t="s">
        <v>59</v>
      </c>
      <c r="Z287" t="s">
        <v>61</v>
      </c>
      <c r="AA287" t="s">
        <v>62</v>
      </c>
      <c r="AB287">
        <v>1</v>
      </c>
      <c r="AD287" t="s">
        <v>54</v>
      </c>
      <c r="AE287" t="s">
        <v>54</v>
      </c>
      <c r="AG287" t="s">
        <v>54</v>
      </c>
      <c r="AH287" t="s">
        <v>65</v>
      </c>
      <c r="AI287" t="s">
        <v>132</v>
      </c>
      <c r="AJ287" t="s">
        <v>54</v>
      </c>
      <c r="AK287" t="s">
        <v>2126</v>
      </c>
      <c r="AL287" t="s">
        <v>2127</v>
      </c>
      <c r="AN287" s="19">
        <f>IF(ISBLANK(Mentors[[#This Row],[Onboarded Date]]),"",Mentors[[#This Row],[Onboarded Date]]-WEEKDAY(Mentors[[#This Row],[Onboarded Date]],2)+1)</f>
        <v>45656</v>
      </c>
    </row>
    <row r="288" spans="1:40" ht="19.2" customHeight="1" x14ac:dyDescent="0.3">
      <c r="A288" t="s">
        <v>2128</v>
      </c>
      <c r="B288" t="s">
        <v>2129</v>
      </c>
      <c r="C288" t="s">
        <v>2130</v>
      </c>
      <c r="D288" s="4" t="s">
        <v>2131</v>
      </c>
      <c r="E288" s="7" t="s">
        <v>2132</v>
      </c>
      <c r="F288">
        <v>2002</v>
      </c>
      <c r="G288">
        <f>IF(OR(Mentors[[#This Row],[Career Start Year]]="NA",ISBLANK(Mentors[[#This Row],[Career Start Year]])),"",2026 - Mentors[[#This Row],[Career Start Year]])</f>
        <v>24</v>
      </c>
      <c r="H28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88" t="s">
        <v>51</v>
      </c>
      <c r="J288" t="s">
        <v>140</v>
      </c>
      <c r="K288" t="s">
        <v>2133</v>
      </c>
      <c r="L288" s="17">
        <v>8527247774</v>
      </c>
      <c r="M288" s="19">
        <v>45658</v>
      </c>
      <c r="O288" t="s">
        <v>0</v>
      </c>
      <c r="Q288" t="s">
        <v>54</v>
      </c>
      <c r="R288" t="s">
        <v>54</v>
      </c>
      <c r="S288" t="s">
        <v>54</v>
      </c>
      <c r="T288" t="s">
        <v>99</v>
      </c>
      <c r="U288" t="s">
        <v>77</v>
      </c>
      <c r="V288" t="s">
        <v>481</v>
      </c>
      <c r="W288" t="s">
        <v>65</v>
      </c>
      <c r="X288" t="s">
        <v>59</v>
      </c>
      <c r="Y288" t="s">
        <v>60</v>
      </c>
      <c r="Z288" t="s">
        <v>61</v>
      </c>
      <c r="AA288" t="s">
        <v>62</v>
      </c>
      <c r="AB288">
        <v>1</v>
      </c>
      <c r="AD288" t="s">
        <v>63</v>
      </c>
      <c r="AE288" t="s">
        <v>54</v>
      </c>
      <c r="AG288" t="s">
        <v>54</v>
      </c>
      <c r="AH288" t="s">
        <v>131</v>
      </c>
      <c r="AI288" t="s">
        <v>412</v>
      </c>
      <c r="AJ288" t="s">
        <v>54</v>
      </c>
      <c r="AK288" t="s">
        <v>2134</v>
      </c>
      <c r="AL288" t="s">
        <v>2135</v>
      </c>
      <c r="AN288" s="19">
        <f>IF(ISBLANK(Mentors[[#This Row],[Onboarded Date]]),"",Mentors[[#This Row],[Onboarded Date]]-WEEKDAY(Mentors[[#This Row],[Onboarded Date]],2)+1)</f>
        <v>45656</v>
      </c>
    </row>
    <row r="289" spans="1:40" ht="19.2" customHeight="1" x14ac:dyDescent="0.3">
      <c r="A289" t="s">
        <v>2136</v>
      </c>
      <c r="B289" t="s">
        <v>2137</v>
      </c>
      <c r="C289" t="s">
        <v>2138</v>
      </c>
      <c r="D289" t="s">
        <v>2139</v>
      </c>
      <c r="E289" t="s">
        <v>2140</v>
      </c>
      <c r="F289">
        <v>2007</v>
      </c>
      <c r="G289">
        <f>IF(OR(Mentors[[#This Row],[Career Start Year]]="NA",ISBLANK(Mentors[[#This Row],[Career Start Year]])),"",2026 - Mentors[[#This Row],[Career Start Year]])</f>
        <v>19</v>
      </c>
      <c r="H28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89" t="s">
        <v>51</v>
      </c>
      <c r="J289" t="s">
        <v>2141</v>
      </c>
      <c r="K289" t="s">
        <v>2142</v>
      </c>
      <c r="L289" s="17">
        <v>9846811111</v>
      </c>
      <c r="M289" s="19">
        <v>45658</v>
      </c>
      <c r="O289" t="s">
        <v>0</v>
      </c>
      <c r="Q289" t="s">
        <v>54</v>
      </c>
      <c r="R289" t="s">
        <v>54</v>
      </c>
      <c r="S289" t="s">
        <v>54</v>
      </c>
      <c r="T289" t="s">
        <v>265</v>
      </c>
      <c r="U289" t="s">
        <v>110</v>
      </c>
      <c r="V289" t="s">
        <v>57</v>
      </c>
      <c r="W289" t="s">
        <v>78</v>
      </c>
      <c r="Z289" t="s">
        <v>61</v>
      </c>
      <c r="AA289" t="s">
        <v>62</v>
      </c>
      <c r="AB289">
        <v>1</v>
      </c>
      <c r="AD289" t="s">
        <v>63</v>
      </c>
      <c r="AE289" t="s">
        <v>63</v>
      </c>
      <c r="AG289" t="s">
        <v>54</v>
      </c>
      <c r="AH289" t="s">
        <v>152</v>
      </c>
      <c r="AI289" t="s">
        <v>412</v>
      </c>
      <c r="AJ289" t="s">
        <v>54</v>
      </c>
      <c r="AK289" s="4" t="s">
        <v>2143</v>
      </c>
      <c r="AL289" t="s">
        <v>2144</v>
      </c>
      <c r="AN289" s="19">
        <f>IF(ISBLANK(Mentors[[#This Row],[Onboarded Date]]),"",Mentors[[#This Row],[Onboarded Date]]-WEEKDAY(Mentors[[#This Row],[Onboarded Date]],2)+1)</f>
        <v>45656</v>
      </c>
    </row>
    <row r="290" spans="1:40" ht="19.2" customHeight="1" x14ac:dyDescent="0.3">
      <c r="A290" t="s">
        <v>2145</v>
      </c>
      <c r="B290" t="s">
        <v>2146</v>
      </c>
      <c r="C290" t="s">
        <v>1848</v>
      </c>
      <c r="D290" t="s">
        <v>2147</v>
      </c>
      <c r="E290" t="s">
        <v>2148</v>
      </c>
      <c r="F290">
        <v>2004</v>
      </c>
      <c r="G290">
        <f>IF(OR(Mentors[[#This Row],[Career Start Year]]="NA",ISBLANK(Mentors[[#This Row],[Career Start Year]])),"",2026 - Mentors[[#This Row],[Career Start Year]])</f>
        <v>22</v>
      </c>
      <c r="H29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90" t="s">
        <v>51</v>
      </c>
      <c r="J290" t="s">
        <v>1007</v>
      </c>
      <c r="K290" t="s">
        <v>2149</v>
      </c>
      <c r="L290" s="17">
        <v>9443760648</v>
      </c>
      <c r="M290" s="19">
        <v>45658</v>
      </c>
      <c r="N290" t="s">
        <v>6</v>
      </c>
      <c r="O290" t="s">
        <v>0</v>
      </c>
      <c r="Q290" t="s">
        <v>54</v>
      </c>
      <c r="R290" t="s">
        <v>54</v>
      </c>
      <c r="S290" t="s">
        <v>54</v>
      </c>
      <c r="T290" s="11" t="s">
        <v>247</v>
      </c>
      <c r="U290" t="s">
        <v>79</v>
      </c>
      <c r="V290" t="s">
        <v>306</v>
      </c>
      <c r="W290" t="s">
        <v>79</v>
      </c>
      <c r="X290" t="s">
        <v>59</v>
      </c>
      <c r="Z290" t="s">
        <v>101</v>
      </c>
      <c r="AA290" t="s">
        <v>62</v>
      </c>
      <c r="AB290">
        <v>1</v>
      </c>
      <c r="AD290" t="s">
        <v>63</v>
      </c>
      <c r="AE290" t="s">
        <v>54</v>
      </c>
      <c r="AG290" t="s">
        <v>54</v>
      </c>
      <c r="AH290" t="s">
        <v>65</v>
      </c>
      <c r="AI290" t="s">
        <v>248</v>
      </c>
      <c r="AJ290" t="s">
        <v>54</v>
      </c>
      <c r="AK290" t="s">
        <v>2150</v>
      </c>
      <c r="AL290" t="s">
        <v>2151</v>
      </c>
      <c r="AN290" s="19">
        <f>IF(ISBLANK(Mentors[[#This Row],[Onboarded Date]]),"",Mentors[[#This Row],[Onboarded Date]]-WEEKDAY(Mentors[[#This Row],[Onboarded Date]],2)+1)</f>
        <v>45656</v>
      </c>
    </row>
    <row r="291" spans="1:40" ht="19.2" customHeight="1" x14ac:dyDescent="0.3">
      <c r="A291" t="s">
        <v>2152</v>
      </c>
      <c r="B291" t="s">
        <v>2153</v>
      </c>
      <c r="C291" t="s">
        <v>2154</v>
      </c>
      <c r="D291" t="s">
        <v>2155</v>
      </c>
      <c r="E291" t="s">
        <v>2156</v>
      </c>
      <c r="F291">
        <v>2014</v>
      </c>
      <c r="G291">
        <f>IF(OR(Mentors[[#This Row],[Career Start Year]]="NA",ISBLANK(Mentors[[#This Row],[Career Start Year]])),"",2026 - Mentors[[#This Row],[Career Start Year]])</f>
        <v>12</v>
      </c>
      <c r="H29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291" t="s">
        <v>51</v>
      </c>
      <c r="J291" t="s">
        <v>118</v>
      </c>
      <c r="K291" t="s">
        <v>2157</v>
      </c>
      <c r="L291" s="17" t="s">
        <v>2158</v>
      </c>
      <c r="M291" s="19">
        <v>45658</v>
      </c>
      <c r="N291" t="s">
        <v>6</v>
      </c>
      <c r="O291" t="s">
        <v>0</v>
      </c>
      <c r="Q291" t="s">
        <v>63</v>
      </c>
      <c r="R291" t="s">
        <v>63</v>
      </c>
      <c r="S291" t="s">
        <v>63</v>
      </c>
      <c r="T291" t="s">
        <v>187</v>
      </c>
      <c r="U291" t="s">
        <v>187</v>
      </c>
      <c r="V291" t="s">
        <v>382</v>
      </c>
      <c r="W291" t="s">
        <v>65</v>
      </c>
      <c r="X291" t="s">
        <v>59</v>
      </c>
      <c r="Z291" t="s">
        <v>61</v>
      </c>
      <c r="AA291" t="s">
        <v>62</v>
      </c>
      <c r="AB291">
        <v>1</v>
      </c>
      <c r="AD291" t="s">
        <v>63</v>
      </c>
      <c r="AE291" t="s">
        <v>54</v>
      </c>
      <c r="AG291" t="s">
        <v>54</v>
      </c>
      <c r="AH291" t="s">
        <v>65</v>
      </c>
      <c r="AI291" t="s">
        <v>132</v>
      </c>
      <c r="AJ291" t="s">
        <v>54</v>
      </c>
      <c r="AK291" t="s">
        <v>2159</v>
      </c>
      <c r="AL291" t="s">
        <v>382</v>
      </c>
      <c r="AN291" s="19">
        <f>IF(ISBLANK(Mentors[[#This Row],[Onboarded Date]]),"",Mentors[[#This Row],[Onboarded Date]]-WEEKDAY(Mentors[[#This Row],[Onboarded Date]],2)+1)</f>
        <v>45656</v>
      </c>
    </row>
    <row r="292" spans="1:40" ht="19.2" customHeight="1" x14ac:dyDescent="0.3">
      <c r="A292" t="s">
        <v>2160</v>
      </c>
      <c r="B292" t="s">
        <v>2161</v>
      </c>
      <c r="C292" t="s">
        <v>2162</v>
      </c>
      <c r="D292" t="s">
        <v>2163</v>
      </c>
      <c r="E292" t="s">
        <v>2164</v>
      </c>
      <c r="F292">
        <v>2000</v>
      </c>
      <c r="G292">
        <f>IF(OR(Mentors[[#This Row],[Career Start Year]]="NA",ISBLANK(Mentors[[#This Row],[Career Start Year]])),"",2026 - Mentors[[#This Row],[Career Start Year]])</f>
        <v>26</v>
      </c>
      <c r="H29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92" t="s">
        <v>51</v>
      </c>
      <c r="J292" t="s">
        <v>118</v>
      </c>
      <c r="K292" t="s">
        <v>2165</v>
      </c>
      <c r="L292" s="17">
        <v>9820187857</v>
      </c>
      <c r="M292" s="19">
        <v>45658</v>
      </c>
      <c r="N292" t="s">
        <v>4</v>
      </c>
      <c r="O292" t="s">
        <v>0</v>
      </c>
      <c r="Q292" t="s">
        <v>63</v>
      </c>
      <c r="R292" t="s">
        <v>63</v>
      </c>
      <c r="S292" t="s">
        <v>63</v>
      </c>
      <c r="T292" t="s">
        <v>166</v>
      </c>
      <c r="U292" t="s">
        <v>90</v>
      </c>
      <c r="V292" t="s">
        <v>382</v>
      </c>
      <c r="W292" t="s">
        <v>78</v>
      </c>
      <c r="Z292" t="s">
        <v>61</v>
      </c>
      <c r="AA292" t="s">
        <v>62</v>
      </c>
      <c r="AB292">
        <v>1</v>
      </c>
      <c r="AD292" t="s">
        <v>63</v>
      </c>
      <c r="AE292" t="s">
        <v>54</v>
      </c>
      <c r="AG292" t="s">
        <v>54</v>
      </c>
      <c r="AH292" t="s">
        <v>65</v>
      </c>
      <c r="AI292" t="s">
        <v>66</v>
      </c>
      <c r="AJ292" t="s">
        <v>54</v>
      </c>
      <c r="AK292" t="s">
        <v>2166</v>
      </c>
      <c r="AL292" t="s">
        <v>2167</v>
      </c>
      <c r="AN292" s="19">
        <f>IF(ISBLANK(Mentors[[#This Row],[Onboarded Date]]),"",Mentors[[#This Row],[Onboarded Date]]-WEEKDAY(Mentors[[#This Row],[Onboarded Date]],2)+1)</f>
        <v>45656</v>
      </c>
    </row>
    <row r="293" spans="1:40" ht="19.2" customHeight="1" x14ac:dyDescent="0.3">
      <c r="A293" t="s">
        <v>2168</v>
      </c>
      <c r="B293" t="s">
        <v>2169</v>
      </c>
      <c r="C293" t="s">
        <v>2170</v>
      </c>
      <c r="D293" t="s">
        <v>2171</v>
      </c>
      <c r="E293" t="s">
        <v>2172</v>
      </c>
      <c r="F293">
        <v>2018</v>
      </c>
      <c r="G293">
        <f>IF(OR(Mentors[[#This Row],[Career Start Year]]="NA",ISBLANK(Mentors[[#This Row],[Career Start Year]])),"",2026 - Mentors[[#This Row],[Career Start Year]])</f>
        <v>8</v>
      </c>
      <c r="H29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293" t="s">
        <v>51</v>
      </c>
      <c r="J293" t="s">
        <v>999</v>
      </c>
      <c r="K293" t="s">
        <v>2173</v>
      </c>
      <c r="L293" s="17">
        <v>9770423223</v>
      </c>
      <c r="M293" s="19">
        <v>45658</v>
      </c>
      <c r="O293" t="s">
        <v>0</v>
      </c>
      <c r="Q293" t="s">
        <v>54</v>
      </c>
      <c r="R293" t="s">
        <v>54</v>
      </c>
      <c r="S293" t="s">
        <v>54</v>
      </c>
      <c r="T293" t="s">
        <v>56</v>
      </c>
      <c r="U293" t="s">
        <v>77</v>
      </c>
      <c r="V293" t="s">
        <v>78</v>
      </c>
      <c r="W293" t="s">
        <v>65</v>
      </c>
      <c r="X293" t="s">
        <v>60</v>
      </c>
      <c r="Z293" t="s">
        <v>61</v>
      </c>
      <c r="AA293" t="s">
        <v>62</v>
      </c>
      <c r="AB293">
        <v>1</v>
      </c>
      <c r="AD293" t="s">
        <v>63</v>
      </c>
      <c r="AE293" t="s">
        <v>63</v>
      </c>
      <c r="AG293" t="s">
        <v>54</v>
      </c>
      <c r="AH293" t="s">
        <v>152</v>
      </c>
      <c r="AI293" t="s">
        <v>1064</v>
      </c>
      <c r="AJ293" t="s">
        <v>54</v>
      </c>
      <c r="AK293" t="s">
        <v>2174</v>
      </c>
      <c r="AL293" t="s">
        <v>2175</v>
      </c>
      <c r="AN293" s="19">
        <f>IF(ISBLANK(Mentors[[#This Row],[Onboarded Date]]),"",Mentors[[#This Row],[Onboarded Date]]-WEEKDAY(Mentors[[#This Row],[Onboarded Date]],2)+1)</f>
        <v>45656</v>
      </c>
    </row>
    <row r="294" spans="1:40" ht="19.2" customHeight="1" x14ac:dyDescent="0.3">
      <c r="A294" t="s">
        <v>2176</v>
      </c>
      <c r="B294" t="s">
        <v>2177</v>
      </c>
      <c r="C294" t="s">
        <v>2178</v>
      </c>
      <c r="D294" t="s">
        <v>2179</v>
      </c>
      <c r="E294" t="s">
        <v>2180</v>
      </c>
      <c r="F294">
        <v>2005</v>
      </c>
      <c r="G294">
        <f>IF(OR(Mentors[[#This Row],[Career Start Year]]="NA",ISBLANK(Mentors[[#This Row],[Career Start Year]])),"",2026 - Mentors[[#This Row],[Career Start Year]])</f>
        <v>21</v>
      </c>
      <c r="H29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94" t="s">
        <v>51</v>
      </c>
      <c r="J294" t="s">
        <v>280</v>
      </c>
      <c r="K294" t="s">
        <v>2181</v>
      </c>
      <c r="L294" s="17">
        <v>9909948668</v>
      </c>
      <c r="M294" s="19">
        <v>45658</v>
      </c>
      <c r="O294" t="s">
        <v>0</v>
      </c>
      <c r="Q294" t="s">
        <v>54</v>
      </c>
      <c r="R294" t="s">
        <v>54</v>
      </c>
      <c r="S294" t="s">
        <v>54</v>
      </c>
      <c r="T294" t="s">
        <v>56</v>
      </c>
      <c r="U294" s="4" t="s">
        <v>381</v>
      </c>
      <c r="V294" t="s">
        <v>78</v>
      </c>
      <c r="W294" t="s">
        <v>79</v>
      </c>
      <c r="X294" t="s">
        <v>59</v>
      </c>
      <c r="Z294" t="s">
        <v>61</v>
      </c>
      <c r="AA294" t="s">
        <v>62</v>
      </c>
      <c r="AB294">
        <v>1</v>
      </c>
      <c r="AD294" t="s">
        <v>63</v>
      </c>
      <c r="AE294" t="s">
        <v>54</v>
      </c>
      <c r="AG294" t="s">
        <v>54</v>
      </c>
      <c r="AH294" t="s">
        <v>152</v>
      </c>
      <c r="AI294" t="s">
        <v>76</v>
      </c>
      <c r="AJ294" t="s">
        <v>54</v>
      </c>
      <c r="AK294" t="s">
        <v>2182</v>
      </c>
      <c r="AL294" t="s">
        <v>2183</v>
      </c>
      <c r="AN294" s="19">
        <f>IF(ISBLANK(Mentors[[#This Row],[Onboarded Date]]),"",Mentors[[#This Row],[Onboarded Date]]-WEEKDAY(Mentors[[#This Row],[Onboarded Date]],2)+1)</f>
        <v>45656</v>
      </c>
    </row>
    <row r="295" spans="1:40" ht="19.2" customHeight="1" x14ac:dyDescent="0.3">
      <c r="A295" t="s">
        <v>2184</v>
      </c>
      <c r="B295" t="s">
        <v>2185</v>
      </c>
      <c r="C295" t="s">
        <v>2186</v>
      </c>
      <c r="D295" t="s">
        <v>2187</v>
      </c>
      <c r="E295" t="s">
        <v>2188</v>
      </c>
      <c r="F295">
        <v>2013</v>
      </c>
      <c r="G295">
        <f>IF(OR(Mentors[[#This Row],[Career Start Year]]="NA",ISBLANK(Mentors[[#This Row],[Career Start Year]])),"",2026 - Mentors[[#This Row],[Career Start Year]])</f>
        <v>13</v>
      </c>
      <c r="H29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295" t="s">
        <v>51</v>
      </c>
      <c r="J295" t="s">
        <v>297</v>
      </c>
      <c r="K295" t="s">
        <v>2189</v>
      </c>
      <c r="L295" s="17">
        <v>9319665488</v>
      </c>
      <c r="M295" s="19">
        <v>45658</v>
      </c>
      <c r="O295" t="s">
        <v>0</v>
      </c>
      <c r="Q295" t="s">
        <v>54</v>
      </c>
      <c r="R295" t="s">
        <v>63</v>
      </c>
      <c r="S295" t="s">
        <v>63</v>
      </c>
      <c r="T295" t="s">
        <v>76</v>
      </c>
      <c r="U295" t="s">
        <v>65</v>
      </c>
      <c r="V295" t="s">
        <v>78</v>
      </c>
      <c r="W295" t="s">
        <v>79</v>
      </c>
      <c r="Z295" t="s">
        <v>61</v>
      </c>
      <c r="AA295" t="s">
        <v>62</v>
      </c>
      <c r="AB295">
        <v>1</v>
      </c>
      <c r="AD295" t="s">
        <v>63</v>
      </c>
      <c r="AE295" t="s">
        <v>63</v>
      </c>
      <c r="AG295" t="s">
        <v>54</v>
      </c>
      <c r="AH295" t="s">
        <v>152</v>
      </c>
      <c r="AI295" t="s">
        <v>1177</v>
      </c>
      <c r="AJ295" t="s">
        <v>54</v>
      </c>
      <c r="AK295" t="s">
        <v>2190</v>
      </c>
      <c r="AL295" t="s">
        <v>2191</v>
      </c>
      <c r="AN295" s="19">
        <f>IF(ISBLANK(Mentors[[#This Row],[Onboarded Date]]),"",Mentors[[#This Row],[Onboarded Date]]-WEEKDAY(Mentors[[#This Row],[Onboarded Date]],2)+1)</f>
        <v>45656</v>
      </c>
    </row>
    <row r="296" spans="1:40" ht="19.2" customHeight="1" x14ac:dyDescent="0.3">
      <c r="A296" t="s">
        <v>2192</v>
      </c>
      <c r="B296" t="s">
        <v>2193</v>
      </c>
      <c r="D296" t="s">
        <v>2194</v>
      </c>
      <c r="E296" t="s">
        <v>2195</v>
      </c>
      <c r="F296">
        <v>2010</v>
      </c>
      <c r="G296">
        <f>IF(OR(Mentors[[#This Row],[Career Start Year]]="NA",ISBLANK(Mentors[[#This Row],[Career Start Year]])),"",2026 - Mentors[[#This Row],[Career Start Year]])</f>
        <v>16</v>
      </c>
      <c r="H29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296" t="s">
        <v>1384</v>
      </c>
      <c r="J296" t="s">
        <v>1385</v>
      </c>
      <c r="K296" t="s">
        <v>2196</v>
      </c>
      <c r="L296" s="17">
        <v>8608607603</v>
      </c>
      <c r="M296" s="19">
        <v>45658</v>
      </c>
      <c r="O296" t="s">
        <v>0</v>
      </c>
      <c r="Q296" t="s">
        <v>63</v>
      </c>
      <c r="R296" t="s">
        <v>63</v>
      </c>
      <c r="S296" t="s">
        <v>63</v>
      </c>
      <c r="T296" s="4" t="s">
        <v>756</v>
      </c>
      <c r="U296" t="s">
        <v>110</v>
      </c>
      <c r="V296" t="s">
        <v>57</v>
      </c>
      <c r="W296" t="s">
        <v>79</v>
      </c>
      <c r="Z296" t="s">
        <v>61</v>
      </c>
      <c r="AA296" t="s">
        <v>62</v>
      </c>
      <c r="AB296">
        <v>1</v>
      </c>
      <c r="AD296" t="s">
        <v>54</v>
      </c>
      <c r="AE296" t="s">
        <v>54</v>
      </c>
      <c r="AG296" t="s">
        <v>54</v>
      </c>
      <c r="AH296" t="s">
        <v>65</v>
      </c>
      <c r="AI296" t="s">
        <v>412</v>
      </c>
      <c r="AJ296" t="s">
        <v>54</v>
      </c>
      <c r="AK296" t="s">
        <v>2197</v>
      </c>
      <c r="AL296" t="s">
        <v>638</v>
      </c>
      <c r="AN296" s="19">
        <f>IF(ISBLANK(Mentors[[#This Row],[Onboarded Date]]),"",Mentors[[#This Row],[Onboarded Date]]-WEEKDAY(Mentors[[#This Row],[Onboarded Date]],2)+1)</f>
        <v>45656</v>
      </c>
    </row>
    <row r="297" spans="1:40" ht="19.2" customHeight="1" x14ac:dyDescent="0.3">
      <c r="A297" t="s">
        <v>2198</v>
      </c>
      <c r="B297" t="s">
        <v>2199</v>
      </c>
      <c r="C297" t="s">
        <v>2200</v>
      </c>
      <c r="D297" t="s">
        <v>2201</v>
      </c>
      <c r="E297" t="s">
        <v>2202</v>
      </c>
      <c r="F297">
        <v>1993</v>
      </c>
      <c r="G297">
        <f>IF(OR(Mentors[[#This Row],[Career Start Year]]="NA",ISBLANK(Mentors[[#This Row],[Career Start Year]])),"",2026 - Mentors[[#This Row],[Career Start Year]])</f>
        <v>33</v>
      </c>
      <c r="H29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297" t="s">
        <v>51</v>
      </c>
      <c r="J297" t="s">
        <v>52</v>
      </c>
      <c r="K297" t="s">
        <v>2203</v>
      </c>
      <c r="L297" s="17">
        <v>9673330483</v>
      </c>
      <c r="M297" s="19">
        <v>45658</v>
      </c>
      <c r="O297" t="s">
        <v>0</v>
      </c>
      <c r="Q297" t="s">
        <v>63</v>
      </c>
      <c r="R297" t="s">
        <v>54</v>
      </c>
      <c r="S297" t="s">
        <v>54</v>
      </c>
      <c r="T297" t="s">
        <v>76</v>
      </c>
      <c r="U297" t="s">
        <v>77</v>
      </c>
      <c r="V297" t="s">
        <v>58</v>
      </c>
      <c r="W297" t="s">
        <v>79</v>
      </c>
      <c r="Z297" t="s">
        <v>61</v>
      </c>
      <c r="AA297" t="s">
        <v>62</v>
      </c>
      <c r="AB297">
        <v>1</v>
      </c>
      <c r="AD297" t="s">
        <v>63</v>
      </c>
      <c r="AE297" t="s">
        <v>54</v>
      </c>
      <c r="AG297" t="s">
        <v>54</v>
      </c>
      <c r="AH297" t="s">
        <v>215</v>
      </c>
      <c r="AI297" t="s">
        <v>76</v>
      </c>
      <c r="AJ297" t="s">
        <v>54</v>
      </c>
      <c r="AK297" t="s">
        <v>2204</v>
      </c>
      <c r="AL297" t="s">
        <v>2205</v>
      </c>
      <c r="AN297" s="19">
        <f>IF(ISBLANK(Mentors[[#This Row],[Onboarded Date]]),"",Mentors[[#This Row],[Onboarded Date]]-WEEKDAY(Mentors[[#This Row],[Onboarded Date]],2)+1)</f>
        <v>45656</v>
      </c>
    </row>
    <row r="298" spans="1:40" ht="19.2" customHeight="1" x14ac:dyDescent="0.3">
      <c r="A298" t="s">
        <v>2206</v>
      </c>
      <c r="B298" t="s">
        <v>152</v>
      </c>
      <c r="C298" t="s">
        <v>2207</v>
      </c>
      <c r="D298" t="s">
        <v>2208</v>
      </c>
      <c r="E298" s="7" t="s">
        <v>2209</v>
      </c>
      <c r="F298">
        <v>2012</v>
      </c>
      <c r="G298">
        <f>IF(OR(Mentors[[#This Row],[Career Start Year]]="NA",ISBLANK(Mentors[[#This Row],[Career Start Year]])),"",2026 - Mentors[[#This Row],[Career Start Year]])</f>
        <v>14</v>
      </c>
      <c r="H29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298" t="s">
        <v>51</v>
      </c>
      <c r="J298" t="s">
        <v>52</v>
      </c>
      <c r="K298" t="s">
        <v>2210</v>
      </c>
      <c r="L298" s="17">
        <v>8454043911</v>
      </c>
      <c r="M298" s="19">
        <v>45658</v>
      </c>
      <c r="O298" t="s">
        <v>0</v>
      </c>
      <c r="Q298" t="s">
        <v>54</v>
      </c>
      <c r="R298" t="s">
        <v>63</v>
      </c>
      <c r="S298" t="s">
        <v>63</v>
      </c>
      <c r="T298" t="s">
        <v>77</v>
      </c>
      <c r="U298" t="s">
        <v>99</v>
      </c>
      <c r="V298" t="s">
        <v>58</v>
      </c>
      <c r="W298" s="4" t="s">
        <v>1268</v>
      </c>
      <c r="X298" s="4" t="s">
        <v>60</v>
      </c>
      <c r="Y298" s="4" t="s">
        <v>80</v>
      </c>
      <c r="Z298" t="s">
        <v>81</v>
      </c>
      <c r="AA298" t="s">
        <v>62</v>
      </c>
      <c r="AB298">
        <v>1</v>
      </c>
      <c r="AD298" t="s">
        <v>54</v>
      </c>
      <c r="AE298" t="s">
        <v>63</v>
      </c>
      <c r="AG298" t="s">
        <v>54</v>
      </c>
      <c r="AH298" t="s">
        <v>152</v>
      </c>
      <c r="AI298" t="s">
        <v>132</v>
      </c>
      <c r="AJ298" t="s">
        <v>54</v>
      </c>
      <c r="AK298" t="s">
        <v>2211</v>
      </c>
      <c r="AL298" t="s">
        <v>2212</v>
      </c>
      <c r="AN298" s="19">
        <f>IF(ISBLANK(Mentors[[#This Row],[Onboarded Date]]),"",Mentors[[#This Row],[Onboarded Date]]-WEEKDAY(Mentors[[#This Row],[Onboarded Date]],2)+1)</f>
        <v>45656</v>
      </c>
    </row>
    <row r="299" spans="1:40" ht="19.2" customHeight="1" x14ac:dyDescent="0.3">
      <c r="A299" t="s">
        <v>2213</v>
      </c>
      <c r="B299" t="s">
        <v>2214</v>
      </c>
      <c r="C299" t="s">
        <v>2215</v>
      </c>
      <c r="D299" t="s">
        <v>2216</v>
      </c>
      <c r="E299" t="s">
        <v>2217</v>
      </c>
      <c r="F299">
        <v>2013</v>
      </c>
      <c r="G299">
        <f>IF(OR(Mentors[[#This Row],[Career Start Year]]="NA",ISBLANK(Mentors[[#This Row],[Career Start Year]])),"",2026 - Mentors[[#This Row],[Career Start Year]])</f>
        <v>13</v>
      </c>
      <c r="H29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299" t="s">
        <v>51</v>
      </c>
      <c r="J299" t="s">
        <v>52</v>
      </c>
      <c r="K299" t="s">
        <v>2218</v>
      </c>
      <c r="L299" s="17">
        <v>8390265480</v>
      </c>
      <c r="M299" s="19">
        <v>45658</v>
      </c>
      <c r="N299" t="s">
        <v>6</v>
      </c>
      <c r="O299" t="s">
        <v>0</v>
      </c>
      <c r="Q299" t="s">
        <v>54</v>
      </c>
      <c r="R299" t="s">
        <v>63</v>
      </c>
      <c r="S299" t="s">
        <v>63</v>
      </c>
      <c r="T299" s="11" t="s">
        <v>247</v>
      </c>
      <c r="U299" t="s">
        <v>65</v>
      </c>
      <c r="V299" t="s">
        <v>57</v>
      </c>
      <c r="W299" t="s">
        <v>79</v>
      </c>
      <c r="Z299" t="s">
        <v>101</v>
      </c>
      <c r="AA299" t="s">
        <v>62</v>
      </c>
      <c r="AB299">
        <v>1</v>
      </c>
      <c r="AD299" t="s">
        <v>63</v>
      </c>
      <c r="AE299" t="s">
        <v>54</v>
      </c>
      <c r="AG299" t="s">
        <v>54</v>
      </c>
      <c r="AH299" t="s">
        <v>65</v>
      </c>
      <c r="AI299" t="s">
        <v>248</v>
      </c>
      <c r="AJ299" t="s">
        <v>54</v>
      </c>
      <c r="AK299" t="s">
        <v>2219</v>
      </c>
      <c r="AL299" t="s">
        <v>2220</v>
      </c>
      <c r="AN299" s="19">
        <f>IF(ISBLANK(Mentors[[#This Row],[Onboarded Date]]),"",Mentors[[#This Row],[Onboarded Date]]-WEEKDAY(Mentors[[#This Row],[Onboarded Date]],2)+1)</f>
        <v>45656</v>
      </c>
    </row>
    <row r="300" spans="1:40" ht="19.2" customHeight="1" x14ac:dyDescent="0.3">
      <c r="A300" t="s">
        <v>2221</v>
      </c>
      <c r="B300" t="s">
        <v>2222</v>
      </c>
      <c r="C300" t="s">
        <v>2223</v>
      </c>
      <c r="D300" t="s">
        <v>2224</v>
      </c>
      <c r="E300" t="s">
        <v>2225</v>
      </c>
      <c r="F300">
        <v>2016</v>
      </c>
      <c r="G300">
        <f>IF(OR(Mentors[[#This Row],[Career Start Year]]="NA",ISBLANK(Mentors[[#This Row],[Career Start Year]])),"",2026 - Mentors[[#This Row],[Career Start Year]])</f>
        <v>10</v>
      </c>
      <c r="H30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300" t="s">
        <v>51</v>
      </c>
      <c r="J300" t="s">
        <v>280</v>
      </c>
      <c r="K300" t="s">
        <v>2226</v>
      </c>
      <c r="L300" s="17">
        <v>8735860524</v>
      </c>
      <c r="M300" s="19">
        <v>45658</v>
      </c>
      <c r="O300" t="s">
        <v>0</v>
      </c>
      <c r="Q300" t="s">
        <v>54</v>
      </c>
      <c r="R300" t="s">
        <v>63</v>
      </c>
      <c r="S300" t="s">
        <v>54</v>
      </c>
      <c r="T300" t="s">
        <v>56</v>
      </c>
      <c r="U300" s="4" t="s">
        <v>381</v>
      </c>
      <c r="V300" t="s">
        <v>78</v>
      </c>
      <c r="W300" t="s">
        <v>79</v>
      </c>
      <c r="X300" t="s">
        <v>60</v>
      </c>
      <c r="Z300" t="s">
        <v>61</v>
      </c>
      <c r="AA300" t="s">
        <v>62</v>
      </c>
      <c r="AB300">
        <v>1</v>
      </c>
      <c r="AD300" t="s">
        <v>63</v>
      </c>
      <c r="AE300" t="s">
        <v>54</v>
      </c>
      <c r="AG300" t="s">
        <v>54</v>
      </c>
      <c r="AH300" t="s">
        <v>65</v>
      </c>
      <c r="AI300" t="s">
        <v>248</v>
      </c>
      <c r="AJ300" t="s">
        <v>54</v>
      </c>
      <c r="AK300" t="s">
        <v>2227</v>
      </c>
      <c r="AL300" t="s">
        <v>2228</v>
      </c>
      <c r="AN300" s="19">
        <f>IF(ISBLANK(Mentors[[#This Row],[Onboarded Date]]),"",Mentors[[#This Row],[Onboarded Date]]-WEEKDAY(Mentors[[#This Row],[Onboarded Date]],2)+1)</f>
        <v>45656</v>
      </c>
    </row>
    <row r="301" spans="1:40" ht="19.2" customHeight="1" x14ac:dyDescent="0.3">
      <c r="A301" t="s">
        <v>2229</v>
      </c>
      <c r="B301" t="s">
        <v>2230</v>
      </c>
      <c r="C301" t="s">
        <v>2231</v>
      </c>
      <c r="D301" t="s">
        <v>2232</v>
      </c>
      <c r="E301" t="s">
        <v>2233</v>
      </c>
      <c r="F301">
        <v>2000</v>
      </c>
      <c r="G301">
        <f>IF(OR(Mentors[[#This Row],[Career Start Year]]="NA",ISBLANK(Mentors[[#This Row],[Career Start Year]])),"",2026 - Mentors[[#This Row],[Career Start Year]])</f>
        <v>26</v>
      </c>
      <c r="H30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01" t="s">
        <v>51</v>
      </c>
      <c r="J301" t="s">
        <v>118</v>
      </c>
      <c r="K301" t="s">
        <v>2234</v>
      </c>
      <c r="L301" s="17">
        <v>9833736688</v>
      </c>
      <c r="M301" s="19">
        <v>45658</v>
      </c>
      <c r="O301" t="s">
        <v>0</v>
      </c>
      <c r="Q301" t="s">
        <v>54</v>
      </c>
      <c r="R301" t="s">
        <v>54</v>
      </c>
      <c r="S301" t="s">
        <v>54</v>
      </c>
      <c r="T301" t="s">
        <v>77</v>
      </c>
      <c r="U301" t="s">
        <v>110</v>
      </c>
      <c r="V301" t="s">
        <v>78</v>
      </c>
      <c r="W301" t="s">
        <v>79</v>
      </c>
      <c r="Z301" t="s">
        <v>61</v>
      </c>
      <c r="AA301" t="s">
        <v>62</v>
      </c>
      <c r="AB301">
        <v>1</v>
      </c>
      <c r="AD301" t="s">
        <v>63</v>
      </c>
      <c r="AE301" t="s">
        <v>54</v>
      </c>
      <c r="AG301" t="s">
        <v>54</v>
      </c>
      <c r="AH301" t="s">
        <v>65</v>
      </c>
      <c r="AI301" t="s">
        <v>122</v>
      </c>
      <c r="AJ301" t="s">
        <v>54</v>
      </c>
      <c r="AK301" t="s">
        <v>2235</v>
      </c>
      <c r="AL301" t="s">
        <v>2236</v>
      </c>
      <c r="AN301" s="19">
        <f>IF(ISBLANK(Mentors[[#This Row],[Onboarded Date]]),"",Mentors[[#This Row],[Onboarded Date]]-WEEKDAY(Mentors[[#This Row],[Onboarded Date]],2)+1)</f>
        <v>45656</v>
      </c>
    </row>
    <row r="302" spans="1:40" ht="19.2" customHeight="1" x14ac:dyDescent="0.3">
      <c r="A302" t="s">
        <v>2237</v>
      </c>
      <c r="B302" t="s">
        <v>2238</v>
      </c>
      <c r="C302" t="s">
        <v>2239</v>
      </c>
      <c r="D302" t="s">
        <v>2240</v>
      </c>
      <c r="E302" t="s">
        <v>2241</v>
      </c>
      <c r="F302">
        <v>1994</v>
      </c>
      <c r="G302">
        <f>IF(OR(Mentors[[#This Row],[Career Start Year]]="NA",ISBLANK(Mentors[[#This Row],[Career Start Year]])),"",2026 - Mentors[[#This Row],[Career Start Year]])</f>
        <v>32</v>
      </c>
      <c r="H30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02" t="s">
        <v>51</v>
      </c>
      <c r="J302" t="s">
        <v>196</v>
      </c>
      <c r="K302" t="s">
        <v>2242</v>
      </c>
      <c r="L302" s="17">
        <v>9945025317</v>
      </c>
      <c r="M302" s="19">
        <v>45658</v>
      </c>
      <c r="O302" t="s">
        <v>0</v>
      </c>
      <c r="Q302" t="s">
        <v>54</v>
      </c>
      <c r="R302" t="s">
        <v>63</v>
      </c>
      <c r="S302" t="s">
        <v>63</v>
      </c>
      <c r="T302" s="4" t="s">
        <v>756</v>
      </c>
      <c r="U302" t="s">
        <v>65</v>
      </c>
      <c r="V302" t="s">
        <v>57</v>
      </c>
      <c r="W302" t="s">
        <v>79</v>
      </c>
      <c r="X302" t="s">
        <v>59</v>
      </c>
      <c r="Z302" t="s">
        <v>61</v>
      </c>
      <c r="AA302" t="s">
        <v>62</v>
      </c>
      <c r="AB302">
        <v>1</v>
      </c>
      <c r="AD302" t="s">
        <v>54</v>
      </c>
      <c r="AE302" t="s">
        <v>54</v>
      </c>
      <c r="AG302" t="s">
        <v>54</v>
      </c>
      <c r="AH302" t="s">
        <v>65</v>
      </c>
      <c r="AI302" t="s">
        <v>412</v>
      </c>
      <c r="AJ302" t="s">
        <v>54</v>
      </c>
      <c r="AK302" t="s">
        <v>2243</v>
      </c>
      <c r="AL302" t="s">
        <v>2244</v>
      </c>
      <c r="AN302" s="19">
        <f>IF(ISBLANK(Mentors[[#This Row],[Onboarded Date]]),"",Mentors[[#This Row],[Onboarded Date]]-WEEKDAY(Mentors[[#This Row],[Onboarded Date]],2)+1)</f>
        <v>45656</v>
      </c>
    </row>
    <row r="303" spans="1:40" ht="19.2" customHeight="1" x14ac:dyDescent="0.3">
      <c r="A303" t="s">
        <v>2245</v>
      </c>
      <c r="B303" t="s">
        <v>2246</v>
      </c>
      <c r="C303" t="s">
        <v>2247</v>
      </c>
      <c r="D303" t="s">
        <v>2248</v>
      </c>
      <c r="E303" t="s">
        <v>2249</v>
      </c>
      <c r="F303">
        <v>2005</v>
      </c>
      <c r="G303">
        <f>IF(OR(Mentors[[#This Row],[Career Start Year]]="NA",ISBLANK(Mentors[[#This Row],[Career Start Year]])),"",2026 - Mentors[[#This Row],[Career Start Year]])</f>
        <v>21</v>
      </c>
      <c r="H30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03" t="s">
        <v>51</v>
      </c>
      <c r="J303" t="s">
        <v>2250</v>
      </c>
      <c r="K303" t="s">
        <v>2251</v>
      </c>
      <c r="L303" s="17" t="s">
        <v>79</v>
      </c>
      <c r="M303" s="19">
        <v>45658</v>
      </c>
      <c r="O303" t="s">
        <v>0</v>
      </c>
      <c r="Q303" t="s">
        <v>54</v>
      </c>
      <c r="R303" t="s">
        <v>54</v>
      </c>
      <c r="S303" t="s">
        <v>54</v>
      </c>
      <c r="T303" t="s">
        <v>99</v>
      </c>
      <c r="U303" t="s">
        <v>76</v>
      </c>
      <c r="V303" t="s">
        <v>58</v>
      </c>
      <c r="W303" t="s">
        <v>78</v>
      </c>
      <c r="X303" t="s">
        <v>59</v>
      </c>
      <c r="Z303" t="s">
        <v>61</v>
      </c>
      <c r="AA303" t="s">
        <v>62</v>
      </c>
      <c r="AB303">
        <v>1</v>
      </c>
      <c r="AD303" t="s">
        <v>63</v>
      </c>
      <c r="AE303" t="s">
        <v>54</v>
      </c>
      <c r="AG303" t="s">
        <v>54</v>
      </c>
      <c r="AH303" t="s">
        <v>94</v>
      </c>
      <c r="AI303" t="s">
        <v>248</v>
      </c>
      <c r="AJ303" t="s">
        <v>54</v>
      </c>
      <c r="AK303" t="s">
        <v>2252</v>
      </c>
      <c r="AL303" t="s">
        <v>2253</v>
      </c>
      <c r="AN303" s="19">
        <f>IF(ISBLANK(Mentors[[#This Row],[Onboarded Date]]),"",Mentors[[#This Row],[Onboarded Date]]-WEEKDAY(Mentors[[#This Row],[Onboarded Date]],2)+1)</f>
        <v>45656</v>
      </c>
    </row>
    <row r="304" spans="1:40" ht="19.2" customHeight="1" x14ac:dyDescent="0.3">
      <c r="A304" t="s">
        <v>2254</v>
      </c>
      <c r="B304" t="s">
        <v>2255</v>
      </c>
      <c r="C304" t="s">
        <v>2256</v>
      </c>
      <c r="D304" t="s">
        <v>2257</v>
      </c>
      <c r="E304" t="s">
        <v>2258</v>
      </c>
      <c r="F304">
        <v>2005</v>
      </c>
      <c r="G304">
        <f>IF(OR(Mentors[[#This Row],[Career Start Year]]="NA",ISBLANK(Mentors[[#This Row],[Career Start Year]])),"",2026 - Mentors[[#This Row],[Career Start Year]])</f>
        <v>21</v>
      </c>
      <c r="H30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04" t="s">
        <v>51</v>
      </c>
      <c r="J304" t="s">
        <v>74</v>
      </c>
      <c r="K304" t="s">
        <v>2259</v>
      </c>
      <c r="L304" s="17">
        <v>9810306533</v>
      </c>
      <c r="M304" s="19">
        <v>45658</v>
      </c>
      <c r="O304" t="s">
        <v>0</v>
      </c>
      <c r="Q304" t="s">
        <v>63</v>
      </c>
      <c r="R304" t="s">
        <v>63</v>
      </c>
      <c r="S304" t="s">
        <v>63</v>
      </c>
      <c r="T304" s="4" t="s">
        <v>756</v>
      </c>
      <c r="U304" t="s">
        <v>99</v>
      </c>
      <c r="V304" t="s">
        <v>57</v>
      </c>
      <c r="W304" t="s">
        <v>78</v>
      </c>
      <c r="X304" t="s">
        <v>59</v>
      </c>
      <c r="Z304" t="s">
        <v>61</v>
      </c>
      <c r="AA304" t="s">
        <v>62</v>
      </c>
      <c r="AB304">
        <v>1</v>
      </c>
      <c r="AD304" t="s">
        <v>63</v>
      </c>
      <c r="AE304" t="s">
        <v>63</v>
      </c>
      <c r="AF304" t="s">
        <v>64</v>
      </c>
      <c r="AG304" t="s">
        <v>54</v>
      </c>
      <c r="AH304" t="s">
        <v>152</v>
      </c>
      <c r="AI304" t="s">
        <v>412</v>
      </c>
      <c r="AJ304" t="s">
        <v>54</v>
      </c>
      <c r="AK304" t="s">
        <v>2260</v>
      </c>
      <c r="AL304" t="s">
        <v>2261</v>
      </c>
      <c r="AN304" s="19">
        <f>IF(ISBLANK(Mentors[[#This Row],[Onboarded Date]]),"",Mentors[[#This Row],[Onboarded Date]]-WEEKDAY(Mentors[[#This Row],[Onboarded Date]],2)+1)</f>
        <v>45656</v>
      </c>
    </row>
    <row r="305" spans="1:40" ht="19.2" customHeight="1" x14ac:dyDescent="0.3">
      <c r="A305" t="s">
        <v>2262</v>
      </c>
      <c r="B305" t="s">
        <v>2263</v>
      </c>
      <c r="C305" t="s">
        <v>2264</v>
      </c>
      <c r="D305" s="4" t="s">
        <v>2265</v>
      </c>
      <c r="E305" t="s">
        <v>2266</v>
      </c>
      <c r="F305">
        <v>2000</v>
      </c>
      <c r="G305">
        <f>IF(OR(Mentors[[#This Row],[Career Start Year]]="NA",ISBLANK(Mentors[[#This Row],[Career Start Year]])),"",2026 - Mentors[[#This Row],[Career Start Year]])</f>
        <v>26</v>
      </c>
      <c r="H30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05" t="s">
        <v>51</v>
      </c>
      <c r="J305" t="s">
        <v>118</v>
      </c>
      <c r="K305" s="7" t="s">
        <v>2267</v>
      </c>
      <c r="M305" s="19">
        <v>45658</v>
      </c>
      <c r="O305" t="s">
        <v>0</v>
      </c>
      <c r="Q305" t="s">
        <v>54</v>
      </c>
      <c r="R305" t="s">
        <v>63</v>
      </c>
      <c r="S305" t="s">
        <v>63</v>
      </c>
      <c r="T305" t="s">
        <v>187</v>
      </c>
      <c r="U305" t="s">
        <v>166</v>
      </c>
      <c r="V305" t="s">
        <v>78</v>
      </c>
      <c r="W305" t="s">
        <v>120</v>
      </c>
      <c r="X305" t="s">
        <v>230</v>
      </c>
      <c r="Y305" t="s">
        <v>59</v>
      </c>
      <c r="Z305" t="s">
        <v>61</v>
      </c>
      <c r="AA305" t="s">
        <v>62</v>
      </c>
      <c r="AB305">
        <v>1</v>
      </c>
      <c r="AD305" t="s">
        <v>54</v>
      </c>
      <c r="AE305" t="s">
        <v>63</v>
      </c>
      <c r="AG305" t="s">
        <v>54</v>
      </c>
      <c r="AH305" t="s">
        <v>152</v>
      </c>
      <c r="AI305" t="s">
        <v>122</v>
      </c>
      <c r="AJ305" t="s">
        <v>54</v>
      </c>
      <c r="AK305" t="s">
        <v>2268</v>
      </c>
      <c r="AL305" t="s">
        <v>2269</v>
      </c>
      <c r="AN305" s="19">
        <f>IF(ISBLANK(Mentors[[#This Row],[Onboarded Date]]),"",Mentors[[#This Row],[Onboarded Date]]-WEEKDAY(Mentors[[#This Row],[Onboarded Date]],2)+1)</f>
        <v>45656</v>
      </c>
    </row>
    <row r="306" spans="1:40" ht="19.2" customHeight="1" x14ac:dyDescent="0.3">
      <c r="A306" t="s">
        <v>2270</v>
      </c>
      <c r="B306" t="s">
        <v>2271</v>
      </c>
      <c r="D306" t="s">
        <v>2272</v>
      </c>
      <c r="E306" s="7" t="s">
        <v>2273</v>
      </c>
      <c r="F306">
        <v>1993</v>
      </c>
      <c r="G306">
        <f>IF(OR(Mentors[[#This Row],[Career Start Year]]="NA",ISBLANK(Mentors[[#This Row],[Career Start Year]])),"",2026 - Mentors[[#This Row],[Career Start Year]])</f>
        <v>33</v>
      </c>
      <c r="H30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06" t="s">
        <v>51</v>
      </c>
      <c r="J306" t="s">
        <v>389</v>
      </c>
      <c r="K306" s="7" t="s">
        <v>2274</v>
      </c>
      <c r="L306" s="17">
        <v>9810296247</v>
      </c>
      <c r="M306" s="19">
        <v>45658</v>
      </c>
      <c r="O306" t="s">
        <v>0</v>
      </c>
      <c r="Q306" t="s">
        <v>54</v>
      </c>
      <c r="R306" t="s">
        <v>54</v>
      </c>
      <c r="S306" t="s">
        <v>63</v>
      </c>
      <c r="T306" t="s">
        <v>187</v>
      </c>
      <c r="U306" t="s">
        <v>56</v>
      </c>
      <c r="V306" t="s">
        <v>1268</v>
      </c>
      <c r="W306" t="s">
        <v>78</v>
      </c>
      <c r="Z306" t="s">
        <v>81</v>
      </c>
      <c r="AA306" t="s">
        <v>62</v>
      </c>
      <c r="AB306">
        <v>1</v>
      </c>
      <c r="AD306" t="s">
        <v>54</v>
      </c>
      <c r="AE306" t="s">
        <v>63</v>
      </c>
      <c r="AG306" t="s">
        <v>54</v>
      </c>
      <c r="AH306" t="s">
        <v>65</v>
      </c>
      <c r="AI306" t="s">
        <v>132</v>
      </c>
      <c r="AJ306" t="s">
        <v>54</v>
      </c>
      <c r="AK306" t="s">
        <v>2275</v>
      </c>
      <c r="AL306" t="s">
        <v>2276</v>
      </c>
      <c r="AN306" s="19">
        <f>IF(ISBLANK(Mentors[[#This Row],[Onboarded Date]]),"",Mentors[[#This Row],[Onboarded Date]]-WEEKDAY(Mentors[[#This Row],[Onboarded Date]],2)+1)</f>
        <v>45656</v>
      </c>
    </row>
    <row r="307" spans="1:40" ht="19.2" customHeight="1" x14ac:dyDescent="0.3">
      <c r="A307" t="s">
        <v>2277</v>
      </c>
      <c r="B307" t="s">
        <v>2278</v>
      </c>
      <c r="C307" t="s">
        <v>2279</v>
      </c>
      <c r="D307" t="s">
        <v>2280</v>
      </c>
      <c r="E307" t="s">
        <v>2281</v>
      </c>
      <c r="F307">
        <v>2014</v>
      </c>
      <c r="G307">
        <f>IF(OR(Mentors[[#This Row],[Career Start Year]]="NA",ISBLANK(Mentors[[#This Row],[Career Start Year]])),"",2026 - Mentors[[#This Row],[Career Start Year]])</f>
        <v>12</v>
      </c>
      <c r="H30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307" t="s">
        <v>51</v>
      </c>
      <c r="J307" t="s">
        <v>88</v>
      </c>
      <c r="K307" t="s">
        <v>2282</v>
      </c>
      <c r="L307" s="17">
        <v>8121609670</v>
      </c>
      <c r="M307" s="19">
        <v>45658</v>
      </c>
      <c r="O307" t="s">
        <v>0</v>
      </c>
      <c r="Q307" t="s">
        <v>63</v>
      </c>
      <c r="R307" t="s">
        <v>63</v>
      </c>
      <c r="S307" t="s">
        <v>63</v>
      </c>
      <c r="T307" t="s">
        <v>919</v>
      </c>
      <c r="U307" t="s">
        <v>100</v>
      </c>
      <c r="V307" t="s">
        <v>256</v>
      </c>
      <c r="W307" t="s">
        <v>78</v>
      </c>
      <c r="X307" t="s">
        <v>59</v>
      </c>
      <c r="Z307" t="s">
        <v>101</v>
      </c>
      <c r="AA307" t="s">
        <v>62</v>
      </c>
      <c r="AB307">
        <v>1</v>
      </c>
      <c r="AD307" t="s">
        <v>63</v>
      </c>
      <c r="AE307" t="s">
        <v>54</v>
      </c>
      <c r="AG307" t="s">
        <v>54</v>
      </c>
      <c r="AH307" t="s">
        <v>65</v>
      </c>
      <c r="AI307" t="s">
        <v>248</v>
      </c>
      <c r="AJ307" t="s">
        <v>54</v>
      </c>
      <c r="AK307" t="s">
        <v>2283</v>
      </c>
      <c r="AL307" t="s">
        <v>2284</v>
      </c>
      <c r="AN307" s="19">
        <f>IF(ISBLANK(Mentors[[#This Row],[Onboarded Date]]),"",Mentors[[#This Row],[Onboarded Date]]-WEEKDAY(Mentors[[#This Row],[Onboarded Date]],2)+1)</f>
        <v>45656</v>
      </c>
    </row>
    <row r="308" spans="1:40" ht="19.2" customHeight="1" x14ac:dyDescent="0.3">
      <c r="A308" t="s">
        <v>2285</v>
      </c>
      <c r="B308" t="s">
        <v>2286</v>
      </c>
      <c r="C308" t="s">
        <v>2287</v>
      </c>
      <c r="D308" t="s">
        <v>2288</v>
      </c>
      <c r="E308" t="s">
        <v>2289</v>
      </c>
      <c r="F308">
        <v>1996</v>
      </c>
      <c r="G308">
        <f>IF(OR(Mentors[[#This Row],[Career Start Year]]="NA",ISBLANK(Mentors[[#This Row],[Career Start Year]])),"",2026 - Mentors[[#This Row],[Career Start Year]])</f>
        <v>30</v>
      </c>
      <c r="H30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08" t="s">
        <v>51</v>
      </c>
      <c r="J308" t="s">
        <v>88</v>
      </c>
      <c r="K308" t="s">
        <v>2290</v>
      </c>
      <c r="L308" s="17">
        <v>9052512020</v>
      </c>
      <c r="M308" s="19">
        <v>45658</v>
      </c>
      <c r="O308" t="s">
        <v>0</v>
      </c>
      <c r="Q308" t="s">
        <v>54</v>
      </c>
      <c r="R308" t="s">
        <v>54</v>
      </c>
      <c r="S308" t="s">
        <v>54</v>
      </c>
      <c r="T308" t="s">
        <v>77</v>
      </c>
      <c r="U308" t="s">
        <v>65</v>
      </c>
      <c r="V308" t="s">
        <v>282</v>
      </c>
      <c r="W308" t="s">
        <v>481</v>
      </c>
      <c r="X308" t="s">
        <v>59</v>
      </c>
      <c r="Z308" t="s">
        <v>61</v>
      </c>
      <c r="AA308" t="s">
        <v>62</v>
      </c>
      <c r="AB308">
        <v>1</v>
      </c>
      <c r="AD308" t="s">
        <v>63</v>
      </c>
      <c r="AE308" t="s">
        <v>63</v>
      </c>
      <c r="AG308" t="s">
        <v>54</v>
      </c>
      <c r="AH308" t="s">
        <v>152</v>
      </c>
      <c r="AI308" t="s">
        <v>1064</v>
      </c>
      <c r="AJ308" t="s">
        <v>54</v>
      </c>
      <c r="AK308" t="s">
        <v>2291</v>
      </c>
      <c r="AL308" t="s">
        <v>2292</v>
      </c>
      <c r="AN308" s="19">
        <f>IF(ISBLANK(Mentors[[#This Row],[Onboarded Date]]),"",Mentors[[#This Row],[Onboarded Date]]-WEEKDAY(Mentors[[#This Row],[Onboarded Date]],2)+1)</f>
        <v>45656</v>
      </c>
    </row>
    <row r="309" spans="1:40" ht="19.2" customHeight="1" x14ac:dyDescent="0.3">
      <c r="A309" t="s">
        <v>2293</v>
      </c>
      <c r="B309" t="s">
        <v>2294</v>
      </c>
      <c r="C309" t="s">
        <v>2295</v>
      </c>
      <c r="D309" t="s">
        <v>2296</v>
      </c>
      <c r="E309" t="s">
        <v>2297</v>
      </c>
      <c r="F309">
        <v>2003</v>
      </c>
      <c r="G309">
        <f>IF(OR(Mentors[[#This Row],[Career Start Year]]="NA",ISBLANK(Mentors[[#This Row],[Career Start Year]])),"",2026 - Mentors[[#This Row],[Career Start Year]])</f>
        <v>23</v>
      </c>
      <c r="H30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09" t="s">
        <v>51</v>
      </c>
      <c r="J309" t="s">
        <v>140</v>
      </c>
      <c r="K309" t="s">
        <v>2298</v>
      </c>
      <c r="L309" s="17">
        <v>9971767202</v>
      </c>
      <c r="M309" s="19">
        <v>45658</v>
      </c>
      <c r="O309" t="s">
        <v>0</v>
      </c>
      <c r="Q309" t="s">
        <v>63</v>
      </c>
      <c r="R309" t="s">
        <v>63</v>
      </c>
      <c r="S309" t="s">
        <v>63</v>
      </c>
      <c r="T309" t="s">
        <v>499</v>
      </c>
      <c r="U309" t="s">
        <v>445</v>
      </c>
      <c r="V309" t="s">
        <v>1268</v>
      </c>
      <c r="W309" t="s">
        <v>57</v>
      </c>
      <c r="X309" t="s">
        <v>59</v>
      </c>
      <c r="Z309" t="s">
        <v>61</v>
      </c>
      <c r="AA309" t="s">
        <v>62</v>
      </c>
      <c r="AB309">
        <v>1</v>
      </c>
      <c r="AD309" t="s">
        <v>63</v>
      </c>
      <c r="AE309" t="s">
        <v>63</v>
      </c>
      <c r="AG309" t="s">
        <v>54</v>
      </c>
      <c r="AH309" t="s">
        <v>152</v>
      </c>
      <c r="AI309" t="s">
        <v>1189</v>
      </c>
      <c r="AJ309" t="s">
        <v>54</v>
      </c>
      <c r="AK309" t="s">
        <v>2299</v>
      </c>
      <c r="AL309" t="s">
        <v>2300</v>
      </c>
      <c r="AN309" s="19">
        <f>IF(ISBLANK(Mentors[[#This Row],[Onboarded Date]]),"",Mentors[[#This Row],[Onboarded Date]]-WEEKDAY(Mentors[[#This Row],[Onboarded Date]],2)+1)</f>
        <v>45656</v>
      </c>
    </row>
    <row r="310" spans="1:40" ht="19.2" customHeight="1" x14ac:dyDescent="0.3">
      <c r="A310" t="s">
        <v>2301</v>
      </c>
      <c r="B310" t="s">
        <v>2302</v>
      </c>
      <c r="D310" t="s">
        <v>2303</v>
      </c>
      <c r="E310" t="s">
        <v>2304</v>
      </c>
      <c r="F310">
        <v>2000</v>
      </c>
      <c r="G310">
        <f>IF(OR(Mentors[[#This Row],[Career Start Year]]="NA",ISBLANK(Mentors[[#This Row],[Career Start Year]])),"",2026 - Mentors[[#This Row],[Career Start Year]])</f>
        <v>26</v>
      </c>
      <c r="H31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10" t="s">
        <v>51</v>
      </c>
      <c r="J310" t="s">
        <v>88</v>
      </c>
      <c r="K310" t="s">
        <v>2305</v>
      </c>
      <c r="L310" s="17">
        <v>9866357022</v>
      </c>
      <c r="M310" s="19">
        <v>45658</v>
      </c>
      <c r="O310" t="s">
        <v>0</v>
      </c>
      <c r="Q310" t="s">
        <v>63</v>
      </c>
      <c r="R310" t="s">
        <v>54</v>
      </c>
      <c r="S310" t="s">
        <v>54</v>
      </c>
      <c r="T310" t="s">
        <v>265</v>
      </c>
      <c r="U310" t="s">
        <v>110</v>
      </c>
      <c r="V310" t="s">
        <v>78</v>
      </c>
      <c r="W310" t="s">
        <v>79</v>
      </c>
      <c r="X310" t="s">
        <v>59</v>
      </c>
      <c r="Z310" t="s">
        <v>61</v>
      </c>
      <c r="AA310" t="s">
        <v>62</v>
      </c>
      <c r="AB310">
        <v>1</v>
      </c>
      <c r="AD310" t="s">
        <v>63</v>
      </c>
      <c r="AE310" t="s">
        <v>54</v>
      </c>
      <c r="AG310" t="s">
        <v>54</v>
      </c>
      <c r="AH310" t="s">
        <v>65</v>
      </c>
      <c r="AI310" t="s">
        <v>132</v>
      </c>
      <c r="AJ310" t="s">
        <v>54</v>
      </c>
      <c r="AK310" t="s">
        <v>2306</v>
      </c>
      <c r="AL310" t="s">
        <v>2307</v>
      </c>
      <c r="AN310" s="19">
        <f>IF(ISBLANK(Mentors[[#This Row],[Onboarded Date]]),"",Mentors[[#This Row],[Onboarded Date]]-WEEKDAY(Mentors[[#This Row],[Onboarded Date]],2)+1)</f>
        <v>45656</v>
      </c>
    </row>
    <row r="311" spans="1:40" ht="19.2" customHeight="1" x14ac:dyDescent="0.3">
      <c r="A311" t="s">
        <v>2308</v>
      </c>
      <c r="B311" t="s">
        <v>2309</v>
      </c>
      <c r="C311" t="s">
        <v>2310</v>
      </c>
      <c r="D311" t="s">
        <v>2311</v>
      </c>
      <c r="E311" t="s">
        <v>2312</v>
      </c>
      <c r="F311">
        <v>2011</v>
      </c>
      <c r="G311">
        <f>IF(OR(Mentors[[#This Row],[Career Start Year]]="NA",ISBLANK(Mentors[[#This Row],[Career Start Year]])),"",2026 - Mentors[[#This Row],[Career Start Year]])</f>
        <v>15</v>
      </c>
      <c r="H31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311" t="s">
        <v>51</v>
      </c>
      <c r="J311" t="s">
        <v>297</v>
      </c>
      <c r="K311" t="s">
        <v>2313</v>
      </c>
      <c r="L311" s="17">
        <v>9953115182</v>
      </c>
      <c r="M311" s="19">
        <v>45658</v>
      </c>
      <c r="O311" t="s">
        <v>0</v>
      </c>
      <c r="Q311" t="s">
        <v>54</v>
      </c>
      <c r="R311" t="s">
        <v>63</v>
      </c>
      <c r="S311" t="s">
        <v>63</v>
      </c>
      <c r="T311" t="s">
        <v>499</v>
      </c>
      <c r="U311" t="s">
        <v>65</v>
      </c>
      <c r="V311" t="s">
        <v>481</v>
      </c>
      <c r="W311" t="s">
        <v>78</v>
      </c>
      <c r="X311" t="s">
        <v>59</v>
      </c>
      <c r="Z311" t="s">
        <v>61</v>
      </c>
      <c r="AA311" t="s">
        <v>62</v>
      </c>
      <c r="AB311">
        <v>1</v>
      </c>
      <c r="AD311" t="s">
        <v>63</v>
      </c>
      <c r="AE311" t="s">
        <v>63</v>
      </c>
      <c r="AG311" t="s">
        <v>54</v>
      </c>
      <c r="AH311" t="s">
        <v>152</v>
      </c>
      <c r="AI311" t="s">
        <v>248</v>
      </c>
      <c r="AJ311" t="s">
        <v>54</v>
      </c>
      <c r="AK311" t="s">
        <v>2314</v>
      </c>
      <c r="AL311" t="s">
        <v>2315</v>
      </c>
      <c r="AN311" s="19">
        <f>IF(ISBLANK(Mentors[[#This Row],[Onboarded Date]]),"",Mentors[[#This Row],[Onboarded Date]]-WEEKDAY(Mentors[[#This Row],[Onboarded Date]],2)+1)</f>
        <v>45656</v>
      </c>
    </row>
    <row r="312" spans="1:40" ht="19.2" customHeight="1" x14ac:dyDescent="0.3">
      <c r="A312" t="s">
        <v>2316</v>
      </c>
      <c r="B312" t="s">
        <v>2317</v>
      </c>
      <c r="C312" t="s">
        <v>2318</v>
      </c>
      <c r="D312" t="s">
        <v>2319</v>
      </c>
      <c r="E312" t="s">
        <v>2320</v>
      </c>
      <c r="F312">
        <v>2004</v>
      </c>
      <c r="G312">
        <f>IF(OR(Mentors[[#This Row],[Career Start Year]]="NA",ISBLANK(Mentors[[#This Row],[Career Start Year]])),"",2026 - Mentors[[#This Row],[Career Start Year]])</f>
        <v>22</v>
      </c>
      <c r="H31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12" t="s">
        <v>51</v>
      </c>
      <c r="J312" t="s">
        <v>496</v>
      </c>
      <c r="K312" t="s">
        <v>2321</v>
      </c>
      <c r="L312" s="17">
        <v>9909946777</v>
      </c>
      <c r="M312" s="19">
        <v>45658</v>
      </c>
      <c r="O312" s="5" t="s">
        <v>0</v>
      </c>
      <c r="Q312" t="s">
        <v>54</v>
      </c>
      <c r="R312" t="s">
        <v>63</v>
      </c>
      <c r="S312" t="s">
        <v>63</v>
      </c>
      <c r="T312" t="s">
        <v>110</v>
      </c>
      <c r="U312" t="s">
        <v>265</v>
      </c>
      <c r="V312" t="s">
        <v>78</v>
      </c>
      <c r="W312" t="s">
        <v>65</v>
      </c>
      <c r="Z312" t="s">
        <v>61</v>
      </c>
      <c r="AA312" t="s">
        <v>62</v>
      </c>
      <c r="AB312">
        <v>1</v>
      </c>
      <c r="AD312" t="s">
        <v>63</v>
      </c>
      <c r="AE312" t="s">
        <v>63</v>
      </c>
      <c r="AG312" t="s">
        <v>54</v>
      </c>
      <c r="AH312" t="s">
        <v>152</v>
      </c>
      <c r="AI312" t="s">
        <v>122</v>
      </c>
      <c r="AJ312" t="s">
        <v>54</v>
      </c>
      <c r="AK312" t="s">
        <v>2322</v>
      </c>
      <c r="AL312" t="s">
        <v>2323</v>
      </c>
      <c r="AN312" s="19">
        <f>IF(ISBLANK(Mentors[[#This Row],[Onboarded Date]]),"",Mentors[[#This Row],[Onboarded Date]]-WEEKDAY(Mentors[[#This Row],[Onboarded Date]],2)+1)</f>
        <v>45656</v>
      </c>
    </row>
    <row r="313" spans="1:40" ht="19.2" customHeight="1" x14ac:dyDescent="0.3">
      <c r="A313" t="s">
        <v>2324</v>
      </c>
      <c r="B313" t="s">
        <v>152</v>
      </c>
      <c r="C313" t="s">
        <v>2325</v>
      </c>
      <c r="D313" t="s">
        <v>2326</v>
      </c>
      <c r="E313" t="s">
        <v>2327</v>
      </c>
      <c r="F313">
        <v>2002</v>
      </c>
      <c r="G313">
        <f>IF(OR(Mentors[[#This Row],[Career Start Year]]="NA",ISBLANK(Mentors[[#This Row],[Career Start Year]])),"",2026 - Mentors[[#This Row],[Career Start Year]])</f>
        <v>24</v>
      </c>
      <c r="H31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13" t="s">
        <v>51</v>
      </c>
      <c r="J313" t="s">
        <v>88</v>
      </c>
      <c r="K313" t="s">
        <v>2328</v>
      </c>
      <c r="L313" s="17">
        <v>9908177760</v>
      </c>
      <c r="M313" s="19">
        <v>45658</v>
      </c>
      <c r="O313" s="5" t="s">
        <v>0</v>
      </c>
      <c r="Q313" t="s">
        <v>54</v>
      </c>
      <c r="R313" t="s">
        <v>54</v>
      </c>
      <c r="S313" t="s">
        <v>54</v>
      </c>
      <c r="T313" t="s">
        <v>187</v>
      </c>
      <c r="U313" t="s">
        <v>167</v>
      </c>
      <c r="V313" t="s">
        <v>78</v>
      </c>
      <c r="W313" t="s">
        <v>65</v>
      </c>
      <c r="Z313" t="s">
        <v>61</v>
      </c>
      <c r="AA313" t="s">
        <v>62</v>
      </c>
      <c r="AB313">
        <v>1</v>
      </c>
      <c r="AD313" t="s">
        <v>63</v>
      </c>
      <c r="AE313" t="s">
        <v>63</v>
      </c>
      <c r="AG313" t="s">
        <v>54</v>
      </c>
      <c r="AH313" t="s">
        <v>152</v>
      </c>
      <c r="AI313" t="s">
        <v>132</v>
      </c>
      <c r="AJ313" t="s">
        <v>54</v>
      </c>
      <c r="AK313" t="s">
        <v>2329</v>
      </c>
      <c r="AL313" t="s">
        <v>2330</v>
      </c>
      <c r="AN313" s="19">
        <f>IF(ISBLANK(Mentors[[#This Row],[Onboarded Date]]),"",Mentors[[#This Row],[Onboarded Date]]-WEEKDAY(Mentors[[#This Row],[Onboarded Date]],2)+1)</f>
        <v>45656</v>
      </c>
    </row>
    <row r="314" spans="1:40" ht="19.2" customHeight="1" x14ac:dyDescent="0.3">
      <c r="A314" t="s">
        <v>2331</v>
      </c>
      <c r="B314" t="s">
        <v>2332</v>
      </c>
      <c r="C314" t="s">
        <v>2333</v>
      </c>
      <c r="D314" t="s">
        <v>2334</v>
      </c>
      <c r="E314" s="7" t="s">
        <v>2335</v>
      </c>
      <c r="F314">
        <v>2010</v>
      </c>
      <c r="G314">
        <f>IF(OR(Mentors[[#This Row],[Career Start Year]]="NA",ISBLANK(Mentors[[#This Row],[Career Start Year]])),"",2026 - Mentors[[#This Row],[Career Start Year]])</f>
        <v>16</v>
      </c>
      <c r="H31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14" t="s">
        <v>51</v>
      </c>
      <c r="J314" t="s">
        <v>140</v>
      </c>
      <c r="K314" t="s">
        <v>2336</v>
      </c>
      <c r="L314" s="17">
        <v>9886165700</v>
      </c>
      <c r="M314" s="19">
        <v>45658</v>
      </c>
      <c r="O314" s="5" t="s">
        <v>0</v>
      </c>
      <c r="Q314" t="s">
        <v>54</v>
      </c>
      <c r="R314" t="s">
        <v>54</v>
      </c>
      <c r="S314" t="s">
        <v>63</v>
      </c>
      <c r="T314" s="4" t="s">
        <v>756</v>
      </c>
      <c r="U314" t="s">
        <v>65</v>
      </c>
      <c r="V314" t="s">
        <v>57</v>
      </c>
      <c r="W314" t="s">
        <v>198</v>
      </c>
      <c r="X314" t="s">
        <v>59</v>
      </c>
      <c r="Z314" t="s">
        <v>61</v>
      </c>
      <c r="AA314" t="s">
        <v>62</v>
      </c>
      <c r="AB314">
        <v>1</v>
      </c>
      <c r="AD314" t="s">
        <v>63</v>
      </c>
      <c r="AE314" t="s">
        <v>54</v>
      </c>
      <c r="AG314" t="s">
        <v>54</v>
      </c>
      <c r="AH314" t="s">
        <v>131</v>
      </c>
      <c r="AI314" t="s">
        <v>412</v>
      </c>
      <c r="AJ314" t="s">
        <v>54</v>
      </c>
      <c r="AK314" t="s">
        <v>2337</v>
      </c>
      <c r="AL314" t="s">
        <v>2338</v>
      </c>
      <c r="AN314" s="19">
        <f>IF(ISBLANK(Mentors[[#This Row],[Onboarded Date]]),"",Mentors[[#This Row],[Onboarded Date]]-WEEKDAY(Mentors[[#This Row],[Onboarded Date]],2)+1)</f>
        <v>45656</v>
      </c>
    </row>
    <row r="315" spans="1:40" ht="19.2" customHeight="1" x14ac:dyDescent="0.3">
      <c r="A315" t="s">
        <v>2339</v>
      </c>
      <c r="B315" t="s">
        <v>2340</v>
      </c>
      <c r="C315" t="s">
        <v>2341</v>
      </c>
      <c r="D315" t="s">
        <v>2342</v>
      </c>
      <c r="E315" s="7" t="s">
        <v>2343</v>
      </c>
      <c r="F315">
        <v>1994</v>
      </c>
      <c r="G315">
        <f>IF(OR(Mentors[[#This Row],[Career Start Year]]="NA",ISBLANK(Mentors[[#This Row],[Career Start Year]])),"",2026 - Mentors[[#This Row],[Career Start Year]])</f>
        <v>32</v>
      </c>
      <c r="H31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15" t="s">
        <v>51</v>
      </c>
      <c r="J315" t="s">
        <v>297</v>
      </c>
      <c r="K315" t="s">
        <v>2344</v>
      </c>
      <c r="L315" s="17" t="s">
        <v>2345</v>
      </c>
      <c r="M315" s="19">
        <v>45658</v>
      </c>
      <c r="O315" s="5" t="s">
        <v>0</v>
      </c>
      <c r="Q315" t="s">
        <v>54</v>
      </c>
      <c r="R315" t="s">
        <v>63</v>
      </c>
      <c r="S315" t="s">
        <v>63</v>
      </c>
      <c r="T315" t="s">
        <v>76</v>
      </c>
      <c r="U315" t="s">
        <v>77</v>
      </c>
      <c r="V315" t="s">
        <v>78</v>
      </c>
      <c r="W315" t="s">
        <v>57</v>
      </c>
      <c r="Z315" t="s">
        <v>61</v>
      </c>
      <c r="AA315" t="s">
        <v>62</v>
      </c>
      <c r="AB315">
        <v>1</v>
      </c>
      <c r="AD315" t="s">
        <v>54</v>
      </c>
      <c r="AE315" t="s">
        <v>54</v>
      </c>
      <c r="AG315" t="s">
        <v>54</v>
      </c>
      <c r="AH315" t="s">
        <v>131</v>
      </c>
      <c r="AI315" t="s">
        <v>76</v>
      </c>
      <c r="AJ315" t="s">
        <v>54</v>
      </c>
      <c r="AK315" t="s">
        <v>2346</v>
      </c>
      <c r="AL315" t="s">
        <v>2347</v>
      </c>
      <c r="AN315" s="19">
        <f>IF(ISBLANK(Mentors[[#This Row],[Onboarded Date]]),"",Mentors[[#This Row],[Onboarded Date]]-WEEKDAY(Mentors[[#This Row],[Onboarded Date]],2)+1)</f>
        <v>45656</v>
      </c>
    </row>
    <row r="316" spans="1:40" ht="19.2" customHeight="1" x14ac:dyDescent="0.3">
      <c r="A316" t="s">
        <v>2348</v>
      </c>
      <c r="B316" t="s">
        <v>2349</v>
      </c>
      <c r="C316" t="s">
        <v>2350</v>
      </c>
      <c r="D316" t="s">
        <v>2351</v>
      </c>
      <c r="E316" t="s">
        <v>2352</v>
      </c>
      <c r="F316">
        <v>2007</v>
      </c>
      <c r="G316">
        <f>IF(OR(Mentors[[#This Row],[Career Start Year]]="NA",ISBLANK(Mentors[[#This Row],[Career Start Year]])),"",2026 - Mentors[[#This Row],[Career Start Year]])</f>
        <v>19</v>
      </c>
      <c r="H31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16" t="s">
        <v>51</v>
      </c>
      <c r="J316" t="s">
        <v>88</v>
      </c>
      <c r="K316" t="s">
        <v>2353</v>
      </c>
      <c r="L316" s="17">
        <v>8318011695</v>
      </c>
      <c r="M316" s="19">
        <v>45658</v>
      </c>
      <c r="O316" s="5" t="s">
        <v>0</v>
      </c>
      <c r="Q316" t="s">
        <v>54</v>
      </c>
      <c r="R316" t="s">
        <v>54</v>
      </c>
      <c r="S316" t="s">
        <v>54</v>
      </c>
      <c r="T316" t="s">
        <v>166</v>
      </c>
      <c r="U316" t="s">
        <v>99</v>
      </c>
      <c r="V316" t="s">
        <v>78</v>
      </c>
      <c r="W316" t="s">
        <v>65</v>
      </c>
      <c r="X316" t="s">
        <v>60</v>
      </c>
      <c r="Z316" t="s">
        <v>61</v>
      </c>
      <c r="AA316" t="s">
        <v>62</v>
      </c>
      <c r="AB316">
        <v>1</v>
      </c>
      <c r="AD316" t="s">
        <v>54</v>
      </c>
      <c r="AE316" t="s">
        <v>54</v>
      </c>
      <c r="AG316" t="s">
        <v>54</v>
      </c>
      <c r="AH316" t="s">
        <v>131</v>
      </c>
      <c r="AI316" t="s">
        <v>77</v>
      </c>
      <c r="AJ316" t="s">
        <v>54</v>
      </c>
      <c r="AK316" t="s">
        <v>2354</v>
      </c>
      <c r="AL316" t="s">
        <v>2355</v>
      </c>
      <c r="AN316" s="19">
        <f>IF(ISBLANK(Mentors[[#This Row],[Onboarded Date]]),"",Mentors[[#This Row],[Onboarded Date]]-WEEKDAY(Mentors[[#This Row],[Onboarded Date]],2)+1)</f>
        <v>45656</v>
      </c>
    </row>
    <row r="317" spans="1:40" ht="19.2" customHeight="1" x14ac:dyDescent="0.3">
      <c r="A317" t="s">
        <v>2356</v>
      </c>
      <c r="B317" t="s">
        <v>2357</v>
      </c>
      <c r="C317" t="s">
        <v>2358</v>
      </c>
      <c r="D317" t="s">
        <v>2359</v>
      </c>
      <c r="E317" t="s">
        <v>2360</v>
      </c>
      <c r="F317">
        <v>2002</v>
      </c>
      <c r="G317">
        <f>IF(OR(Mentors[[#This Row],[Career Start Year]]="NA",ISBLANK(Mentors[[#This Row],[Career Start Year]])),"",2026 - Mentors[[#This Row],[Career Start Year]])</f>
        <v>24</v>
      </c>
      <c r="H31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17" t="s">
        <v>51</v>
      </c>
      <c r="J317" t="s">
        <v>389</v>
      </c>
      <c r="K317" t="s">
        <v>2361</v>
      </c>
      <c r="L317" s="17">
        <v>9818998787</v>
      </c>
      <c r="M317" s="19">
        <v>45658</v>
      </c>
      <c r="O317" s="5" t="s">
        <v>0</v>
      </c>
      <c r="Q317" t="s">
        <v>54</v>
      </c>
      <c r="R317" t="s">
        <v>54</v>
      </c>
      <c r="S317" t="s">
        <v>54</v>
      </c>
      <c r="T317" t="s">
        <v>110</v>
      </c>
      <c r="U317" t="s">
        <v>65</v>
      </c>
      <c r="V317" t="s">
        <v>78</v>
      </c>
      <c r="W317" t="s">
        <v>65</v>
      </c>
      <c r="X317" t="s">
        <v>59</v>
      </c>
      <c r="Z317" t="s">
        <v>101</v>
      </c>
      <c r="AA317" t="s">
        <v>62</v>
      </c>
      <c r="AB317">
        <v>1</v>
      </c>
      <c r="AD317" t="s">
        <v>54</v>
      </c>
      <c r="AE317" t="s">
        <v>54</v>
      </c>
      <c r="AG317" t="s">
        <v>54</v>
      </c>
      <c r="AH317" t="s">
        <v>65</v>
      </c>
      <c r="AI317" t="s">
        <v>248</v>
      </c>
      <c r="AJ317" t="s">
        <v>54</v>
      </c>
      <c r="AK317" t="s">
        <v>2362</v>
      </c>
      <c r="AL317" t="s">
        <v>2363</v>
      </c>
      <c r="AN317" s="19">
        <f>IF(ISBLANK(Mentors[[#This Row],[Onboarded Date]]),"",Mentors[[#This Row],[Onboarded Date]]-WEEKDAY(Mentors[[#This Row],[Onboarded Date]],2)+1)</f>
        <v>45656</v>
      </c>
    </row>
    <row r="318" spans="1:40" ht="19.2" customHeight="1" x14ac:dyDescent="0.3">
      <c r="A318" t="s">
        <v>2364</v>
      </c>
      <c r="B318" t="s">
        <v>396</v>
      </c>
      <c r="C318" t="s">
        <v>2365</v>
      </c>
      <c r="D318" t="s">
        <v>2366</v>
      </c>
      <c r="E318" t="s">
        <v>2367</v>
      </c>
      <c r="F318">
        <v>2007</v>
      </c>
      <c r="G318">
        <f>IF(OR(Mentors[[#This Row],[Career Start Year]]="NA",ISBLANK(Mentors[[#This Row],[Career Start Year]])),"",2026 - Mentors[[#This Row],[Career Start Year]])</f>
        <v>19</v>
      </c>
      <c r="H31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18" t="s">
        <v>51</v>
      </c>
      <c r="J318" t="s">
        <v>196</v>
      </c>
      <c r="K318" t="s">
        <v>2368</v>
      </c>
      <c r="L318" s="17">
        <v>7022000314</v>
      </c>
      <c r="M318" s="19">
        <v>45658</v>
      </c>
      <c r="N318" t="s">
        <v>6</v>
      </c>
      <c r="O318" s="5" t="s">
        <v>0</v>
      </c>
      <c r="Q318" t="s">
        <v>63</v>
      </c>
      <c r="R318" t="s">
        <v>63</v>
      </c>
      <c r="S318" t="s">
        <v>63</v>
      </c>
      <c r="T318" t="s">
        <v>77</v>
      </c>
      <c r="U318" t="s">
        <v>65</v>
      </c>
      <c r="V318" t="s">
        <v>613</v>
      </c>
      <c r="W318" t="s">
        <v>613</v>
      </c>
      <c r="X318" t="s">
        <v>80</v>
      </c>
      <c r="Y318" t="s">
        <v>59</v>
      </c>
      <c r="Z318" t="s">
        <v>61</v>
      </c>
      <c r="AA318" t="s">
        <v>62</v>
      </c>
      <c r="AB318">
        <v>1</v>
      </c>
      <c r="AD318" t="s">
        <v>54</v>
      </c>
      <c r="AE318" t="s">
        <v>63</v>
      </c>
      <c r="AG318" t="s">
        <v>54</v>
      </c>
      <c r="AH318" t="s">
        <v>152</v>
      </c>
      <c r="AI318" t="s">
        <v>412</v>
      </c>
      <c r="AJ318" t="s">
        <v>54</v>
      </c>
      <c r="AK318" t="s">
        <v>2369</v>
      </c>
      <c r="AL318" t="s">
        <v>2370</v>
      </c>
      <c r="AN318" s="19">
        <f>IF(ISBLANK(Mentors[[#This Row],[Onboarded Date]]),"",Mentors[[#This Row],[Onboarded Date]]-WEEKDAY(Mentors[[#This Row],[Onboarded Date]],2)+1)</f>
        <v>45656</v>
      </c>
    </row>
    <row r="319" spans="1:40" ht="19.2" customHeight="1" x14ac:dyDescent="0.3">
      <c r="A319" t="s">
        <v>2371</v>
      </c>
      <c r="B319" t="s">
        <v>2372</v>
      </c>
      <c r="C319" t="s">
        <v>2373</v>
      </c>
      <c r="D319" t="s">
        <v>2374</v>
      </c>
      <c r="E319" t="s">
        <v>2375</v>
      </c>
      <c r="F319">
        <v>2004</v>
      </c>
      <c r="G319">
        <f>IF(OR(Mentors[[#This Row],[Career Start Year]]="NA",ISBLANK(Mentors[[#This Row],[Career Start Year]])),"",2026 - Mentors[[#This Row],[Career Start Year]])</f>
        <v>22</v>
      </c>
      <c r="H31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19" t="s">
        <v>2376</v>
      </c>
      <c r="J319" t="s">
        <v>2377</v>
      </c>
      <c r="K319" t="s">
        <v>2378</v>
      </c>
      <c r="L319" s="17">
        <v>9665519070</v>
      </c>
      <c r="M319" s="19">
        <v>45658</v>
      </c>
      <c r="O319" s="5" t="s">
        <v>0</v>
      </c>
      <c r="Q319" t="s">
        <v>54</v>
      </c>
      <c r="R319" t="s">
        <v>63</v>
      </c>
      <c r="S319" t="s">
        <v>63</v>
      </c>
      <c r="T319" t="s">
        <v>99</v>
      </c>
      <c r="U319" s="4" t="s">
        <v>100</v>
      </c>
      <c r="V319" t="s">
        <v>57</v>
      </c>
      <c r="W319" t="s">
        <v>481</v>
      </c>
      <c r="X319" t="s">
        <v>59</v>
      </c>
      <c r="Y319" t="s">
        <v>60</v>
      </c>
      <c r="Z319" t="s">
        <v>81</v>
      </c>
      <c r="AA319" t="s">
        <v>62</v>
      </c>
      <c r="AB319">
        <v>1</v>
      </c>
      <c r="AD319" t="s">
        <v>54</v>
      </c>
      <c r="AE319" t="s">
        <v>54</v>
      </c>
      <c r="AG319" t="s">
        <v>54</v>
      </c>
      <c r="AH319" t="s">
        <v>65</v>
      </c>
      <c r="AI319" t="s">
        <v>122</v>
      </c>
      <c r="AJ319" t="s">
        <v>54</v>
      </c>
      <c r="AK319" t="s">
        <v>2379</v>
      </c>
      <c r="AL319" t="s">
        <v>2380</v>
      </c>
      <c r="AN319" s="19">
        <f>IF(ISBLANK(Mentors[[#This Row],[Onboarded Date]]),"",Mentors[[#This Row],[Onboarded Date]]-WEEKDAY(Mentors[[#This Row],[Onboarded Date]],2)+1)</f>
        <v>45656</v>
      </c>
    </row>
    <row r="320" spans="1:40" ht="19.2" customHeight="1" x14ac:dyDescent="0.3">
      <c r="A320" t="s">
        <v>2381</v>
      </c>
      <c r="B320" t="s">
        <v>2382</v>
      </c>
      <c r="C320" t="s">
        <v>2383</v>
      </c>
      <c r="D320" t="s">
        <v>2384</v>
      </c>
      <c r="E320" t="s">
        <v>2385</v>
      </c>
      <c r="F320">
        <v>2009</v>
      </c>
      <c r="G320">
        <f>IF(OR(Mentors[[#This Row],[Career Start Year]]="NA",ISBLANK(Mentors[[#This Row],[Career Start Year]])),"",2026 - Mentors[[#This Row],[Career Start Year]])</f>
        <v>17</v>
      </c>
      <c r="H32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20" t="s">
        <v>51</v>
      </c>
      <c r="J320" t="s">
        <v>507</v>
      </c>
      <c r="K320" t="s">
        <v>2386</v>
      </c>
      <c r="L320" s="17">
        <v>9970016211</v>
      </c>
      <c r="M320" s="19">
        <v>45658</v>
      </c>
      <c r="O320" s="5" t="s">
        <v>0</v>
      </c>
      <c r="Q320" t="s">
        <v>63</v>
      </c>
      <c r="R320" t="s">
        <v>63</v>
      </c>
      <c r="S320" t="s">
        <v>63</v>
      </c>
      <c r="T320" t="s">
        <v>77</v>
      </c>
      <c r="U320" t="s">
        <v>65</v>
      </c>
      <c r="V320" t="s">
        <v>198</v>
      </c>
      <c r="W320" t="s">
        <v>58</v>
      </c>
      <c r="X320" t="s">
        <v>59</v>
      </c>
      <c r="Z320" t="s">
        <v>61</v>
      </c>
      <c r="AA320" t="s">
        <v>62</v>
      </c>
      <c r="AB320">
        <v>1</v>
      </c>
      <c r="AD320" t="s">
        <v>63</v>
      </c>
      <c r="AE320" t="s">
        <v>54</v>
      </c>
      <c r="AG320" t="s">
        <v>54</v>
      </c>
      <c r="AH320" t="s">
        <v>65</v>
      </c>
      <c r="AI320" t="s">
        <v>248</v>
      </c>
      <c r="AJ320" t="s">
        <v>54</v>
      </c>
      <c r="AK320" t="s">
        <v>2387</v>
      </c>
      <c r="AL320" t="s">
        <v>2388</v>
      </c>
      <c r="AN320" s="19">
        <f>IF(ISBLANK(Mentors[[#This Row],[Onboarded Date]]),"",Mentors[[#This Row],[Onboarded Date]]-WEEKDAY(Mentors[[#This Row],[Onboarded Date]],2)+1)</f>
        <v>45656</v>
      </c>
    </row>
    <row r="321" spans="1:40" ht="19.2" customHeight="1" x14ac:dyDescent="0.3">
      <c r="A321" t="s">
        <v>2389</v>
      </c>
      <c r="B321" t="s">
        <v>396</v>
      </c>
      <c r="C321" t="s">
        <v>2390</v>
      </c>
      <c r="D321" t="s">
        <v>2391</v>
      </c>
      <c r="E321" t="s">
        <v>2392</v>
      </c>
      <c r="F321">
        <v>2015</v>
      </c>
      <c r="G321">
        <f>IF(OR(Mentors[[#This Row],[Career Start Year]]="NA",ISBLANK(Mentors[[#This Row],[Career Start Year]])),"",2026 - Mentors[[#This Row],[Career Start Year]])</f>
        <v>11</v>
      </c>
      <c r="H32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321" t="s">
        <v>51</v>
      </c>
      <c r="J321" t="s">
        <v>835</v>
      </c>
      <c r="K321" t="s">
        <v>2393</v>
      </c>
      <c r="L321" s="17">
        <v>9582824331</v>
      </c>
      <c r="M321" s="19">
        <v>45658</v>
      </c>
      <c r="O321" s="5" t="s">
        <v>0</v>
      </c>
      <c r="Q321" t="s">
        <v>54</v>
      </c>
      <c r="R321" t="s">
        <v>63</v>
      </c>
      <c r="S321" t="s">
        <v>63</v>
      </c>
      <c r="T321" s="4" t="s">
        <v>756</v>
      </c>
      <c r="U321" t="s">
        <v>100</v>
      </c>
      <c r="V321" t="s">
        <v>198</v>
      </c>
      <c r="W321" t="s">
        <v>57</v>
      </c>
      <c r="X321" t="s">
        <v>59</v>
      </c>
      <c r="Z321" t="s">
        <v>61</v>
      </c>
      <c r="AA321" t="s">
        <v>62</v>
      </c>
      <c r="AB321">
        <v>1</v>
      </c>
      <c r="AD321" t="s">
        <v>54</v>
      </c>
      <c r="AE321" t="s">
        <v>63</v>
      </c>
      <c r="AG321" t="s">
        <v>54</v>
      </c>
      <c r="AH321" t="s">
        <v>152</v>
      </c>
      <c r="AI321" t="s">
        <v>412</v>
      </c>
      <c r="AJ321" t="s">
        <v>54</v>
      </c>
      <c r="AK321" t="s">
        <v>2394</v>
      </c>
      <c r="AL321" t="s">
        <v>2395</v>
      </c>
      <c r="AN321" s="19">
        <f>IF(ISBLANK(Mentors[[#This Row],[Onboarded Date]]),"",Mentors[[#This Row],[Onboarded Date]]-WEEKDAY(Mentors[[#This Row],[Onboarded Date]],2)+1)</f>
        <v>45656</v>
      </c>
    </row>
    <row r="322" spans="1:40" ht="19.2" customHeight="1" x14ac:dyDescent="0.3">
      <c r="A322" t="s">
        <v>2396</v>
      </c>
      <c r="B322" t="s">
        <v>152</v>
      </c>
      <c r="C322" t="s">
        <v>2397</v>
      </c>
      <c r="D322" s="4" t="s">
        <v>2398</v>
      </c>
      <c r="E322" s="7" t="s">
        <v>2399</v>
      </c>
      <c r="F322">
        <v>2012</v>
      </c>
      <c r="G322">
        <f>IF(OR(Mentors[[#This Row],[Career Start Year]]="NA",ISBLANK(Mentors[[#This Row],[Career Start Year]])),"",2026 - Mentors[[#This Row],[Career Start Year]])</f>
        <v>14</v>
      </c>
      <c r="H32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322" t="s">
        <v>51</v>
      </c>
      <c r="J322" t="s">
        <v>118</v>
      </c>
      <c r="K322" t="s">
        <v>2400</v>
      </c>
      <c r="L322" s="17">
        <v>9987999236</v>
      </c>
      <c r="M322" s="19">
        <v>45658</v>
      </c>
      <c r="N322" t="s">
        <v>4</v>
      </c>
      <c r="O322" t="s">
        <v>0</v>
      </c>
      <c r="Q322" t="s">
        <v>63</v>
      </c>
      <c r="R322" t="s">
        <v>63</v>
      </c>
      <c r="S322" t="s">
        <v>63</v>
      </c>
      <c r="T322" t="s">
        <v>99</v>
      </c>
      <c r="U322" t="s">
        <v>65</v>
      </c>
      <c r="V322" t="s">
        <v>188</v>
      </c>
      <c r="W322" t="s">
        <v>79</v>
      </c>
      <c r="Z322" t="s">
        <v>61</v>
      </c>
      <c r="AA322" t="s">
        <v>62</v>
      </c>
      <c r="AB322">
        <v>1</v>
      </c>
      <c r="AD322" t="s">
        <v>54</v>
      </c>
      <c r="AE322" t="s">
        <v>63</v>
      </c>
      <c r="AG322" t="s">
        <v>54</v>
      </c>
      <c r="AH322" t="s">
        <v>152</v>
      </c>
      <c r="AI322" t="s">
        <v>76</v>
      </c>
      <c r="AJ322" t="s">
        <v>54</v>
      </c>
      <c r="AK322" t="s">
        <v>2401</v>
      </c>
      <c r="AL322" t="s">
        <v>2402</v>
      </c>
      <c r="AN322" s="19">
        <f>IF(ISBLANK(Mentors[[#This Row],[Onboarded Date]]),"",Mentors[[#This Row],[Onboarded Date]]-WEEKDAY(Mentors[[#This Row],[Onboarded Date]],2)+1)</f>
        <v>45656</v>
      </c>
    </row>
    <row r="323" spans="1:40" ht="19.2" customHeight="1" x14ac:dyDescent="0.3">
      <c r="A323" t="s">
        <v>2403</v>
      </c>
      <c r="B323" t="s">
        <v>358</v>
      </c>
      <c r="C323" t="s">
        <v>2404</v>
      </c>
      <c r="D323" t="s">
        <v>2405</v>
      </c>
      <c r="E323" t="s">
        <v>2406</v>
      </c>
      <c r="F323">
        <v>2007</v>
      </c>
      <c r="G323">
        <f>IF(OR(Mentors[[#This Row],[Career Start Year]]="NA",ISBLANK(Mentors[[#This Row],[Career Start Year]])),"",2026 - Mentors[[#This Row],[Career Start Year]])</f>
        <v>19</v>
      </c>
      <c r="H32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23" t="s">
        <v>51</v>
      </c>
      <c r="J323" t="s">
        <v>74</v>
      </c>
      <c r="K323" t="s">
        <v>2407</v>
      </c>
      <c r="L323" s="17">
        <v>9958777300</v>
      </c>
      <c r="M323" s="19">
        <v>45658</v>
      </c>
      <c r="N323" t="s">
        <v>6</v>
      </c>
      <c r="O323" t="s">
        <v>0</v>
      </c>
      <c r="Q323" t="s">
        <v>54</v>
      </c>
      <c r="R323" t="s">
        <v>63</v>
      </c>
      <c r="S323" t="s">
        <v>54</v>
      </c>
      <c r="T323" t="s">
        <v>1405</v>
      </c>
      <c r="U323" t="s">
        <v>2408</v>
      </c>
      <c r="V323" t="s">
        <v>120</v>
      </c>
      <c r="W323" t="s">
        <v>120</v>
      </c>
      <c r="Z323" t="s">
        <v>61</v>
      </c>
      <c r="AA323" t="s">
        <v>62</v>
      </c>
      <c r="AB323">
        <v>1</v>
      </c>
      <c r="AD323" t="s">
        <v>63</v>
      </c>
      <c r="AE323" t="s">
        <v>54</v>
      </c>
      <c r="AF323" t="s">
        <v>64</v>
      </c>
      <c r="AG323" t="s">
        <v>54</v>
      </c>
      <c r="AH323" t="s">
        <v>131</v>
      </c>
      <c r="AI323" t="s">
        <v>77</v>
      </c>
      <c r="AJ323" t="s">
        <v>54</v>
      </c>
      <c r="AK323" t="s">
        <v>2409</v>
      </c>
      <c r="AL323" t="s">
        <v>2410</v>
      </c>
      <c r="AN323" s="19">
        <f>IF(ISBLANK(Mentors[[#This Row],[Onboarded Date]]),"",Mentors[[#This Row],[Onboarded Date]]-WEEKDAY(Mentors[[#This Row],[Onboarded Date]],2)+1)</f>
        <v>45656</v>
      </c>
    </row>
    <row r="324" spans="1:40" ht="19.2" customHeight="1" x14ac:dyDescent="0.3">
      <c r="A324" t="s">
        <v>2411</v>
      </c>
      <c r="B324" t="s">
        <v>152</v>
      </c>
      <c r="C324" t="s">
        <v>2412</v>
      </c>
      <c r="D324" t="s">
        <v>2413</v>
      </c>
      <c r="E324" t="s">
        <v>2414</v>
      </c>
      <c r="F324">
        <v>2004</v>
      </c>
      <c r="G324">
        <f>IF(OR(Mentors[[#This Row],[Career Start Year]]="NA",ISBLANK(Mentors[[#This Row],[Career Start Year]])),"",2026 - Mentors[[#This Row],[Career Start Year]])</f>
        <v>22</v>
      </c>
      <c r="H32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24" t="s">
        <v>51</v>
      </c>
      <c r="J324" t="s">
        <v>2415</v>
      </c>
      <c r="K324" t="s">
        <v>2416</v>
      </c>
      <c r="L324" s="17">
        <v>8290072676</v>
      </c>
      <c r="M324" s="19">
        <v>45658</v>
      </c>
      <c r="N324" t="s">
        <v>6</v>
      </c>
      <c r="O324" t="s">
        <v>0</v>
      </c>
      <c r="Q324" t="s">
        <v>54</v>
      </c>
      <c r="R324" t="s">
        <v>63</v>
      </c>
      <c r="S324" t="s">
        <v>63</v>
      </c>
      <c r="T324" t="s">
        <v>756</v>
      </c>
      <c r="U324" t="s">
        <v>77</v>
      </c>
      <c r="V324" t="s">
        <v>306</v>
      </c>
      <c r="W324" t="s">
        <v>65</v>
      </c>
      <c r="Z324" t="s">
        <v>61</v>
      </c>
      <c r="AA324" t="s">
        <v>62</v>
      </c>
      <c r="AB324">
        <v>1</v>
      </c>
      <c r="AD324" t="s">
        <v>63</v>
      </c>
      <c r="AE324" t="s">
        <v>63</v>
      </c>
      <c r="AG324" t="s">
        <v>54</v>
      </c>
      <c r="AH324" t="s">
        <v>152</v>
      </c>
      <c r="AI324" t="s">
        <v>122</v>
      </c>
      <c r="AJ324" t="s">
        <v>54</v>
      </c>
      <c r="AK324" t="s">
        <v>2417</v>
      </c>
      <c r="AL324" t="s">
        <v>2418</v>
      </c>
      <c r="AN324" s="19">
        <f>IF(ISBLANK(Mentors[[#This Row],[Onboarded Date]]),"",Mentors[[#This Row],[Onboarded Date]]-WEEKDAY(Mentors[[#This Row],[Onboarded Date]],2)+1)</f>
        <v>45656</v>
      </c>
    </row>
    <row r="325" spans="1:40" ht="19.2" customHeight="1" x14ac:dyDescent="0.3">
      <c r="A325" t="s">
        <v>2419</v>
      </c>
      <c r="B325" t="s">
        <v>1163</v>
      </c>
      <c r="C325" t="s">
        <v>2420</v>
      </c>
      <c r="D325" t="s">
        <v>2421</v>
      </c>
      <c r="E325" t="s">
        <v>2422</v>
      </c>
      <c r="F325">
        <v>2002</v>
      </c>
      <c r="G325">
        <f>IF(OR(Mentors[[#This Row],[Career Start Year]]="NA",ISBLANK(Mentors[[#This Row],[Career Start Year]])),"",2026 - Mentors[[#This Row],[Career Start Year]])</f>
        <v>24</v>
      </c>
      <c r="H32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25" t="s">
        <v>51</v>
      </c>
      <c r="J325" t="s">
        <v>118</v>
      </c>
      <c r="K325" t="s">
        <v>2423</v>
      </c>
      <c r="L325" s="17">
        <v>9930547923</v>
      </c>
      <c r="M325" s="19">
        <v>45658</v>
      </c>
      <c r="N325" t="s">
        <v>4</v>
      </c>
      <c r="O325" t="s">
        <v>0</v>
      </c>
      <c r="Q325" t="s">
        <v>54</v>
      </c>
      <c r="R325" t="s">
        <v>54</v>
      </c>
      <c r="S325" t="s">
        <v>54</v>
      </c>
      <c r="T325" t="s">
        <v>76</v>
      </c>
      <c r="U325" t="s">
        <v>65</v>
      </c>
      <c r="V325" t="s">
        <v>613</v>
      </c>
      <c r="W325" t="s">
        <v>79</v>
      </c>
      <c r="Z325" t="s">
        <v>61</v>
      </c>
      <c r="AA325" t="s">
        <v>62</v>
      </c>
      <c r="AB325">
        <v>1</v>
      </c>
      <c r="AD325" t="s">
        <v>63</v>
      </c>
      <c r="AG325" t="s">
        <v>54</v>
      </c>
      <c r="AH325" t="s">
        <v>131</v>
      </c>
      <c r="AI325" t="s">
        <v>412</v>
      </c>
      <c r="AJ325" t="s">
        <v>54</v>
      </c>
      <c r="AK325" t="s">
        <v>2424</v>
      </c>
      <c r="AL325" t="s">
        <v>2425</v>
      </c>
      <c r="AN325" s="19">
        <f>IF(ISBLANK(Mentors[[#This Row],[Onboarded Date]]),"",Mentors[[#This Row],[Onboarded Date]]-WEEKDAY(Mentors[[#This Row],[Onboarded Date]],2)+1)</f>
        <v>45656</v>
      </c>
    </row>
    <row r="326" spans="1:40" ht="19.2" customHeight="1" x14ac:dyDescent="0.3">
      <c r="A326" t="s">
        <v>2426</v>
      </c>
      <c r="B326" t="s">
        <v>1247</v>
      </c>
      <c r="C326" t="s">
        <v>2427</v>
      </c>
      <c r="D326" t="s">
        <v>2428</v>
      </c>
      <c r="E326" t="s">
        <v>2429</v>
      </c>
      <c r="F326">
        <v>2006</v>
      </c>
      <c r="G326">
        <f>IF(OR(Mentors[[#This Row],[Career Start Year]]="NA",ISBLANK(Mentors[[#This Row],[Career Start Year]])),"",2026 - Mentors[[#This Row],[Career Start Year]])</f>
        <v>20</v>
      </c>
      <c r="H32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26" t="s">
        <v>51</v>
      </c>
      <c r="J326" t="s">
        <v>280</v>
      </c>
      <c r="K326" t="s">
        <v>2430</v>
      </c>
      <c r="L326" s="17">
        <v>9727758298</v>
      </c>
      <c r="M326" s="19">
        <v>45658</v>
      </c>
      <c r="N326" t="s">
        <v>4</v>
      </c>
      <c r="O326" t="s">
        <v>0</v>
      </c>
      <c r="Q326" t="s">
        <v>54</v>
      </c>
      <c r="R326" t="s">
        <v>54</v>
      </c>
      <c r="S326" t="s">
        <v>54</v>
      </c>
      <c r="T326" t="s">
        <v>56</v>
      </c>
      <c r="U326" t="s">
        <v>65</v>
      </c>
      <c r="V326" t="s">
        <v>306</v>
      </c>
      <c r="W326" t="s">
        <v>79</v>
      </c>
      <c r="Z326" t="s">
        <v>61</v>
      </c>
      <c r="AA326" t="s">
        <v>62</v>
      </c>
      <c r="AB326">
        <v>1</v>
      </c>
      <c r="AD326" t="s">
        <v>63</v>
      </c>
      <c r="AG326" t="s">
        <v>54</v>
      </c>
      <c r="AH326" t="s">
        <v>65</v>
      </c>
      <c r="AI326" t="s">
        <v>122</v>
      </c>
      <c r="AJ326" t="s">
        <v>54</v>
      </c>
      <c r="AK326" t="s">
        <v>2431</v>
      </c>
      <c r="AL326" t="s">
        <v>2432</v>
      </c>
      <c r="AN326" s="19">
        <f>IF(ISBLANK(Mentors[[#This Row],[Onboarded Date]]),"",Mentors[[#This Row],[Onboarded Date]]-WEEKDAY(Mentors[[#This Row],[Onboarded Date]],2)+1)</f>
        <v>45656</v>
      </c>
    </row>
    <row r="327" spans="1:40" ht="19.2" customHeight="1" x14ac:dyDescent="0.3">
      <c r="A327" t="s">
        <v>2433</v>
      </c>
      <c r="B327" t="s">
        <v>2434</v>
      </c>
      <c r="C327" t="s">
        <v>2435</v>
      </c>
      <c r="D327" t="s">
        <v>2436</v>
      </c>
      <c r="E327" t="s">
        <v>2437</v>
      </c>
      <c r="F327">
        <v>1996</v>
      </c>
      <c r="G327">
        <f>IF(OR(Mentors[[#This Row],[Career Start Year]]="NA",ISBLANK(Mentors[[#This Row],[Career Start Year]])),"",2026 - Mentors[[#This Row],[Career Start Year]])</f>
        <v>30</v>
      </c>
      <c r="H32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27" t="s">
        <v>51</v>
      </c>
      <c r="J327" t="s">
        <v>196</v>
      </c>
      <c r="K327" t="s">
        <v>2438</v>
      </c>
      <c r="L327" s="17" t="s">
        <v>2439</v>
      </c>
      <c r="M327" s="19">
        <v>45658</v>
      </c>
      <c r="O327" t="s">
        <v>0</v>
      </c>
      <c r="Q327" t="s">
        <v>54</v>
      </c>
      <c r="R327" t="s">
        <v>54</v>
      </c>
      <c r="S327" t="s">
        <v>54</v>
      </c>
      <c r="T327" t="s">
        <v>77</v>
      </c>
      <c r="U327" t="s">
        <v>65</v>
      </c>
      <c r="V327" t="s">
        <v>57</v>
      </c>
      <c r="W327" t="s">
        <v>198</v>
      </c>
      <c r="Z327" t="s">
        <v>61</v>
      </c>
      <c r="AA327" t="s">
        <v>62</v>
      </c>
      <c r="AB327">
        <v>1</v>
      </c>
      <c r="AD327" t="s">
        <v>63</v>
      </c>
      <c r="AG327" t="s">
        <v>54</v>
      </c>
      <c r="AH327" t="s">
        <v>131</v>
      </c>
      <c r="AI327" t="s">
        <v>122</v>
      </c>
      <c r="AJ327" t="s">
        <v>54</v>
      </c>
      <c r="AK327" t="s">
        <v>2440</v>
      </c>
      <c r="AL327" t="s">
        <v>2441</v>
      </c>
      <c r="AN327" s="19">
        <f>IF(ISBLANK(Mentors[[#This Row],[Onboarded Date]]),"",Mentors[[#This Row],[Onboarded Date]]-WEEKDAY(Mentors[[#This Row],[Onboarded Date]],2)+1)</f>
        <v>45656</v>
      </c>
    </row>
    <row r="328" spans="1:40" ht="19.2" customHeight="1" x14ac:dyDescent="0.3">
      <c r="A328" t="s">
        <v>2442</v>
      </c>
      <c r="B328" t="s">
        <v>260</v>
      </c>
      <c r="C328" t="s">
        <v>2443</v>
      </c>
      <c r="D328" t="s">
        <v>2444</v>
      </c>
      <c r="E328" s="7" t="s">
        <v>2445</v>
      </c>
      <c r="F328">
        <v>1994</v>
      </c>
      <c r="G328">
        <f>IF(OR(Mentors[[#This Row],[Career Start Year]]="NA",ISBLANK(Mentors[[#This Row],[Career Start Year]])),"",2026 - Mentors[[#This Row],[Career Start Year]])</f>
        <v>32</v>
      </c>
      <c r="H32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28" t="s">
        <v>51</v>
      </c>
      <c r="J328" t="s">
        <v>297</v>
      </c>
      <c r="K328" t="s">
        <v>2446</v>
      </c>
      <c r="L328" s="17">
        <v>9899246070</v>
      </c>
      <c r="M328" s="19">
        <v>45658</v>
      </c>
      <c r="N328" t="s">
        <v>4</v>
      </c>
      <c r="O328" t="s">
        <v>0</v>
      </c>
      <c r="Q328" t="s">
        <v>54</v>
      </c>
      <c r="R328" t="s">
        <v>63</v>
      </c>
      <c r="S328" t="s">
        <v>63</v>
      </c>
      <c r="T328" t="s">
        <v>56</v>
      </c>
      <c r="U328" t="s">
        <v>100</v>
      </c>
      <c r="V328" t="s">
        <v>765</v>
      </c>
      <c r="W328" t="s">
        <v>65</v>
      </c>
      <c r="Z328" t="s">
        <v>61</v>
      </c>
      <c r="AA328" t="s">
        <v>62</v>
      </c>
      <c r="AB328">
        <v>1</v>
      </c>
      <c r="AD328" t="s">
        <v>63</v>
      </c>
      <c r="AE328" t="s">
        <v>63</v>
      </c>
      <c r="AG328" t="s">
        <v>54</v>
      </c>
      <c r="AH328" t="s">
        <v>152</v>
      </c>
      <c r="AI328" t="s">
        <v>132</v>
      </c>
      <c r="AJ328" t="s">
        <v>54</v>
      </c>
      <c r="AK328" t="s">
        <v>2447</v>
      </c>
      <c r="AL328" t="s">
        <v>2448</v>
      </c>
      <c r="AN328" s="19">
        <f>IF(ISBLANK(Mentors[[#This Row],[Onboarded Date]]),"",Mentors[[#This Row],[Onboarded Date]]-WEEKDAY(Mentors[[#This Row],[Onboarded Date]],2)+1)</f>
        <v>45656</v>
      </c>
    </row>
    <row r="329" spans="1:40" ht="19.2" customHeight="1" x14ac:dyDescent="0.3">
      <c r="A329" t="s">
        <v>2449</v>
      </c>
      <c r="B329" t="s">
        <v>2450</v>
      </c>
      <c r="C329" t="s">
        <v>2451</v>
      </c>
      <c r="D329" t="s">
        <v>2452</v>
      </c>
      <c r="E329" t="s">
        <v>2453</v>
      </c>
      <c r="F329">
        <v>2012</v>
      </c>
      <c r="G329">
        <f>IF(OR(Mentors[[#This Row],[Career Start Year]]="NA",ISBLANK(Mentors[[#This Row],[Career Start Year]])),"",2026 - Mentors[[#This Row],[Career Start Year]])</f>
        <v>14</v>
      </c>
      <c r="H32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329" t="s">
        <v>51</v>
      </c>
      <c r="J329" t="s">
        <v>140</v>
      </c>
      <c r="K329" s="7" t="s">
        <v>2454</v>
      </c>
      <c r="L329" s="17">
        <v>9958988055</v>
      </c>
      <c r="M329" s="19">
        <v>45658</v>
      </c>
      <c r="N329" t="s">
        <v>4</v>
      </c>
      <c r="O329" t="s">
        <v>0</v>
      </c>
      <c r="Q329" t="s">
        <v>54</v>
      </c>
      <c r="R329" t="s">
        <v>54</v>
      </c>
      <c r="S329" t="s">
        <v>63</v>
      </c>
      <c r="T329" t="s">
        <v>56</v>
      </c>
      <c r="U329" t="s">
        <v>100</v>
      </c>
      <c r="V329" t="s">
        <v>382</v>
      </c>
      <c r="W329" t="s">
        <v>79</v>
      </c>
      <c r="X329" t="s">
        <v>60</v>
      </c>
      <c r="Z329" t="s">
        <v>61</v>
      </c>
      <c r="AA329" t="s">
        <v>62</v>
      </c>
      <c r="AB329">
        <v>1</v>
      </c>
      <c r="AD329" t="s">
        <v>63</v>
      </c>
      <c r="AE329" t="s">
        <v>54</v>
      </c>
      <c r="AG329" t="s">
        <v>54</v>
      </c>
      <c r="AH329" t="s">
        <v>65</v>
      </c>
      <c r="AI329" t="s">
        <v>132</v>
      </c>
      <c r="AJ329" t="s">
        <v>54</v>
      </c>
      <c r="AK329" t="s">
        <v>2455</v>
      </c>
      <c r="AL329" t="s">
        <v>2456</v>
      </c>
      <c r="AN329" s="19">
        <f>IF(ISBLANK(Mentors[[#This Row],[Onboarded Date]]),"",Mentors[[#This Row],[Onboarded Date]]-WEEKDAY(Mentors[[#This Row],[Onboarded Date]],2)+1)</f>
        <v>45656</v>
      </c>
    </row>
    <row r="330" spans="1:40" ht="19.2" customHeight="1" x14ac:dyDescent="0.3">
      <c r="A330" t="s">
        <v>2457</v>
      </c>
      <c r="B330" t="s">
        <v>2458</v>
      </c>
      <c r="C330" t="s">
        <v>2459</v>
      </c>
      <c r="D330" t="s">
        <v>2460</v>
      </c>
      <c r="E330" t="s">
        <v>2461</v>
      </c>
      <c r="F330">
        <v>2013</v>
      </c>
      <c r="G330">
        <f>IF(OR(Mentors[[#This Row],[Career Start Year]]="NA",ISBLANK(Mentors[[#This Row],[Career Start Year]])),"",2026 - Mentors[[#This Row],[Career Start Year]])</f>
        <v>13</v>
      </c>
      <c r="H33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330" t="s">
        <v>51</v>
      </c>
      <c r="J330" t="s">
        <v>118</v>
      </c>
      <c r="K330" t="s">
        <v>2462</v>
      </c>
      <c r="L330" s="17">
        <v>9589348585</v>
      </c>
      <c r="M330" s="19">
        <v>45658</v>
      </c>
      <c r="N330" t="s">
        <v>4</v>
      </c>
      <c r="O330" t="s">
        <v>0</v>
      </c>
      <c r="Q330" t="s">
        <v>54</v>
      </c>
      <c r="R330" t="s">
        <v>54</v>
      </c>
      <c r="S330" t="s">
        <v>54</v>
      </c>
      <c r="T330" t="s">
        <v>99</v>
      </c>
      <c r="U330" t="s">
        <v>65</v>
      </c>
      <c r="V330" t="s">
        <v>613</v>
      </c>
      <c r="W330" t="s">
        <v>79</v>
      </c>
      <c r="X330" t="s">
        <v>59</v>
      </c>
      <c r="Z330" t="s">
        <v>61</v>
      </c>
      <c r="AA330" t="s">
        <v>62</v>
      </c>
      <c r="AB330">
        <v>1</v>
      </c>
      <c r="AD330" t="s">
        <v>63</v>
      </c>
      <c r="AG330" t="s">
        <v>54</v>
      </c>
      <c r="AH330" t="s">
        <v>65</v>
      </c>
      <c r="AI330" t="s">
        <v>76</v>
      </c>
      <c r="AJ330" t="s">
        <v>54</v>
      </c>
      <c r="AK330" t="s">
        <v>2463</v>
      </c>
      <c r="AL330" t="s">
        <v>2464</v>
      </c>
      <c r="AN330" s="19">
        <f>IF(ISBLANK(Mentors[[#This Row],[Onboarded Date]]),"",Mentors[[#This Row],[Onboarded Date]]-WEEKDAY(Mentors[[#This Row],[Onboarded Date]],2)+1)</f>
        <v>45656</v>
      </c>
    </row>
    <row r="331" spans="1:40" ht="19.2" customHeight="1" x14ac:dyDescent="0.3">
      <c r="A331" t="s">
        <v>2465</v>
      </c>
      <c r="B331" t="s">
        <v>742</v>
      </c>
      <c r="C331" t="s">
        <v>2466</v>
      </c>
      <c r="D331" t="s">
        <v>2467</v>
      </c>
      <c r="E331" t="s">
        <v>2468</v>
      </c>
      <c r="F331">
        <v>2007</v>
      </c>
      <c r="G331">
        <f>IF(OR(Mentors[[#This Row],[Career Start Year]]="NA",ISBLANK(Mentors[[#This Row],[Career Start Year]])),"",2026 - Mentors[[#This Row],[Career Start Year]])</f>
        <v>19</v>
      </c>
      <c r="H33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31" t="s">
        <v>51</v>
      </c>
      <c r="J331" t="s">
        <v>389</v>
      </c>
      <c r="K331" t="s">
        <v>2469</v>
      </c>
      <c r="L331" s="17">
        <v>9810247147</v>
      </c>
      <c r="M331" s="19">
        <v>45658</v>
      </c>
      <c r="O331" t="s">
        <v>0</v>
      </c>
      <c r="Q331" t="s">
        <v>54</v>
      </c>
      <c r="R331" t="s">
        <v>54</v>
      </c>
      <c r="S331" t="s">
        <v>54</v>
      </c>
      <c r="T331" t="s">
        <v>77</v>
      </c>
      <c r="U331" t="s">
        <v>381</v>
      </c>
      <c r="V331" t="s">
        <v>58</v>
      </c>
      <c r="W331" t="s">
        <v>65</v>
      </c>
      <c r="X331" t="s">
        <v>59</v>
      </c>
      <c r="Y331" t="s">
        <v>80</v>
      </c>
      <c r="Z331" t="s">
        <v>61</v>
      </c>
      <c r="AA331" t="s">
        <v>62</v>
      </c>
      <c r="AB331">
        <v>1</v>
      </c>
      <c r="AD331" t="s">
        <v>63</v>
      </c>
      <c r="AE331" t="s">
        <v>63</v>
      </c>
      <c r="AG331" t="s">
        <v>54</v>
      </c>
      <c r="AH331" t="s">
        <v>152</v>
      </c>
      <c r="AI331" t="s">
        <v>66</v>
      </c>
      <c r="AJ331" t="s">
        <v>54</v>
      </c>
      <c r="AK331" t="s">
        <v>2470</v>
      </c>
      <c r="AL331" t="s">
        <v>2471</v>
      </c>
      <c r="AN331" s="19">
        <f>IF(ISBLANK(Mentors[[#This Row],[Onboarded Date]]),"",Mentors[[#This Row],[Onboarded Date]]-WEEKDAY(Mentors[[#This Row],[Onboarded Date]],2)+1)</f>
        <v>45656</v>
      </c>
    </row>
    <row r="332" spans="1:40" ht="19.2" customHeight="1" x14ac:dyDescent="0.3">
      <c r="A332" t="s">
        <v>2472</v>
      </c>
      <c r="B332" t="s">
        <v>2473</v>
      </c>
      <c r="C332" t="s">
        <v>2474</v>
      </c>
      <c r="D332" t="s">
        <v>2475</v>
      </c>
      <c r="E332" s="7" t="s">
        <v>2476</v>
      </c>
      <c r="F332">
        <v>2001</v>
      </c>
      <c r="G332">
        <f>IF(OR(Mentors[[#This Row],[Career Start Year]]="NA",ISBLANK(Mentors[[#This Row],[Career Start Year]])),"",2026 - Mentors[[#This Row],[Career Start Year]])</f>
        <v>25</v>
      </c>
      <c r="H33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32" t="s">
        <v>51</v>
      </c>
      <c r="J332" t="s">
        <v>196</v>
      </c>
      <c r="K332" t="s">
        <v>2477</v>
      </c>
      <c r="L332" s="17">
        <v>9945694161</v>
      </c>
      <c r="M332" s="19">
        <v>45658</v>
      </c>
      <c r="O332" t="s">
        <v>0</v>
      </c>
      <c r="Q332" t="s">
        <v>54</v>
      </c>
      <c r="R332" t="s">
        <v>63</v>
      </c>
      <c r="S332" t="s">
        <v>63</v>
      </c>
      <c r="T332" s="4" t="s">
        <v>756</v>
      </c>
      <c r="U332" t="s">
        <v>100</v>
      </c>
      <c r="V332" t="s">
        <v>57</v>
      </c>
      <c r="W332" t="s">
        <v>78</v>
      </c>
      <c r="X332" t="s">
        <v>59</v>
      </c>
      <c r="Z332" t="s">
        <v>61</v>
      </c>
      <c r="AA332" t="s">
        <v>62</v>
      </c>
      <c r="AB332">
        <v>1</v>
      </c>
      <c r="AD332" t="s">
        <v>63</v>
      </c>
      <c r="AG332" t="s">
        <v>54</v>
      </c>
      <c r="AH332" t="s">
        <v>65</v>
      </c>
      <c r="AI332" t="s">
        <v>412</v>
      </c>
      <c r="AJ332" t="s">
        <v>54</v>
      </c>
      <c r="AK332" t="s">
        <v>2478</v>
      </c>
      <c r="AL332" t="s">
        <v>2479</v>
      </c>
      <c r="AN332" s="19">
        <f>IF(ISBLANK(Mentors[[#This Row],[Onboarded Date]]),"",Mentors[[#This Row],[Onboarded Date]]-WEEKDAY(Mentors[[#This Row],[Onboarded Date]],2)+1)</f>
        <v>45656</v>
      </c>
    </row>
    <row r="333" spans="1:40" ht="19.2" customHeight="1" x14ac:dyDescent="0.3">
      <c r="A333" t="s">
        <v>2480</v>
      </c>
      <c r="B333" t="s">
        <v>2481</v>
      </c>
      <c r="C333" t="s">
        <v>2482</v>
      </c>
      <c r="D333" t="s">
        <v>2483</v>
      </c>
      <c r="E333" t="s">
        <v>2484</v>
      </c>
      <c r="F333">
        <v>2005</v>
      </c>
      <c r="G333">
        <f>IF(OR(Mentors[[#This Row],[Career Start Year]]="NA",ISBLANK(Mentors[[#This Row],[Career Start Year]])),"",2026 - Mentors[[#This Row],[Career Start Year]])</f>
        <v>21</v>
      </c>
      <c r="H33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33" t="s">
        <v>51</v>
      </c>
      <c r="J333" t="s">
        <v>196</v>
      </c>
      <c r="K333" t="s">
        <v>2485</v>
      </c>
      <c r="L333" s="17">
        <v>9999310059</v>
      </c>
      <c r="M333" s="19">
        <v>45658</v>
      </c>
      <c r="N333" t="s">
        <v>6</v>
      </c>
      <c r="O333" t="s">
        <v>0</v>
      </c>
      <c r="Q333" t="s">
        <v>54</v>
      </c>
      <c r="R333" t="s">
        <v>54</v>
      </c>
      <c r="S333" t="s">
        <v>54</v>
      </c>
      <c r="T333" t="s">
        <v>2486</v>
      </c>
      <c r="U333" t="s">
        <v>187</v>
      </c>
      <c r="V333" t="s">
        <v>1538</v>
      </c>
      <c r="W333" t="s">
        <v>57</v>
      </c>
      <c r="X333" t="s">
        <v>59</v>
      </c>
      <c r="Z333" t="s">
        <v>61</v>
      </c>
      <c r="AA333" t="s">
        <v>62</v>
      </c>
      <c r="AB333">
        <v>1</v>
      </c>
      <c r="AD333" t="s">
        <v>63</v>
      </c>
      <c r="AE333" t="s">
        <v>63</v>
      </c>
      <c r="AG333" t="s">
        <v>54</v>
      </c>
      <c r="AH333" t="s">
        <v>152</v>
      </c>
      <c r="AI333" t="s">
        <v>132</v>
      </c>
      <c r="AJ333" t="s">
        <v>54</v>
      </c>
      <c r="AK333" t="s">
        <v>2487</v>
      </c>
      <c r="AL333" t="s">
        <v>2488</v>
      </c>
      <c r="AN333" s="19">
        <f>IF(ISBLANK(Mentors[[#This Row],[Onboarded Date]]),"",Mentors[[#This Row],[Onboarded Date]]-WEEKDAY(Mentors[[#This Row],[Onboarded Date]],2)+1)</f>
        <v>45656</v>
      </c>
    </row>
    <row r="334" spans="1:40" ht="19.2" customHeight="1" x14ac:dyDescent="0.3">
      <c r="A334" t="s">
        <v>2489</v>
      </c>
      <c r="B334" t="s">
        <v>680</v>
      </c>
      <c r="C334" t="s">
        <v>2490</v>
      </c>
      <c r="D334" t="s">
        <v>2491</v>
      </c>
      <c r="E334" t="s">
        <v>2492</v>
      </c>
      <c r="F334">
        <v>2012</v>
      </c>
      <c r="G334">
        <f>IF(OR(Mentors[[#This Row],[Career Start Year]]="NA",ISBLANK(Mentors[[#This Row],[Career Start Year]])),"",2026 - Mentors[[#This Row],[Career Start Year]])</f>
        <v>14</v>
      </c>
      <c r="H33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334" t="s">
        <v>1185</v>
      </c>
      <c r="J334" t="s">
        <v>1186</v>
      </c>
      <c r="K334" t="s">
        <v>2493</v>
      </c>
      <c r="L334" s="17">
        <v>9920560300</v>
      </c>
      <c r="M334" s="19">
        <v>45658</v>
      </c>
      <c r="O334" t="s">
        <v>0</v>
      </c>
      <c r="Q334" t="s">
        <v>54</v>
      </c>
      <c r="R334" t="s">
        <v>63</v>
      </c>
      <c r="S334" t="s">
        <v>63</v>
      </c>
      <c r="T334" s="4" t="s">
        <v>756</v>
      </c>
      <c r="U334" t="s">
        <v>100</v>
      </c>
      <c r="V334" t="s">
        <v>57</v>
      </c>
      <c r="W334" t="s">
        <v>78</v>
      </c>
      <c r="X334" t="s">
        <v>80</v>
      </c>
      <c r="Z334" t="s">
        <v>61</v>
      </c>
      <c r="AA334" t="s">
        <v>62</v>
      </c>
      <c r="AB334">
        <v>1</v>
      </c>
      <c r="AD334" t="s">
        <v>63</v>
      </c>
      <c r="AE334" t="s">
        <v>63</v>
      </c>
      <c r="AG334" t="s">
        <v>54</v>
      </c>
      <c r="AH334" t="s">
        <v>152</v>
      </c>
      <c r="AI334" t="s">
        <v>412</v>
      </c>
      <c r="AJ334" t="s">
        <v>54</v>
      </c>
      <c r="AK334" t="s">
        <v>2494</v>
      </c>
      <c r="AL334" t="s">
        <v>2495</v>
      </c>
      <c r="AN334" s="19">
        <f>IF(ISBLANK(Mentors[[#This Row],[Onboarded Date]]),"",Mentors[[#This Row],[Onboarded Date]]-WEEKDAY(Mentors[[#This Row],[Onboarded Date]],2)+1)</f>
        <v>45656</v>
      </c>
    </row>
    <row r="335" spans="1:40" ht="19.2" customHeight="1" x14ac:dyDescent="0.3">
      <c r="A335" t="s">
        <v>2496</v>
      </c>
      <c r="B335" t="s">
        <v>152</v>
      </c>
      <c r="C335" t="s">
        <v>2497</v>
      </c>
      <c r="D335" t="s">
        <v>2498</v>
      </c>
      <c r="E335" t="s">
        <v>2499</v>
      </c>
      <c r="F335">
        <v>2006</v>
      </c>
      <c r="G335">
        <f>IF(OR(Mentors[[#This Row],[Career Start Year]]="NA",ISBLANK(Mentors[[#This Row],[Career Start Year]])),"",2026 - Mentors[[#This Row],[Career Start Year]])</f>
        <v>20</v>
      </c>
      <c r="H33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35" t="s">
        <v>51</v>
      </c>
      <c r="J335" t="s">
        <v>935</v>
      </c>
      <c r="K335" t="s">
        <v>2500</v>
      </c>
      <c r="L335" s="17">
        <v>7834944560</v>
      </c>
      <c r="M335" s="19">
        <v>45658</v>
      </c>
      <c r="O335" t="s">
        <v>0</v>
      </c>
      <c r="Q335" t="s">
        <v>54</v>
      </c>
      <c r="R335" t="s">
        <v>63</v>
      </c>
      <c r="S335" t="s">
        <v>63</v>
      </c>
      <c r="T335" t="s">
        <v>56</v>
      </c>
      <c r="U335" t="s">
        <v>187</v>
      </c>
      <c r="V335" t="s">
        <v>421</v>
      </c>
      <c r="W335" t="s">
        <v>1268</v>
      </c>
      <c r="X335" t="s">
        <v>80</v>
      </c>
      <c r="Y335" t="s">
        <v>59</v>
      </c>
      <c r="Z335" t="s">
        <v>61</v>
      </c>
      <c r="AA335" t="s">
        <v>62</v>
      </c>
      <c r="AB335">
        <v>1</v>
      </c>
      <c r="AD335" t="s">
        <v>63</v>
      </c>
      <c r="AE335" t="s">
        <v>63</v>
      </c>
      <c r="AG335" t="s">
        <v>54</v>
      </c>
      <c r="AH335" t="s">
        <v>152</v>
      </c>
      <c r="AI335" t="s">
        <v>132</v>
      </c>
      <c r="AJ335" t="s">
        <v>54</v>
      </c>
      <c r="AK335" t="s">
        <v>2501</v>
      </c>
      <c r="AL335" t="s">
        <v>2502</v>
      </c>
      <c r="AN335" s="19">
        <f>IF(ISBLANK(Mentors[[#This Row],[Onboarded Date]]),"",Mentors[[#This Row],[Onboarded Date]]-WEEKDAY(Mentors[[#This Row],[Onboarded Date]],2)+1)</f>
        <v>45656</v>
      </c>
    </row>
    <row r="336" spans="1:40" ht="19.2" customHeight="1" x14ac:dyDescent="0.3">
      <c r="A336" t="s">
        <v>2503</v>
      </c>
      <c r="B336" t="s">
        <v>2504</v>
      </c>
      <c r="C336" t="s">
        <v>2505</v>
      </c>
      <c r="D336" t="s">
        <v>2506</v>
      </c>
      <c r="E336" t="s">
        <v>2507</v>
      </c>
      <c r="F336">
        <v>2001</v>
      </c>
      <c r="G336">
        <f>IF(OR(Mentors[[#This Row],[Career Start Year]]="NA",ISBLANK(Mentors[[#This Row],[Career Start Year]])),"",2026 - Mentors[[#This Row],[Career Start Year]])</f>
        <v>25</v>
      </c>
      <c r="H33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36" t="s">
        <v>51</v>
      </c>
      <c r="J336" t="s">
        <v>419</v>
      </c>
      <c r="K336" t="s">
        <v>2508</v>
      </c>
      <c r="L336" s="17">
        <v>9826509293</v>
      </c>
      <c r="M336" s="19">
        <v>45658</v>
      </c>
      <c r="N336" t="s">
        <v>6</v>
      </c>
      <c r="O336" t="s">
        <v>0</v>
      </c>
      <c r="Q336" t="s">
        <v>54</v>
      </c>
      <c r="R336" t="s">
        <v>54</v>
      </c>
      <c r="S336" t="s">
        <v>54</v>
      </c>
      <c r="T336" t="s">
        <v>110</v>
      </c>
      <c r="U336" t="s">
        <v>79</v>
      </c>
      <c r="V336" t="s">
        <v>306</v>
      </c>
      <c r="W336" t="s">
        <v>79</v>
      </c>
      <c r="Z336" t="s">
        <v>61</v>
      </c>
      <c r="AA336" t="s">
        <v>62</v>
      </c>
      <c r="AB336">
        <v>1</v>
      </c>
      <c r="AD336" t="s">
        <v>63</v>
      </c>
      <c r="AG336" t="s">
        <v>54</v>
      </c>
      <c r="AH336" t="s">
        <v>65</v>
      </c>
      <c r="AI336" t="s">
        <v>122</v>
      </c>
      <c r="AJ336" t="s">
        <v>54</v>
      </c>
      <c r="AK336" t="s">
        <v>2509</v>
      </c>
      <c r="AL336" t="s">
        <v>2510</v>
      </c>
      <c r="AN336" s="19">
        <f>IF(ISBLANK(Mentors[[#This Row],[Onboarded Date]]),"",Mentors[[#This Row],[Onboarded Date]]-WEEKDAY(Mentors[[#This Row],[Onboarded Date]],2)+1)</f>
        <v>45656</v>
      </c>
    </row>
    <row r="337" spans="1:40" ht="19.2" customHeight="1" x14ac:dyDescent="0.3">
      <c r="A337" t="s">
        <v>2511</v>
      </c>
      <c r="B337" t="s">
        <v>145</v>
      </c>
      <c r="C337" t="s">
        <v>2512</v>
      </c>
      <c r="D337" t="s">
        <v>2513</v>
      </c>
      <c r="E337" t="s">
        <v>2514</v>
      </c>
      <c r="F337">
        <v>2006</v>
      </c>
      <c r="G337">
        <f>IF(OR(Mentors[[#This Row],[Career Start Year]]="NA",ISBLANK(Mentors[[#This Row],[Career Start Year]])),"",2026 - Mentors[[#This Row],[Career Start Year]])</f>
        <v>20</v>
      </c>
      <c r="H33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37" t="s">
        <v>51</v>
      </c>
      <c r="J337" t="s">
        <v>88</v>
      </c>
      <c r="K337" t="s">
        <v>2515</v>
      </c>
      <c r="L337" s="17">
        <v>9892306120</v>
      </c>
      <c r="M337" s="19">
        <v>45658</v>
      </c>
      <c r="O337" t="s">
        <v>0</v>
      </c>
      <c r="Q337" t="s">
        <v>54</v>
      </c>
      <c r="R337" t="s">
        <v>54</v>
      </c>
      <c r="S337" t="s">
        <v>54</v>
      </c>
      <c r="T337" t="s">
        <v>187</v>
      </c>
      <c r="U337" t="s">
        <v>79</v>
      </c>
      <c r="V337" t="s">
        <v>120</v>
      </c>
      <c r="W337" t="s">
        <v>79</v>
      </c>
      <c r="X337" t="s">
        <v>59</v>
      </c>
      <c r="Z337" t="s">
        <v>61</v>
      </c>
      <c r="AA337" t="s">
        <v>62</v>
      </c>
      <c r="AB337">
        <v>1</v>
      </c>
      <c r="AD337" t="s">
        <v>63</v>
      </c>
      <c r="AG337" t="s">
        <v>54</v>
      </c>
      <c r="AH337" t="s">
        <v>65</v>
      </c>
      <c r="AI337" t="s">
        <v>132</v>
      </c>
      <c r="AJ337" t="s">
        <v>54</v>
      </c>
      <c r="AK337" t="s">
        <v>2516</v>
      </c>
      <c r="AL337" t="s">
        <v>159</v>
      </c>
      <c r="AN337" s="19">
        <f>IF(ISBLANK(Mentors[[#This Row],[Onboarded Date]]),"",Mentors[[#This Row],[Onboarded Date]]-WEEKDAY(Mentors[[#This Row],[Onboarded Date]],2)+1)</f>
        <v>45656</v>
      </c>
    </row>
    <row r="338" spans="1:40" ht="19.2" customHeight="1" x14ac:dyDescent="0.3">
      <c r="A338" t="s">
        <v>2517</v>
      </c>
      <c r="B338" t="s">
        <v>152</v>
      </c>
      <c r="C338" t="s">
        <v>2518</v>
      </c>
      <c r="D338" t="s">
        <v>2519</v>
      </c>
      <c r="E338" t="s">
        <v>2520</v>
      </c>
      <c r="F338">
        <v>2003</v>
      </c>
      <c r="G338">
        <f>IF(OR(Mentors[[#This Row],[Career Start Year]]="NA",ISBLANK(Mentors[[#This Row],[Career Start Year]])),"",2026 - Mentors[[#This Row],[Career Start Year]])</f>
        <v>23</v>
      </c>
      <c r="H33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38" t="s">
        <v>51</v>
      </c>
      <c r="J338" t="s">
        <v>297</v>
      </c>
      <c r="K338" t="s">
        <v>2521</v>
      </c>
      <c r="L338" s="17">
        <v>9811210500</v>
      </c>
      <c r="M338" s="19">
        <v>45658</v>
      </c>
      <c r="O338" t="s">
        <v>0</v>
      </c>
      <c r="Q338" t="s">
        <v>54</v>
      </c>
      <c r="R338" t="s">
        <v>54</v>
      </c>
      <c r="S338" t="s">
        <v>63</v>
      </c>
      <c r="T338" t="s">
        <v>187</v>
      </c>
      <c r="U338" t="s">
        <v>79</v>
      </c>
      <c r="V338" t="s">
        <v>120</v>
      </c>
      <c r="W338" t="s">
        <v>481</v>
      </c>
      <c r="Z338" t="s">
        <v>81</v>
      </c>
      <c r="AA338" t="s">
        <v>62</v>
      </c>
      <c r="AB338">
        <v>1</v>
      </c>
      <c r="AD338" t="s">
        <v>54</v>
      </c>
      <c r="AE338" t="s">
        <v>63</v>
      </c>
      <c r="AG338" t="s">
        <v>54</v>
      </c>
      <c r="AH338" t="s">
        <v>152</v>
      </c>
      <c r="AI338" t="s">
        <v>132</v>
      </c>
      <c r="AJ338" t="s">
        <v>54</v>
      </c>
      <c r="AK338" t="s">
        <v>2522</v>
      </c>
      <c r="AL338" t="s">
        <v>2523</v>
      </c>
      <c r="AN338" s="19">
        <f>IF(ISBLANK(Mentors[[#This Row],[Onboarded Date]]),"",Mentors[[#This Row],[Onboarded Date]]-WEEKDAY(Mentors[[#This Row],[Onboarded Date]],2)+1)</f>
        <v>45656</v>
      </c>
    </row>
    <row r="339" spans="1:40" ht="19.2" customHeight="1" x14ac:dyDescent="0.3">
      <c r="A339" t="s">
        <v>2524</v>
      </c>
      <c r="B339" t="s">
        <v>2525</v>
      </c>
      <c r="C339" t="s">
        <v>2526</v>
      </c>
      <c r="D339" t="s">
        <v>2527</v>
      </c>
      <c r="E339" t="s">
        <v>2528</v>
      </c>
      <c r="F339">
        <v>2007</v>
      </c>
      <c r="G339">
        <f>IF(OR(Mentors[[#This Row],[Career Start Year]]="NA",ISBLANK(Mentors[[#This Row],[Career Start Year]])),"",2026 - Mentors[[#This Row],[Career Start Year]])</f>
        <v>19</v>
      </c>
      <c r="H33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39" t="s">
        <v>51</v>
      </c>
      <c r="J339" t="s">
        <v>118</v>
      </c>
      <c r="K339" t="s">
        <v>2529</v>
      </c>
      <c r="L339" s="17">
        <v>9869074419</v>
      </c>
      <c r="M339" s="19">
        <v>45658</v>
      </c>
      <c r="O339" t="s">
        <v>0</v>
      </c>
      <c r="Q339" t="s">
        <v>54</v>
      </c>
      <c r="R339" t="s">
        <v>54</v>
      </c>
      <c r="S339" t="s">
        <v>54</v>
      </c>
      <c r="T339" t="s">
        <v>76</v>
      </c>
      <c r="U339" t="s">
        <v>99</v>
      </c>
      <c r="V339" t="s">
        <v>78</v>
      </c>
      <c r="W339" t="s">
        <v>79</v>
      </c>
      <c r="Z339" t="s">
        <v>61</v>
      </c>
      <c r="AA339" t="s">
        <v>62</v>
      </c>
      <c r="AB339">
        <v>1</v>
      </c>
      <c r="AD339" t="s">
        <v>54</v>
      </c>
      <c r="AG339" t="s">
        <v>54</v>
      </c>
      <c r="AH339" t="s">
        <v>65</v>
      </c>
      <c r="AI339" t="s">
        <v>76</v>
      </c>
      <c r="AJ339" t="s">
        <v>54</v>
      </c>
      <c r="AK339" t="s">
        <v>2530</v>
      </c>
      <c r="AL339" t="s">
        <v>613</v>
      </c>
      <c r="AN339" s="19">
        <f>IF(ISBLANK(Mentors[[#This Row],[Onboarded Date]]),"",Mentors[[#This Row],[Onboarded Date]]-WEEKDAY(Mentors[[#This Row],[Onboarded Date]],2)+1)</f>
        <v>45656</v>
      </c>
    </row>
    <row r="340" spans="1:40" ht="19.2" customHeight="1" x14ac:dyDescent="0.3">
      <c r="A340" t="s">
        <v>2531</v>
      </c>
      <c r="B340" t="s">
        <v>2532</v>
      </c>
      <c r="C340" t="s">
        <v>2533</v>
      </c>
      <c r="D340" t="s">
        <v>2534</v>
      </c>
      <c r="E340" t="s">
        <v>2535</v>
      </c>
      <c r="F340">
        <v>1996</v>
      </c>
      <c r="G340">
        <f>IF(OR(Mentors[[#This Row],[Career Start Year]]="NA",ISBLANK(Mentors[[#This Row],[Career Start Year]])),"",2026 - Mentors[[#This Row],[Career Start Year]])</f>
        <v>30</v>
      </c>
      <c r="H34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40" t="s">
        <v>51</v>
      </c>
      <c r="J340" t="s">
        <v>88</v>
      </c>
      <c r="K340" t="s">
        <v>2536</v>
      </c>
      <c r="L340" s="17">
        <v>9000283338</v>
      </c>
      <c r="M340" s="19">
        <v>45658</v>
      </c>
      <c r="O340" t="s">
        <v>0</v>
      </c>
      <c r="Q340" t="s">
        <v>54</v>
      </c>
      <c r="R340" t="s">
        <v>54</v>
      </c>
      <c r="S340" t="s">
        <v>54</v>
      </c>
      <c r="T340" t="s">
        <v>77</v>
      </c>
      <c r="U340" t="s">
        <v>110</v>
      </c>
      <c r="V340" t="s">
        <v>57</v>
      </c>
      <c r="W340" t="s">
        <v>78</v>
      </c>
      <c r="Z340" t="s">
        <v>61</v>
      </c>
      <c r="AA340" t="s">
        <v>62</v>
      </c>
      <c r="AB340">
        <v>1</v>
      </c>
      <c r="AD340" t="s">
        <v>63</v>
      </c>
      <c r="AG340" t="s">
        <v>54</v>
      </c>
      <c r="AH340" t="s">
        <v>65</v>
      </c>
      <c r="AI340" t="s">
        <v>77</v>
      </c>
      <c r="AJ340" t="s">
        <v>54</v>
      </c>
      <c r="AK340" t="s">
        <v>2537</v>
      </c>
      <c r="AL340" t="s">
        <v>2538</v>
      </c>
      <c r="AN340" s="19">
        <f>IF(ISBLANK(Mentors[[#This Row],[Onboarded Date]]),"",Mentors[[#This Row],[Onboarded Date]]-WEEKDAY(Mentors[[#This Row],[Onboarded Date]],2)+1)</f>
        <v>45656</v>
      </c>
    </row>
    <row r="341" spans="1:40" ht="19.2" customHeight="1" x14ac:dyDescent="0.3">
      <c r="A341" t="s">
        <v>2539</v>
      </c>
      <c r="B341" t="s">
        <v>1247</v>
      </c>
      <c r="C341" t="s">
        <v>2540</v>
      </c>
      <c r="E341" s="7" t="s">
        <v>2541</v>
      </c>
      <c r="F341">
        <v>2021</v>
      </c>
      <c r="G341">
        <f>IF(OR(Mentors[[#This Row],[Career Start Year]]="NA",ISBLANK(Mentors[[#This Row],[Career Start Year]])),"",2026 - Mentors[[#This Row],[Career Start Year]])</f>
        <v>5</v>
      </c>
      <c r="H34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341" t="s">
        <v>51</v>
      </c>
      <c r="J341" t="s">
        <v>52</v>
      </c>
      <c r="K341" t="s">
        <v>2542</v>
      </c>
      <c r="L341" s="17">
        <v>9975889972</v>
      </c>
      <c r="M341" s="19">
        <v>45658</v>
      </c>
      <c r="N341" t="s">
        <v>10</v>
      </c>
      <c r="O341" t="s">
        <v>0</v>
      </c>
      <c r="Q341" t="s">
        <v>54</v>
      </c>
      <c r="R341" t="s">
        <v>54</v>
      </c>
      <c r="S341" t="s">
        <v>54</v>
      </c>
      <c r="T341" s="12" t="s">
        <v>2543</v>
      </c>
      <c r="U341" t="s">
        <v>65</v>
      </c>
      <c r="V341" t="s">
        <v>78</v>
      </c>
      <c r="W341" t="s">
        <v>79</v>
      </c>
      <c r="Z341" t="s">
        <v>61</v>
      </c>
      <c r="AA341" t="s">
        <v>62</v>
      </c>
      <c r="AB341">
        <v>1</v>
      </c>
      <c r="AD341" t="s">
        <v>63</v>
      </c>
      <c r="AG341" t="s">
        <v>54</v>
      </c>
      <c r="AH341" t="s">
        <v>65</v>
      </c>
      <c r="AI341" t="s">
        <v>412</v>
      </c>
      <c r="AJ341" t="s">
        <v>54</v>
      </c>
      <c r="AK341" t="s">
        <v>2544</v>
      </c>
      <c r="AL341" t="s">
        <v>2545</v>
      </c>
      <c r="AN341" s="19">
        <f>IF(ISBLANK(Mentors[[#This Row],[Onboarded Date]]),"",Mentors[[#This Row],[Onboarded Date]]-WEEKDAY(Mentors[[#This Row],[Onboarded Date]],2)+1)</f>
        <v>45656</v>
      </c>
    </row>
    <row r="342" spans="1:40" ht="19.2" customHeight="1" x14ac:dyDescent="0.3">
      <c r="A342" t="s">
        <v>2546</v>
      </c>
      <c r="B342" t="s">
        <v>2547</v>
      </c>
      <c r="C342" t="s">
        <v>2548</v>
      </c>
      <c r="D342" s="24" t="s">
        <v>2549</v>
      </c>
      <c r="E342" t="s">
        <v>2550</v>
      </c>
      <c r="F342">
        <v>2011</v>
      </c>
      <c r="G342">
        <f>IF(OR(Mentors[[#This Row],[Career Start Year]]="NA",ISBLANK(Mentors[[#This Row],[Career Start Year]])),"",2026 - Mentors[[#This Row],[Career Start Year]])</f>
        <v>15</v>
      </c>
      <c r="H34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342" t="s">
        <v>51</v>
      </c>
      <c r="J342" t="s">
        <v>140</v>
      </c>
      <c r="K342" t="s">
        <v>2551</v>
      </c>
      <c r="L342" s="17">
        <v>9930226123</v>
      </c>
      <c r="M342" s="19">
        <v>45658</v>
      </c>
      <c r="O342" t="s">
        <v>0</v>
      </c>
      <c r="Q342" t="s">
        <v>54</v>
      </c>
      <c r="R342" t="s">
        <v>54</v>
      </c>
      <c r="S342" t="s">
        <v>54</v>
      </c>
      <c r="T342" t="s">
        <v>499</v>
      </c>
      <c r="U342" t="s">
        <v>65</v>
      </c>
      <c r="V342" t="s">
        <v>78</v>
      </c>
      <c r="W342" t="s">
        <v>79</v>
      </c>
      <c r="Z342" t="s">
        <v>61</v>
      </c>
      <c r="AA342" t="s">
        <v>62</v>
      </c>
      <c r="AB342">
        <v>1</v>
      </c>
      <c r="AD342" t="s">
        <v>54</v>
      </c>
      <c r="AG342" t="s">
        <v>54</v>
      </c>
      <c r="AH342" t="s">
        <v>131</v>
      </c>
      <c r="AI342" t="s">
        <v>77</v>
      </c>
      <c r="AJ342" t="s">
        <v>54</v>
      </c>
      <c r="AK342" t="s">
        <v>2552</v>
      </c>
      <c r="AL342" t="s">
        <v>2553</v>
      </c>
      <c r="AN342" s="19">
        <f>IF(ISBLANK(Mentors[[#This Row],[Onboarded Date]]),"",Mentors[[#This Row],[Onboarded Date]]-WEEKDAY(Mentors[[#This Row],[Onboarded Date]],2)+1)</f>
        <v>45656</v>
      </c>
    </row>
    <row r="343" spans="1:40" ht="19.2" customHeight="1" x14ac:dyDescent="0.3">
      <c r="A343" t="s">
        <v>2554</v>
      </c>
      <c r="B343" t="s">
        <v>260</v>
      </c>
      <c r="C343" t="s">
        <v>2555</v>
      </c>
      <c r="D343" s="24" t="s">
        <v>2556</v>
      </c>
      <c r="E343" t="s">
        <v>2557</v>
      </c>
      <c r="F343">
        <v>2016</v>
      </c>
      <c r="G343">
        <f>IF(OR(Mentors[[#This Row],[Career Start Year]]="NA",ISBLANK(Mentors[[#This Row],[Career Start Year]])),"",2026 - Mentors[[#This Row],[Career Start Year]])</f>
        <v>10</v>
      </c>
      <c r="H34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343" t="s">
        <v>51</v>
      </c>
      <c r="J343" t="s">
        <v>196</v>
      </c>
      <c r="K343" t="s">
        <v>2558</v>
      </c>
      <c r="L343" s="17">
        <v>7972642955</v>
      </c>
      <c r="M343" s="19">
        <v>45658</v>
      </c>
      <c r="N343" t="s">
        <v>10</v>
      </c>
      <c r="O343" t="s">
        <v>0</v>
      </c>
      <c r="Q343" t="s">
        <v>54</v>
      </c>
      <c r="R343" t="s">
        <v>54</v>
      </c>
      <c r="S343" t="s">
        <v>63</v>
      </c>
      <c r="T343" t="s">
        <v>2486</v>
      </c>
      <c r="U343" t="s">
        <v>65</v>
      </c>
      <c r="V343" t="s">
        <v>57</v>
      </c>
      <c r="W343" t="s">
        <v>79</v>
      </c>
      <c r="Z343" t="s">
        <v>61</v>
      </c>
      <c r="AA343" t="s">
        <v>62</v>
      </c>
      <c r="AB343">
        <v>1</v>
      </c>
      <c r="AD343" t="s">
        <v>63</v>
      </c>
      <c r="AE343" t="s">
        <v>63</v>
      </c>
      <c r="AG343" t="s">
        <v>54</v>
      </c>
      <c r="AH343" t="s">
        <v>152</v>
      </c>
      <c r="AI343" t="s">
        <v>132</v>
      </c>
      <c r="AJ343" t="s">
        <v>54</v>
      </c>
      <c r="AK343" t="s">
        <v>2559</v>
      </c>
      <c r="AL343" t="s">
        <v>2560</v>
      </c>
      <c r="AN343" s="19">
        <f>IF(ISBLANK(Mentors[[#This Row],[Onboarded Date]]),"",Mentors[[#This Row],[Onboarded Date]]-WEEKDAY(Mentors[[#This Row],[Onboarded Date]],2)+1)</f>
        <v>45656</v>
      </c>
    </row>
    <row r="344" spans="1:40" ht="19.2" customHeight="1" x14ac:dyDescent="0.3">
      <c r="A344" t="s">
        <v>2561</v>
      </c>
      <c r="B344" t="s">
        <v>2562</v>
      </c>
      <c r="C344" t="s">
        <v>2563</v>
      </c>
      <c r="D344" s="24" t="s">
        <v>2564</v>
      </c>
      <c r="E344" t="s">
        <v>2565</v>
      </c>
      <c r="F344">
        <v>2004</v>
      </c>
      <c r="G344">
        <f>IF(OR(Mentors[[#This Row],[Career Start Year]]="NA",ISBLANK(Mentors[[#This Row],[Career Start Year]])),"",2026 - Mentors[[#This Row],[Career Start Year]])</f>
        <v>22</v>
      </c>
      <c r="H34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44" t="s">
        <v>51</v>
      </c>
      <c r="J344" t="s">
        <v>196</v>
      </c>
      <c r="K344" t="s">
        <v>2566</v>
      </c>
      <c r="L344" s="17">
        <v>9835348464</v>
      </c>
      <c r="M344" s="19">
        <v>45658</v>
      </c>
      <c r="N344" t="s">
        <v>10</v>
      </c>
      <c r="O344" t="s">
        <v>0</v>
      </c>
      <c r="Q344" t="s">
        <v>54</v>
      </c>
      <c r="R344" t="s">
        <v>63</v>
      </c>
      <c r="S344" t="s">
        <v>63</v>
      </c>
      <c r="T344" t="s">
        <v>1151</v>
      </c>
      <c r="U344" t="s">
        <v>187</v>
      </c>
      <c r="V344" s="4" t="s">
        <v>256</v>
      </c>
      <c r="W344" t="s">
        <v>79</v>
      </c>
      <c r="X344" t="s">
        <v>59</v>
      </c>
      <c r="Z344" t="s">
        <v>61</v>
      </c>
      <c r="AA344" t="s">
        <v>62</v>
      </c>
      <c r="AB344">
        <v>1</v>
      </c>
      <c r="AD344" t="s">
        <v>63</v>
      </c>
      <c r="AE344" t="s">
        <v>63</v>
      </c>
      <c r="AG344" t="s">
        <v>54</v>
      </c>
      <c r="AH344" t="s">
        <v>152</v>
      </c>
      <c r="AI344" t="s">
        <v>122</v>
      </c>
      <c r="AJ344" t="s">
        <v>54</v>
      </c>
      <c r="AK344" t="s">
        <v>2567</v>
      </c>
      <c r="AL344" t="s">
        <v>2568</v>
      </c>
      <c r="AN344" s="19">
        <f>IF(ISBLANK(Mentors[[#This Row],[Onboarded Date]]),"",Mentors[[#This Row],[Onboarded Date]]-WEEKDAY(Mentors[[#This Row],[Onboarded Date]],2)+1)</f>
        <v>45656</v>
      </c>
    </row>
    <row r="345" spans="1:40" ht="19.2" customHeight="1" x14ac:dyDescent="0.3">
      <c r="A345" t="s">
        <v>2569</v>
      </c>
      <c r="B345" t="s">
        <v>2570</v>
      </c>
      <c r="C345" t="s">
        <v>2571</v>
      </c>
      <c r="D345" s="24" t="s">
        <v>2572</v>
      </c>
      <c r="E345" t="s">
        <v>2573</v>
      </c>
      <c r="F345">
        <v>2010</v>
      </c>
      <c r="G345">
        <f>IF(OR(Mentors[[#This Row],[Career Start Year]]="NA",ISBLANK(Mentors[[#This Row],[Career Start Year]])),"",2026 - Mentors[[#This Row],[Career Start Year]])</f>
        <v>16</v>
      </c>
      <c r="H34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45" t="s">
        <v>51</v>
      </c>
      <c r="J345" t="s">
        <v>52</v>
      </c>
      <c r="K345" t="s">
        <v>2574</v>
      </c>
      <c r="L345" s="17">
        <v>9819844363</v>
      </c>
      <c r="M345" s="19">
        <v>45658</v>
      </c>
      <c r="N345" t="s">
        <v>10</v>
      </c>
      <c r="O345" t="s">
        <v>0</v>
      </c>
      <c r="Q345" t="s">
        <v>54</v>
      </c>
      <c r="R345" t="s">
        <v>63</v>
      </c>
      <c r="S345" t="s">
        <v>63</v>
      </c>
      <c r="T345" s="11" t="s">
        <v>247</v>
      </c>
      <c r="U345" t="s">
        <v>187</v>
      </c>
      <c r="V345" s="4" t="s">
        <v>481</v>
      </c>
      <c r="W345" t="s">
        <v>79</v>
      </c>
      <c r="X345" t="s">
        <v>1120</v>
      </c>
      <c r="Z345" t="s">
        <v>61</v>
      </c>
      <c r="AA345" t="s">
        <v>62</v>
      </c>
      <c r="AB345">
        <v>1</v>
      </c>
      <c r="AD345" t="s">
        <v>63</v>
      </c>
      <c r="AE345" t="s">
        <v>54</v>
      </c>
      <c r="AF345" t="s">
        <v>54</v>
      </c>
      <c r="AG345" t="s">
        <v>63</v>
      </c>
      <c r="AH345" t="s">
        <v>65</v>
      </c>
      <c r="AI345" t="s">
        <v>248</v>
      </c>
      <c r="AJ345" t="s">
        <v>54</v>
      </c>
      <c r="AK345" t="s">
        <v>2575</v>
      </c>
      <c r="AL345" t="s">
        <v>2576</v>
      </c>
      <c r="AN345" s="19">
        <f>IF(ISBLANK(Mentors[[#This Row],[Onboarded Date]]),"",Mentors[[#This Row],[Onboarded Date]]-WEEKDAY(Mentors[[#This Row],[Onboarded Date]],2)+1)</f>
        <v>45656</v>
      </c>
    </row>
    <row r="346" spans="1:40" ht="19.2" customHeight="1" x14ac:dyDescent="0.3">
      <c r="A346" t="s">
        <v>2577</v>
      </c>
      <c r="B346" t="s">
        <v>358</v>
      </c>
      <c r="C346" t="s">
        <v>2578</v>
      </c>
      <c r="D346" s="24" t="s">
        <v>2579</v>
      </c>
      <c r="E346" t="s">
        <v>2580</v>
      </c>
      <c r="F346">
        <v>1980</v>
      </c>
      <c r="G346">
        <f>IF(OR(Mentors[[#This Row],[Career Start Year]]="NA",ISBLANK(Mentors[[#This Row],[Career Start Year]])),"",2026 - Mentors[[#This Row],[Career Start Year]])</f>
        <v>46</v>
      </c>
      <c r="H34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46" t="s">
        <v>51</v>
      </c>
      <c r="J346" t="s">
        <v>118</v>
      </c>
      <c r="K346" t="s">
        <v>2581</v>
      </c>
      <c r="L346" s="17">
        <v>9820293998</v>
      </c>
      <c r="M346" s="19">
        <v>45658</v>
      </c>
      <c r="O346" t="s">
        <v>0</v>
      </c>
      <c r="Q346" t="s">
        <v>63</v>
      </c>
      <c r="R346" t="s">
        <v>63</v>
      </c>
      <c r="S346" t="s">
        <v>54</v>
      </c>
      <c r="T346" t="s">
        <v>77</v>
      </c>
      <c r="U346" t="s">
        <v>65</v>
      </c>
      <c r="V346" t="s">
        <v>78</v>
      </c>
      <c r="W346" t="s">
        <v>79</v>
      </c>
      <c r="X346" t="s">
        <v>59</v>
      </c>
      <c r="Z346" t="s">
        <v>61</v>
      </c>
      <c r="AA346" t="s">
        <v>62</v>
      </c>
      <c r="AB346">
        <v>1</v>
      </c>
      <c r="AD346" t="s">
        <v>63</v>
      </c>
      <c r="AG346" t="s">
        <v>54</v>
      </c>
      <c r="AH346" t="s">
        <v>131</v>
      </c>
      <c r="AI346" t="s">
        <v>77</v>
      </c>
      <c r="AJ346" t="s">
        <v>54</v>
      </c>
      <c r="AK346" t="s">
        <v>2582</v>
      </c>
      <c r="AL346" t="s">
        <v>2583</v>
      </c>
      <c r="AN346" s="19">
        <f>IF(ISBLANK(Mentors[[#This Row],[Onboarded Date]]),"",Mentors[[#This Row],[Onboarded Date]]-WEEKDAY(Mentors[[#This Row],[Onboarded Date]],2)+1)</f>
        <v>45656</v>
      </c>
    </row>
    <row r="347" spans="1:40" ht="19.2" customHeight="1" x14ac:dyDescent="0.3">
      <c r="A347" t="s">
        <v>2584</v>
      </c>
      <c r="B347" t="s">
        <v>2585</v>
      </c>
      <c r="C347" t="s">
        <v>2586</v>
      </c>
      <c r="D347" s="24" t="s">
        <v>2587</v>
      </c>
      <c r="E347" t="s">
        <v>2588</v>
      </c>
      <c r="F347">
        <v>2004</v>
      </c>
      <c r="G347">
        <f>IF(OR(Mentors[[#This Row],[Career Start Year]]="NA",ISBLANK(Mentors[[#This Row],[Career Start Year]])),"",2026 - Mentors[[#This Row],[Career Start Year]])</f>
        <v>22</v>
      </c>
      <c r="H34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47" t="s">
        <v>51</v>
      </c>
      <c r="J347" t="s">
        <v>118</v>
      </c>
      <c r="K347" t="s">
        <v>2589</v>
      </c>
      <c r="L347" s="17">
        <v>8291703061</v>
      </c>
      <c r="M347" s="19">
        <v>45658</v>
      </c>
      <c r="N347" t="s">
        <v>10</v>
      </c>
      <c r="O347" t="s">
        <v>0</v>
      </c>
      <c r="Q347" t="s">
        <v>54</v>
      </c>
      <c r="R347" t="s">
        <v>54</v>
      </c>
      <c r="S347" t="s">
        <v>54</v>
      </c>
      <c r="T347" s="11" t="s">
        <v>187</v>
      </c>
      <c r="U347" t="s">
        <v>445</v>
      </c>
      <c r="V347" s="4" t="s">
        <v>58</v>
      </c>
      <c r="W347" s="4" t="s">
        <v>79</v>
      </c>
      <c r="X347" s="4" t="s">
        <v>59</v>
      </c>
      <c r="Y347" s="4"/>
      <c r="Z347" t="s">
        <v>61</v>
      </c>
      <c r="AA347" t="s">
        <v>62</v>
      </c>
      <c r="AB347">
        <v>1</v>
      </c>
      <c r="AD347" t="s">
        <v>63</v>
      </c>
      <c r="AG347" t="s">
        <v>54</v>
      </c>
      <c r="AH347" t="s">
        <v>65</v>
      </c>
      <c r="AI347" t="s">
        <v>132</v>
      </c>
      <c r="AJ347" t="s">
        <v>54</v>
      </c>
      <c r="AK347" t="s">
        <v>2590</v>
      </c>
      <c r="AL347" t="s">
        <v>2591</v>
      </c>
      <c r="AN347" s="19">
        <f>IF(ISBLANK(Mentors[[#This Row],[Onboarded Date]]),"",Mentors[[#This Row],[Onboarded Date]]-WEEKDAY(Mentors[[#This Row],[Onboarded Date]],2)+1)</f>
        <v>45656</v>
      </c>
    </row>
    <row r="348" spans="1:40" ht="19.2" customHeight="1" x14ac:dyDescent="0.3">
      <c r="A348" t="s">
        <v>2592</v>
      </c>
      <c r="B348" t="s">
        <v>558</v>
      </c>
      <c r="C348" t="s">
        <v>2593</v>
      </c>
      <c r="D348" s="24" t="s">
        <v>2594</v>
      </c>
      <c r="E348" t="s">
        <v>2595</v>
      </c>
      <c r="F348">
        <v>2004</v>
      </c>
      <c r="G348">
        <f>IF(OR(Mentors[[#This Row],[Career Start Year]]="NA",ISBLANK(Mentors[[#This Row],[Career Start Year]])),"",2026 - Mentors[[#This Row],[Career Start Year]])</f>
        <v>22</v>
      </c>
      <c r="H34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48" t="s">
        <v>51</v>
      </c>
      <c r="J348" t="s">
        <v>52</v>
      </c>
      <c r="K348" t="s">
        <v>2596</v>
      </c>
      <c r="L348" s="17">
        <v>9371207428</v>
      </c>
      <c r="M348" s="19">
        <v>45658</v>
      </c>
      <c r="N348" t="s">
        <v>10</v>
      </c>
      <c r="O348" t="s">
        <v>0</v>
      </c>
      <c r="Q348" t="s">
        <v>54</v>
      </c>
      <c r="R348" t="s">
        <v>63</v>
      </c>
      <c r="S348" t="s">
        <v>63</v>
      </c>
      <c r="T348" s="11" t="s">
        <v>247</v>
      </c>
      <c r="U348" t="s">
        <v>187</v>
      </c>
      <c r="V348" t="s">
        <v>78</v>
      </c>
      <c r="W348" t="s">
        <v>79</v>
      </c>
      <c r="X348" t="s">
        <v>59</v>
      </c>
      <c r="Z348" t="s">
        <v>61</v>
      </c>
      <c r="AA348" t="s">
        <v>62</v>
      </c>
      <c r="AB348">
        <v>1</v>
      </c>
      <c r="AD348" t="s">
        <v>63</v>
      </c>
      <c r="AE348" t="s">
        <v>63</v>
      </c>
      <c r="AG348" t="s">
        <v>54</v>
      </c>
      <c r="AH348" t="s">
        <v>152</v>
      </c>
      <c r="AI348" t="s">
        <v>248</v>
      </c>
      <c r="AJ348" t="s">
        <v>54</v>
      </c>
      <c r="AK348" t="s">
        <v>2597</v>
      </c>
      <c r="AL348" t="s">
        <v>2598</v>
      </c>
      <c r="AN348" s="19">
        <f>IF(ISBLANK(Mentors[[#This Row],[Onboarded Date]]),"",Mentors[[#This Row],[Onboarded Date]]-WEEKDAY(Mentors[[#This Row],[Onboarded Date]],2)+1)</f>
        <v>45656</v>
      </c>
    </row>
    <row r="349" spans="1:40" ht="19.2" customHeight="1" x14ac:dyDescent="0.3">
      <c r="A349" t="s">
        <v>2599</v>
      </c>
      <c r="B349" t="s">
        <v>260</v>
      </c>
      <c r="C349" t="s">
        <v>2600</v>
      </c>
      <c r="D349" s="24" t="s">
        <v>2601</v>
      </c>
      <c r="E349" t="s">
        <v>2602</v>
      </c>
      <c r="F349">
        <v>2006</v>
      </c>
      <c r="G349">
        <f>IF(OR(Mentors[[#This Row],[Career Start Year]]="NA",ISBLANK(Mentors[[#This Row],[Career Start Year]])),"",2026 - Mentors[[#This Row],[Career Start Year]])</f>
        <v>20</v>
      </c>
      <c r="H34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49" t="s">
        <v>51</v>
      </c>
      <c r="J349" t="s">
        <v>2603</v>
      </c>
      <c r="K349" t="s">
        <v>2604</v>
      </c>
      <c r="L349" s="17">
        <v>9629028574</v>
      </c>
      <c r="M349" s="19">
        <v>45658</v>
      </c>
      <c r="O349" t="s">
        <v>0</v>
      </c>
      <c r="Q349" t="s">
        <v>54</v>
      </c>
      <c r="R349" t="s">
        <v>63</v>
      </c>
      <c r="S349" t="s">
        <v>63</v>
      </c>
      <c r="T349" t="s">
        <v>187</v>
      </c>
      <c r="U349" t="s">
        <v>100</v>
      </c>
      <c r="V349" t="s">
        <v>78</v>
      </c>
      <c r="W349" t="s">
        <v>79</v>
      </c>
      <c r="X349" t="s">
        <v>59</v>
      </c>
      <c r="Z349" t="s">
        <v>61</v>
      </c>
      <c r="AA349" t="s">
        <v>62</v>
      </c>
      <c r="AB349">
        <v>1</v>
      </c>
      <c r="AD349" t="s">
        <v>54</v>
      </c>
      <c r="AE349" t="s">
        <v>63</v>
      </c>
      <c r="AF349" t="s">
        <v>54</v>
      </c>
      <c r="AG349" t="s">
        <v>63</v>
      </c>
      <c r="AH349" t="s">
        <v>152</v>
      </c>
      <c r="AI349" t="s">
        <v>132</v>
      </c>
      <c r="AJ349" t="s">
        <v>54</v>
      </c>
      <c r="AK349" t="s">
        <v>2605</v>
      </c>
      <c r="AL349" t="s">
        <v>2606</v>
      </c>
      <c r="AN349" s="19">
        <f>IF(ISBLANK(Mentors[[#This Row],[Onboarded Date]]),"",Mentors[[#This Row],[Onboarded Date]]-WEEKDAY(Mentors[[#This Row],[Onboarded Date]],2)+1)</f>
        <v>45656</v>
      </c>
    </row>
    <row r="350" spans="1:40" ht="19.2" customHeight="1" x14ac:dyDescent="0.3">
      <c r="A350" t="s">
        <v>2607</v>
      </c>
      <c r="B350" t="s">
        <v>152</v>
      </c>
      <c r="C350" t="s">
        <v>2608</v>
      </c>
      <c r="D350" s="24" t="s">
        <v>2609</v>
      </c>
      <c r="E350" t="s">
        <v>2610</v>
      </c>
      <c r="F350">
        <v>2003</v>
      </c>
      <c r="G350">
        <f>IF(OR(Mentors[[#This Row],[Career Start Year]]="NA",ISBLANK(Mentors[[#This Row],[Career Start Year]])),"",2026 - Mentors[[#This Row],[Career Start Year]])</f>
        <v>23</v>
      </c>
      <c r="H35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50" t="s">
        <v>51</v>
      </c>
      <c r="J350" t="s">
        <v>52</v>
      </c>
      <c r="K350" t="s">
        <v>2611</v>
      </c>
      <c r="L350" s="17">
        <v>9665923452</v>
      </c>
      <c r="M350" s="19">
        <v>45658</v>
      </c>
      <c r="O350" t="s">
        <v>0</v>
      </c>
      <c r="Q350" t="s">
        <v>54</v>
      </c>
      <c r="R350" t="s">
        <v>63</v>
      </c>
      <c r="S350" t="s">
        <v>63</v>
      </c>
      <c r="T350" t="s">
        <v>77</v>
      </c>
      <c r="U350" t="s">
        <v>65</v>
      </c>
      <c r="V350" t="s">
        <v>57</v>
      </c>
      <c r="W350" t="s">
        <v>79</v>
      </c>
      <c r="Z350" t="s">
        <v>61</v>
      </c>
      <c r="AA350" t="s">
        <v>62</v>
      </c>
      <c r="AB350">
        <v>1</v>
      </c>
      <c r="AD350" t="s">
        <v>54</v>
      </c>
      <c r="AE350" t="s">
        <v>63</v>
      </c>
      <c r="AG350" t="s">
        <v>54</v>
      </c>
      <c r="AH350" t="s">
        <v>152</v>
      </c>
      <c r="AI350" t="s">
        <v>412</v>
      </c>
      <c r="AJ350" t="s">
        <v>54</v>
      </c>
      <c r="AK350" t="s">
        <v>2612</v>
      </c>
      <c r="AL350" t="s">
        <v>2613</v>
      </c>
      <c r="AN350" s="19">
        <f>IF(ISBLANK(Mentors[[#This Row],[Onboarded Date]]),"",Mentors[[#This Row],[Onboarded Date]]-WEEKDAY(Mentors[[#This Row],[Onboarded Date]],2)+1)</f>
        <v>45656</v>
      </c>
    </row>
    <row r="351" spans="1:40" ht="19.2" customHeight="1" x14ac:dyDescent="0.3">
      <c r="A351" t="s">
        <v>2614</v>
      </c>
      <c r="B351" t="s">
        <v>2615</v>
      </c>
      <c r="C351" t="s">
        <v>2616</v>
      </c>
      <c r="D351" s="24" t="s">
        <v>2617</v>
      </c>
      <c r="E351" t="s">
        <v>2618</v>
      </c>
      <c r="F351">
        <v>1996</v>
      </c>
      <c r="G351">
        <f>IF(OR(Mentors[[#This Row],[Career Start Year]]="NA",ISBLANK(Mentors[[#This Row],[Career Start Year]])),"",2026 - Mentors[[#This Row],[Career Start Year]])</f>
        <v>30</v>
      </c>
      <c r="H35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51" t="s">
        <v>51</v>
      </c>
      <c r="J351" t="s">
        <v>196</v>
      </c>
      <c r="K351" t="s">
        <v>2619</v>
      </c>
      <c r="L351" s="17">
        <v>9845359146</v>
      </c>
      <c r="M351" s="19">
        <v>45658</v>
      </c>
      <c r="O351" t="s">
        <v>0</v>
      </c>
      <c r="Q351" t="s">
        <v>54</v>
      </c>
      <c r="R351" t="s">
        <v>63</v>
      </c>
      <c r="S351" t="s">
        <v>54</v>
      </c>
      <c r="T351" t="s">
        <v>187</v>
      </c>
      <c r="U351" t="s">
        <v>56</v>
      </c>
      <c r="V351" t="s">
        <v>58</v>
      </c>
      <c r="W351" t="s">
        <v>78</v>
      </c>
      <c r="X351" t="s">
        <v>80</v>
      </c>
      <c r="Z351" t="s">
        <v>61</v>
      </c>
      <c r="AA351" t="s">
        <v>62</v>
      </c>
      <c r="AB351" s="20">
        <v>4</v>
      </c>
      <c r="AC351" s="4" t="s">
        <v>206</v>
      </c>
      <c r="AD351" t="s">
        <v>63</v>
      </c>
      <c r="AE351" t="s">
        <v>63</v>
      </c>
      <c r="AG351" t="s">
        <v>54</v>
      </c>
      <c r="AH351" t="s">
        <v>152</v>
      </c>
      <c r="AI351" t="s">
        <v>132</v>
      </c>
      <c r="AJ351" t="s">
        <v>54</v>
      </c>
      <c r="AK351" t="s">
        <v>2620</v>
      </c>
      <c r="AL351" t="s">
        <v>2621</v>
      </c>
      <c r="AN351" s="19">
        <f>IF(ISBLANK(Mentors[[#This Row],[Onboarded Date]]),"",Mentors[[#This Row],[Onboarded Date]]-WEEKDAY(Mentors[[#This Row],[Onboarded Date]],2)+1)</f>
        <v>45656</v>
      </c>
    </row>
    <row r="352" spans="1:40" ht="19.2" customHeight="1" x14ac:dyDescent="0.3">
      <c r="A352" t="s">
        <v>2622</v>
      </c>
      <c r="B352" t="s">
        <v>2623</v>
      </c>
      <c r="D352" s="24" t="s">
        <v>2624</v>
      </c>
      <c r="E352" t="s">
        <v>2625</v>
      </c>
      <c r="F352">
        <v>2012</v>
      </c>
      <c r="G352">
        <f>IF(OR(Mentors[[#This Row],[Career Start Year]]="NA",ISBLANK(Mentors[[#This Row],[Career Start Year]])),"",2026 - Mentors[[#This Row],[Career Start Year]])</f>
        <v>14</v>
      </c>
      <c r="H35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352" t="s">
        <v>51</v>
      </c>
      <c r="J352" t="s">
        <v>1235</v>
      </c>
      <c r="K352" t="s">
        <v>2626</v>
      </c>
      <c r="L352" s="17">
        <v>9890429185</v>
      </c>
      <c r="M352" s="19">
        <v>45658</v>
      </c>
      <c r="O352" t="s">
        <v>0</v>
      </c>
      <c r="Q352" t="s">
        <v>54</v>
      </c>
      <c r="R352" t="s">
        <v>54</v>
      </c>
      <c r="S352" t="s">
        <v>54</v>
      </c>
      <c r="T352" t="s">
        <v>76</v>
      </c>
      <c r="U352" t="s">
        <v>99</v>
      </c>
      <c r="V352" t="s">
        <v>58</v>
      </c>
      <c r="W352" t="s">
        <v>57</v>
      </c>
      <c r="Z352" t="s">
        <v>61</v>
      </c>
      <c r="AA352" t="s">
        <v>62</v>
      </c>
      <c r="AB352">
        <v>1</v>
      </c>
      <c r="AD352" t="s">
        <v>63</v>
      </c>
      <c r="AG352" t="s">
        <v>54</v>
      </c>
      <c r="AH352" t="s">
        <v>131</v>
      </c>
      <c r="AI352" t="s">
        <v>76</v>
      </c>
      <c r="AJ352" t="s">
        <v>54</v>
      </c>
      <c r="AK352" t="s">
        <v>2627</v>
      </c>
      <c r="AL352" t="s">
        <v>2628</v>
      </c>
      <c r="AN352" s="19">
        <f>IF(ISBLANK(Mentors[[#This Row],[Onboarded Date]]),"",Mentors[[#This Row],[Onboarded Date]]-WEEKDAY(Mentors[[#This Row],[Onboarded Date]],2)+1)</f>
        <v>45656</v>
      </c>
    </row>
    <row r="353" spans="1:40" ht="19.2" customHeight="1" x14ac:dyDescent="0.3">
      <c r="A353" t="s">
        <v>2629</v>
      </c>
      <c r="B353" t="s">
        <v>404</v>
      </c>
      <c r="C353" t="s">
        <v>2630</v>
      </c>
      <c r="D353" s="24" t="s">
        <v>2631</v>
      </c>
      <c r="E353" s="7" t="s">
        <v>2632</v>
      </c>
      <c r="F353">
        <v>2008</v>
      </c>
      <c r="G353">
        <f>IF(OR(Mentors[[#This Row],[Career Start Year]]="NA",ISBLANK(Mentors[[#This Row],[Career Start Year]])),"",2026 - Mentors[[#This Row],[Career Start Year]])</f>
        <v>18</v>
      </c>
      <c r="H35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53" t="s">
        <v>51</v>
      </c>
      <c r="J353" t="s">
        <v>118</v>
      </c>
      <c r="K353" t="s">
        <v>2633</v>
      </c>
      <c r="L353" s="17" t="s">
        <v>2634</v>
      </c>
      <c r="M353" s="19">
        <v>45658</v>
      </c>
      <c r="N353" t="s">
        <v>10</v>
      </c>
      <c r="O353" t="s">
        <v>0</v>
      </c>
      <c r="Q353" t="s">
        <v>54</v>
      </c>
      <c r="R353" t="s">
        <v>54</v>
      </c>
      <c r="S353" t="s">
        <v>54</v>
      </c>
      <c r="T353" s="11" t="s">
        <v>247</v>
      </c>
      <c r="U353" t="s">
        <v>79</v>
      </c>
      <c r="V353" t="s">
        <v>306</v>
      </c>
      <c r="W353" t="s">
        <v>79</v>
      </c>
      <c r="Z353" t="s">
        <v>101</v>
      </c>
      <c r="AA353" t="s">
        <v>62</v>
      </c>
      <c r="AB353">
        <v>1</v>
      </c>
      <c r="AD353" t="s">
        <v>63</v>
      </c>
      <c r="AG353" t="s">
        <v>54</v>
      </c>
      <c r="AH353" t="s">
        <v>65</v>
      </c>
      <c r="AI353" t="s">
        <v>248</v>
      </c>
      <c r="AJ353" t="s">
        <v>54</v>
      </c>
      <c r="AK353" t="s">
        <v>2635</v>
      </c>
      <c r="AL353" t="s">
        <v>2636</v>
      </c>
      <c r="AN353" s="19">
        <f>IF(ISBLANK(Mentors[[#This Row],[Onboarded Date]]),"",Mentors[[#This Row],[Onboarded Date]]-WEEKDAY(Mentors[[#This Row],[Onboarded Date]],2)+1)</f>
        <v>45656</v>
      </c>
    </row>
    <row r="354" spans="1:40" ht="19.2" customHeight="1" x14ac:dyDescent="0.3">
      <c r="A354" t="s">
        <v>2637</v>
      </c>
      <c r="B354" t="s">
        <v>1461</v>
      </c>
      <c r="C354" t="s">
        <v>2638</v>
      </c>
      <c r="D354" s="24" t="s">
        <v>2639</v>
      </c>
      <c r="E354" t="s">
        <v>2640</v>
      </c>
      <c r="F354">
        <v>2012</v>
      </c>
      <c r="G354">
        <f>IF(OR(Mentors[[#This Row],[Career Start Year]]="NA",ISBLANK(Mentors[[#This Row],[Career Start Year]])),"",2026 - Mentors[[#This Row],[Career Start Year]])</f>
        <v>14</v>
      </c>
      <c r="H35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354" t="s">
        <v>51</v>
      </c>
      <c r="J354" t="s">
        <v>280</v>
      </c>
      <c r="K354" t="s">
        <v>2641</v>
      </c>
      <c r="L354" s="17">
        <v>9427791429</v>
      </c>
      <c r="M354" s="19">
        <v>45658</v>
      </c>
      <c r="O354" t="s">
        <v>0</v>
      </c>
      <c r="Q354" t="s">
        <v>54</v>
      </c>
      <c r="R354" t="s">
        <v>63</v>
      </c>
      <c r="S354" t="s">
        <v>54</v>
      </c>
      <c r="T354" t="s">
        <v>76</v>
      </c>
      <c r="U354" t="s">
        <v>99</v>
      </c>
      <c r="V354" t="s">
        <v>78</v>
      </c>
      <c r="W354" t="s">
        <v>57</v>
      </c>
      <c r="X354" t="s">
        <v>59</v>
      </c>
      <c r="Z354" t="s">
        <v>61</v>
      </c>
      <c r="AA354" t="s">
        <v>62</v>
      </c>
      <c r="AB354">
        <v>1</v>
      </c>
      <c r="AD354" t="s">
        <v>63</v>
      </c>
      <c r="AG354" t="s">
        <v>54</v>
      </c>
      <c r="AH354" t="s">
        <v>131</v>
      </c>
      <c r="AI354" t="s">
        <v>76</v>
      </c>
      <c r="AJ354" t="s">
        <v>54</v>
      </c>
      <c r="AK354" t="s">
        <v>2642</v>
      </c>
      <c r="AL354" t="s">
        <v>2643</v>
      </c>
      <c r="AN354" s="19">
        <f>IF(ISBLANK(Mentors[[#This Row],[Onboarded Date]]),"",Mentors[[#This Row],[Onboarded Date]]-WEEKDAY(Mentors[[#This Row],[Onboarded Date]],2)+1)</f>
        <v>45656</v>
      </c>
    </row>
    <row r="355" spans="1:40" ht="19.2" customHeight="1" x14ac:dyDescent="0.3">
      <c r="A355" t="s">
        <v>2644</v>
      </c>
      <c r="B355" t="s">
        <v>358</v>
      </c>
      <c r="C355" t="s">
        <v>2645</v>
      </c>
      <c r="D355" s="24" t="s">
        <v>2646</v>
      </c>
      <c r="E355" t="s">
        <v>2647</v>
      </c>
      <c r="F355">
        <v>2001</v>
      </c>
      <c r="G355">
        <f>IF(OR(Mentors[[#This Row],[Career Start Year]]="NA",ISBLANK(Mentors[[#This Row],[Career Start Year]])),"",2026 - Mentors[[#This Row],[Career Start Year]])</f>
        <v>25</v>
      </c>
      <c r="H35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55" t="s">
        <v>51</v>
      </c>
      <c r="J355" t="s">
        <v>2648</v>
      </c>
      <c r="K355" t="s">
        <v>2649</v>
      </c>
      <c r="L355" s="17">
        <v>9448150146</v>
      </c>
      <c r="M355" s="19">
        <v>45658</v>
      </c>
      <c r="N355" t="s">
        <v>10</v>
      </c>
      <c r="O355" t="s">
        <v>0</v>
      </c>
      <c r="Q355" t="s">
        <v>54</v>
      </c>
      <c r="R355" t="s">
        <v>54</v>
      </c>
      <c r="S355" t="s">
        <v>54</v>
      </c>
      <c r="T355" s="11" t="s">
        <v>247</v>
      </c>
      <c r="U355" t="s">
        <v>79</v>
      </c>
      <c r="V355" t="s">
        <v>306</v>
      </c>
      <c r="W355" t="s">
        <v>79</v>
      </c>
      <c r="Z355" t="s">
        <v>61</v>
      </c>
      <c r="AA355" t="s">
        <v>62</v>
      </c>
      <c r="AB355">
        <v>1</v>
      </c>
      <c r="AD355" t="s">
        <v>63</v>
      </c>
      <c r="AG355" t="s">
        <v>54</v>
      </c>
      <c r="AH355" t="s">
        <v>131</v>
      </c>
      <c r="AI355" t="s">
        <v>248</v>
      </c>
      <c r="AJ355" t="s">
        <v>54</v>
      </c>
      <c r="AK355" t="s">
        <v>2650</v>
      </c>
      <c r="AL355" t="s">
        <v>2651</v>
      </c>
      <c r="AN355" s="19">
        <f>IF(ISBLANK(Mentors[[#This Row],[Onboarded Date]]),"",Mentors[[#This Row],[Onboarded Date]]-WEEKDAY(Mentors[[#This Row],[Onboarded Date]],2)+1)</f>
        <v>45656</v>
      </c>
    </row>
    <row r="356" spans="1:40" ht="19.2" customHeight="1" x14ac:dyDescent="0.3">
      <c r="A356" t="s">
        <v>2652</v>
      </c>
      <c r="B356" t="s">
        <v>2653</v>
      </c>
      <c r="C356" t="s">
        <v>2654</v>
      </c>
      <c r="D356" s="24" t="s">
        <v>2655</v>
      </c>
      <c r="E356" t="s">
        <v>2656</v>
      </c>
      <c r="F356">
        <v>2004</v>
      </c>
      <c r="G356">
        <f>IF(OR(Mentors[[#This Row],[Career Start Year]]="NA",ISBLANK(Mentors[[#This Row],[Career Start Year]])),"",2026 - Mentors[[#This Row],[Career Start Year]])</f>
        <v>22</v>
      </c>
      <c r="H35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56" t="s">
        <v>51</v>
      </c>
      <c r="J356" t="s">
        <v>389</v>
      </c>
      <c r="K356" t="s">
        <v>2657</v>
      </c>
      <c r="L356" s="17">
        <v>9650064469</v>
      </c>
      <c r="M356" s="19">
        <v>45658</v>
      </c>
      <c r="O356" t="s">
        <v>0</v>
      </c>
      <c r="Q356" t="s">
        <v>54</v>
      </c>
      <c r="R356" t="s">
        <v>54</v>
      </c>
      <c r="S356" t="s">
        <v>54</v>
      </c>
      <c r="T356" t="s">
        <v>77</v>
      </c>
      <c r="U356" t="s">
        <v>65</v>
      </c>
      <c r="V356" t="s">
        <v>57</v>
      </c>
      <c r="W356" t="s">
        <v>79</v>
      </c>
      <c r="Z356" t="s">
        <v>61</v>
      </c>
      <c r="AA356" t="s">
        <v>62</v>
      </c>
      <c r="AB356">
        <v>1</v>
      </c>
      <c r="AD356" t="s">
        <v>54</v>
      </c>
      <c r="AG356" t="s">
        <v>54</v>
      </c>
      <c r="AH356" t="s">
        <v>131</v>
      </c>
      <c r="AI356" t="s">
        <v>1064</v>
      </c>
      <c r="AJ356" t="s">
        <v>54</v>
      </c>
      <c r="AK356" t="s">
        <v>2658</v>
      </c>
      <c r="AL356" t="s">
        <v>2659</v>
      </c>
      <c r="AN356" s="19">
        <f>IF(ISBLANK(Mentors[[#This Row],[Onboarded Date]]),"",Mentors[[#This Row],[Onboarded Date]]-WEEKDAY(Mentors[[#This Row],[Onboarded Date]],2)+1)</f>
        <v>45656</v>
      </c>
    </row>
    <row r="357" spans="1:40" ht="19.2" customHeight="1" x14ac:dyDescent="0.3">
      <c r="A357" t="s">
        <v>2660</v>
      </c>
      <c r="B357" t="s">
        <v>2661</v>
      </c>
      <c r="C357" t="s">
        <v>2662</v>
      </c>
      <c r="D357" s="24" t="s">
        <v>2663</v>
      </c>
      <c r="E357" t="s">
        <v>2664</v>
      </c>
      <c r="F357">
        <v>2001</v>
      </c>
      <c r="G357">
        <f>IF(OR(Mentors[[#This Row],[Career Start Year]]="NA",ISBLANK(Mentors[[#This Row],[Career Start Year]])),"",2026 - Mentors[[#This Row],[Career Start Year]])</f>
        <v>25</v>
      </c>
      <c r="H35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57" t="s">
        <v>51</v>
      </c>
      <c r="J357" t="s">
        <v>196</v>
      </c>
      <c r="K357" t="s">
        <v>2665</v>
      </c>
      <c r="L357" s="17">
        <v>7021148641</v>
      </c>
      <c r="M357" s="19">
        <v>45658</v>
      </c>
      <c r="O357" t="s">
        <v>0</v>
      </c>
      <c r="Q357" t="s">
        <v>63</v>
      </c>
      <c r="R357" t="s">
        <v>63</v>
      </c>
      <c r="S357" t="s">
        <v>54</v>
      </c>
      <c r="T357" t="s">
        <v>76</v>
      </c>
      <c r="U357" t="s">
        <v>99</v>
      </c>
      <c r="V357" t="s">
        <v>57</v>
      </c>
      <c r="W357" t="s">
        <v>198</v>
      </c>
      <c r="X357" t="s">
        <v>80</v>
      </c>
      <c r="Y357" t="s">
        <v>59</v>
      </c>
      <c r="Z357" t="s">
        <v>61</v>
      </c>
      <c r="AA357" t="s">
        <v>62</v>
      </c>
      <c r="AB357">
        <v>1</v>
      </c>
      <c r="AD357" t="s">
        <v>63</v>
      </c>
      <c r="AG357" t="s">
        <v>54</v>
      </c>
      <c r="AH357" t="s">
        <v>215</v>
      </c>
      <c r="AI357" t="s">
        <v>412</v>
      </c>
      <c r="AJ357" t="s">
        <v>54</v>
      </c>
      <c r="AK357" t="s">
        <v>2666</v>
      </c>
      <c r="AL357" t="s">
        <v>2667</v>
      </c>
      <c r="AN357" s="19">
        <f>IF(ISBLANK(Mentors[[#This Row],[Onboarded Date]]),"",Mentors[[#This Row],[Onboarded Date]]-WEEKDAY(Mentors[[#This Row],[Onboarded Date]],2)+1)</f>
        <v>45656</v>
      </c>
    </row>
    <row r="358" spans="1:40" ht="19.2" customHeight="1" x14ac:dyDescent="0.3">
      <c r="A358" t="s">
        <v>2668</v>
      </c>
      <c r="B358" t="s">
        <v>2669</v>
      </c>
      <c r="C358" t="s">
        <v>2670</v>
      </c>
      <c r="D358" s="24" t="s">
        <v>2671</v>
      </c>
      <c r="E358" t="s">
        <v>2672</v>
      </c>
      <c r="F358">
        <v>2020</v>
      </c>
      <c r="G358">
        <f>IF(OR(Mentors[[#This Row],[Career Start Year]]="NA",ISBLANK(Mentors[[#This Row],[Career Start Year]])),"",2026 - Mentors[[#This Row],[Career Start Year]])</f>
        <v>6</v>
      </c>
      <c r="H35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358" t="s">
        <v>51</v>
      </c>
      <c r="J358" t="s">
        <v>52</v>
      </c>
      <c r="K358" t="s">
        <v>2673</v>
      </c>
      <c r="L358" s="17">
        <v>9833341818</v>
      </c>
      <c r="M358" s="19">
        <v>45658</v>
      </c>
      <c r="O358" t="s">
        <v>0</v>
      </c>
      <c r="Q358" t="s">
        <v>54</v>
      </c>
      <c r="R358" t="s">
        <v>63</v>
      </c>
      <c r="S358" t="s">
        <v>54</v>
      </c>
      <c r="T358" t="s">
        <v>77</v>
      </c>
      <c r="U358" t="s">
        <v>65</v>
      </c>
      <c r="V358" t="s">
        <v>57</v>
      </c>
      <c r="W358" t="s">
        <v>79</v>
      </c>
      <c r="X358" t="s">
        <v>59</v>
      </c>
      <c r="Y358" t="s">
        <v>80</v>
      </c>
      <c r="Z358" t="s">
        <v>61</v>
      </c>
      <c r="AA358" t="s">
        <v>62</v>
      </c>
      <c r="AB358">
        <v>1</v>
      </c>
      <c r="AD358" t="s">
        <v>63</v>
      </c>
      <c r="AG358" t="s">
        <v>54</v>
      </c>
      <c r="AH358" t="s">
        <v>131</v>
      </c>
      <c r="AI358" t="s">
        <v>248</v>
      </c>
      <c r="AJ358" t="s">
        <v>54</v>
      </c>
      <c r="AK358" t="s">
        <v>2674</v>
      </c>
      <c r="AL358" t="s">
        <v>2675</v>
      </c>
      <c r="AN358" s="19">
        <f>IF(ISBLANK(Mentors[[#This Row],[Onboarded Date]]),"",Mentors[[#This Row],[Onboarded Date]]-WEEKDAY(Mentors[[#This Row],[Onboarded Date]],2)+1)</f>
        <v>45656</v>
      </c>
    </row>
    <row r="359" spans="1:40" ht="19.2" customHeight="1" x14ac:dyDescent="0.3">
      <c r="A359" t="s">
        <v>2676</v>
      </c>
      <c r="B359" t="s">
        <v>396</v>
      </c>
      <c r="C359" t="s">
        <v>2677</v>
      </c>
      <c r="D359" s="24" t="s">
        <v>2678</v>
      </c>
      <c r="E359" t="s">
        <v>2679</v>
      </c>
      <c r="F359">
        <v>2006</v>
      </c>
      <c r="G359">
        <f>IF(OR(Mentors[[#This Row],[Career Start Year]]="NA",ISBLANK(Mentors[[#This Row],[Career Start Year]])),"",2026 - Mentors[[#This Row],[Career Start Year]])</f>
        <v>20</v>
      </c>
      <c r="H35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59" t="s">
        <v>51</v>
      </c>
      <c r="J359" t="s">
        <v>196</v>
      </c>
      <c r="K359" t="s">
        <v>2680</v>
      </c>
      <c r="L359" s="17">
        <v>9900461217</v>
      </c>
      <c r="M359" s="19">
        <v>45658</v>
      </c>
      <c r="O359" t="s">
        <v>0</v>
      </c>
      <c r="Q359" t="s">
        <v>63</v>
      </c>
      <c r="R359" t="s">
        <v>63</v>
      </c>
      <c r="S359" t="s">
        <v>63</v>
      </c>
      <c r="T359" t="s">
        <v>77</v>
      </c>
      <c r="U359" t="s">
        <v>99</v>
      </c>
      <c r="V359" t="s">
        <v>198</v>
      </c>
      <c r="W359" t="s">
        <v>256</v>
      </c>
      <c r="X359" t="s">
        <v>59</v>
      </c>
      <c r="Z359" t="s">
        <v>61</v>
      </c>
      <c r="AA359" t="s">
        <v>62</v>
      </c>
      <c r="AB359">
        <v>1</v>
      </c>
      <c r="AD359" t="s">
        <v>54</v>
      </c>
      <c r="AE359" t="s">
        <v>63</v>
      </c>
      <c r="AF359" t="s">
        <v>64</v>
      </c>
      <c r="AG359" t="s">
        <v>54</v>
      </c>
      <c r="AH359" t="s">
        <v>152</v>
      </c>
      <c r="AI359" t="s">
        <v>248</v>
      </c>
      <c r="AJ359" t="s">
        <v>54</v>
      </c>
      <c r="AK359" t="s">
        <v>2681</v>
      </c>
      <c r="AL359" t="s">
        <v>2682</v>
      </c>
      <c r="AN359" s="19">
        <f>IF(ISBLANK(Mentors[[#This Row],[Onboarded Date]]),"",Mentors[[#This Row],[Onboarded Date]]-WEEKDAY(Mentors[[#This Row],[Onboarded Date]],2)+1)</f>
        <v>45656</v>
      </c>
    </row>
    <row r="360" spans="1:40" ht="19.2" customHeight="1" x14ac:dyDescent="0.3">
      <c r="A360" t="s">
        <v>2683</v>
      </c>
      <c r="B360" t="s">
        <v>2684</v>
      </c>
      <c r="C360" t="s">
        <v>2685</v>
      </c>
      <c r="D360" s="24" t="s">
        <v>2686</v>
      </c>
      <c r="E360" t="s">
        <v>2687</v>
      </c>
      <c r="F360">
        <v>2006</v>
      </c>
      <c r="G360">
        <f>IF(OR(Mentors[[#This Row],[Career Start Year]]="NA",ISBLANK(Mentors[[#This Row],[Career Start Year]])),"",2026 - Mentors[[#This Row],[Career Start Year]])</f>
        <v>20</v>
      </c>
      <c r="H36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60" t="s">
        <v>51</v>
      </c>
      <c r="J360" t="s">
        <v>2688</v>
      </c>
      <c r="K360" t="s">
        <v>2689</v>
      </c>
      <c r="L360" s="17">
        <v>9582931974</v>
      </c>
      <c r="M360" s="19">
        <v>45658</v>
      </c>
      <c r="O360" t="s">
        <v>0</v>
      </c>
      <c r="Q360" t="s">
        <v>54</v>
      </c>
      <c r="R360" t="s">
        <v>54</v>
      </c>
      <c r="S360" t="s">
        <v>54</v>
      </c>
      <c r="T360" t="s">
        <v>77</v>
      </c>
      <c r="U360" t="s">
        <v>99</v>
      </c>
      <c r="V360" t="s">
        <v>78</v>
      </c>
      <c r="W360" t="s">
        <v>79</v>
      </c>
      <c r="X360" t="s">
        <v>59</v>
      </c>
      <c r="Z360" t="s">
        <v>61</v>
      </c>
      <c r="AA360" t="s">
        <v>62</v>
      </c>
      <c r="AB360">
        <v>1</v>
      </c>
      <c r="AD360" t="s">
        <v>63</v>
      </c>
      <c r="AG360" t="s">
        <v>54</v>
      </c>
      <c r="AH360" t="s">
        <v>65</v>
      </c>
      <c r="AI360" t="s">
        <v>248</v>
      </c>
      <c r="AJ360" t="s">
        <v>54</v>
      </c>
      <c r="AK360" t="s">
        <v>2690</v>
      </c>
      <c r="AL360" t="s">
        <v>2691</v>
      </c>
      <c r="AN360" s="19">
        <f>IF(ISBLANK(Mentors[[#This Row],[Onboarded Date]]),"",Mentors[[#This Row],[Onboarded Date]]-WEEKDAY(Mentors[[#This Row],[Onboarded Date]],2)+1)</f>
        <v>45656</v>
      </c>
    </row>
    <row r="361" spans="1:40" ht="19.2" customHeight="1" x14ac:dyDescent="0.3">
      <c r="A361" t="s">
        <v>2692</v>
      </c>
      <c r="B361" t="s">
        <v>2693</v>
      </c>
      <c r="C361" t="s">
        <v>2694</v>
      </c>
      <c r="D361" s="24" t="s">
        <v>2695</v>
      </c>
      <c r="E361" t="s">
        <v>2696</v>
      </c>
      <c r="F361">
        <v>2007</v>
      </c>
      <c r="G361">
        <f>IF(OR(Mentors[[#This Row],[Career Start Year]]="NA",ISBLANK(Mentors[[#This Row],[Career Start Year]])),"",2026 - Mentors[[#This Row],[Career Start Year]])</f>
        <v>19</v>
      </c>
      <c r="H36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61" t="s">
        <v>51</v>
      </c>
      <c r="J361" t="s">
        <v>88</v>
      </c>
      <c r="K361" t="s">
        <v>2697</v>
      </c>
      <c r="L361" s="17">
        <v>9966982130</v>
      </c>
      <c r="M361" s="19">
        <v>45658</v>
      </c>
      <c r="O361" s="5" t="s">
        <v>0</v>
      </c>
      <c r="Q361" t="s">
        <v>54</v>
      </c>
      <c r="R361" t="s">
        <v>54</v>
      </c>
      <c r="S361" t="s">
        <v>54</v>
      </c>
      <c r="T361" t="s">
        <v>56</v>
      </c>
      <c r="U361" t="s">
        <v>187</v>
      </c>
      <c r="V361" t="s">
        <v>78</v>
      </c>
      <c r="W361" t="s">
        <v>57</v>
      </c>
      <c r="Z361" t="s">
        <v>61</v>
      </c>
      <c r="AA361" t="s">
        <v>62</v>
      </c>
      <c r="AB361">
        <v>1</v>
      </c>
      <c r="AD361" t="s">
        <v>54</v>
      </c>
      <c r="AG361" t="s">
        <v>54</v>
      </c>
      <c r="AH361" t="s">
        <v>65</v>
      </c>
      <c r="AI361" t="s">
        <v>132</v>
      </c>
      <c r="AJ361" t="s">
        <v>54</v>
      </c>
      <c r="AK361" t="s">
        <v>2698</v>
      </c>
      <c r="AL361" t="s">
        <v>2699</v>
      </c>
      <c r="AN361" s="19">
        <f>IF(ISBLANK(Mentors[[#This Row],[Onboarded Date]]),"",Mentors[[#This Row],[Onboarded Date]]-WEEKDAY(Mentors[[#This Row],[Onboarded Date]],2)+1)</f>
        <v>45656</v>
      </c>
    </row>
    <row r="362" spans="1:40" ht="19.2" customHeight="1" x14ac:dyDescent="0.3">
      <c r="A362" t="s">
        <v>2700</v>
      </c>
      <c r="B362" t="s">
        <v>2701</v>
      </c>
      <c r="C362" t="s">
        <v>2702</v>
      </c>
      <c r="D362" s="24" t="s">
        <v>2703</v>
      </c>
      <c r="E362" t="s">
        <v>2704</v>
      </c>
      <c r="F362">
        <v>2003</v>
      </c>
      <c r="G362">
        <f>IF(OR(Mentors[[#This Row],[Career Start Year]]="NA",ISBLANK(Mentors[[#This Row],[Career Start Year]])),"",2026 - Mentors[[#This Row],[Career Start Year]])</f>
        <v>23</v>
      </c>
      <c r="H36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62" t="s">
        <v>51</v>
      </c>
      <c r="J362" t="s">
        <v>52</v>
      </c>
      <c r="K362" t="s">
        <v>2705</v>
      </c>
      <c r="L362" s="17">
        <v>9980355334</v>
      </c>
      <c r="M362" s="19">
        <v>45658</v>
      </c>
      <c r="O362" s="5" t="s">
        <v>0</v>
      </c>
      <c r="Q362" t="s">
        <v>54</v>
      </c>
      <c r="R362" t="s">
        <v>63</v>
      </c>
      <c r="S362" t="s">
        <v>54</v>
      </c>
      <c r="T362" t="s">
        <v>77</v>
      </c>
      <c r="U362" t="s">
        <v>100</v>
      </c>
      <c r="V362" t="s">
        <v>58</v>
      </c>
      <c r="W362" t="s">
        <v>421</v>
      </c>
      <c r="X362" t="s">
        <v>59</v>
      </c>
      <c r="Z362" t="s">
        <v>61</v>
      </c>
      <c r="AA362" t="s">
        <v>62</v>
      </c>
      <c r="AB362">
        <v>1</v>
      </c>
      <c r="AD362" t="s">
        <v>63</v>
      </c>
      <c r="AG362" t="s">
        <v>54</v>
      </c>
      <c r="AH362" t="s">
        <v>65</v>
      </c>
      <c r="AI362" t="s">
        <v>248</v>
      </c>
      <c r="AJ362" t="s">
        <v>54</v>
      </c>
      <c r="AK362" t="s">
        <v>2706</v>
      </c>
      <c r="AL362" t="s">
        <v>2707</v>
      </c>
      <c r="AN362" s="19">
        <f>IF(ISBLANK(Mentors[[#This Row],[Onboarded Date]]),"",Mentors[[#This Row],[Onboarded Date]]-WEEKDAY(Mentors[[#This Row],[Onboarded Date]],2)+1)</f>
        <v>45656</v>
      </c>
    </row>
    <row r="363" spans="1:40" ht="19.2" customHeight="1" x14ac:dyDescent="0.3">
      <c r="A363" t="s">
        <v>2708</v>
      </c>
      <c r="B363" t="s">
        <v>2709</v>
      </c>
      <c r="C363" t="s">
        <v>2710</v>
      </c>
      <c r="D363" s="24" t="s">
        <v>2711</v>
      </c>
      <c r="E363" t="s">
        <v>2712</v>
      </c>
      <c r="F363">
        <v>2006</v>
      </c>
      <c r="G363">
        <f>IF(OR(Mentors[[#This Row],[Career Start Year]]="NA",ISBLANK(Mentors[[#This Row],[Career Start Year]])),"",2026 - Mentors[[#This Row],[Career Start Year]])</f>
        <v>20</v>
      </c>
      <c r="H36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63" t="s">
        <v>51</v>
      </c>
      <c r="J363" t="s">
        <v>999</v>
      </c>
      <c r="K363" t="s">
        <v>2713</v>
      </c>
      <c r="L363" s="17">
        <v>9229215303</v>
      </c>
      <c r="M363" s="19">
        <v>45658</v>
      </c>
      <c r="O363" s="5" t="s">
        <v>0</v>
      </c>
      <c r="Q363" t="s">
        <v>54</v>
      </c>
      <c r="R363" t="s">
        <v>54</v>
      </c>
      <c r="S363" t="s">
        <v>54</v>
      </c>
      <c r="T363" t="s">
        <v>56</v>
      </c>
      <c r="U363" t="s">
        <v>167</v>
      </c>
      <c r="V363" t="s">
        <v>78</v>
      </c>
      <c r="W363" t="s">
        <v>57</v>
      </c>
      <c r="X363" t="s">
        <v>80</v>
      </c>
      <c r="Y363" t="s">
        <v>59</v>
      </c>
      <c r="Z363" t="s">
        <v>61</v>
      </c>
      <c r="AA363" t="s">
        <v>62</v>
      </c>
      <c r="AB363">
        <v>1</v>
      </c>
      <c r="AD363" t="s">
        <v>54</v>
      </c>
      <c r="AG363" t="s">
        <v>54</v>
      </c>
      <c r="AH363" t="s">
        <v>65</v>
      </c>
      <c r="AI363" t="s">
        <v>132</v>
      </c>
      <c r="AJ363" t="s">
        <v>54</v>
      </c>
      <c r="AK363" t="s">
        <v>2714</v>
      </c>
      <c r="AL363" t="s">
        <v>1475</v>
      </c>
      <c r="AN363" s="19">
        <f>IF(ISBLANK(Mentors[[#This Row],[Onboarded Date]]),"",Mentors[[#This Row],[Onboarded Date]]-WEEKDAY(Mentors[[#This Row],[Onboarded Date]],2)+1)</f>
        <v>45656</v>
      </c>
    </row>
    <row r="364" spans="1:40" ht="19.2" customHeight="1" x14ac:dyDescent="0.3">
      <c r="A364" t="s">
        <v>2715</v>
      </c>
      <c r="B364" t="s">
        <v>260</v>
      </c>
      <c r="C364" t="s">
        <v>2716</v>
      </c>
      <c r="D364" s="24" t="s">
        <v>2717</v>
      </c>
      <c r="E364" t="s">
        <v>2718</v>
      </c>
      <c r="F364">
        <v>1992</v>
      </c>
      <c r="G364">
        <f>IF(OR(Mentors[[#This Row],[Career Start Year]]="NA",ISBLANK(Mentors[[#This Row],[Career Start Year]])),"",2026 - Mentors[[#This Row],[Career Start Year]])</f>
        <v>34</v>
      </c>
      <c r="H36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64" t="s">
        <v>51</v>
      </c>
      <c r="J364" t="s">
        <v>88</v>
      </c>
      <c r="K364" t="s">
        <v>2719</v>
      </c>
      <c r="L364" s="17">
        <v>9000278000</v>
      </c>
      <c r="M364" s="19">
        <v>45658</v>
      </c>
      <c r="O364" s="5" t="s">
        <v>0</v>
      </c>
      <c r="Q364" t="s">
        <v>63</v>
      </c>
      <c r="R364" t="s">
        <v>63</v>
      </c>
      <c r="S364" t="s">
        <v>63</v>
      </c>
      <c r="T364" s="4" t="s">
        <v>756</v>
      </c>
      <c r="U364" t="s">
        <v>187</v>
      </c>
      <c r="V364" t="s">
        <v>77</v>
      </c>
      <c r="W364" t="s">
        <v>58</v>
      </c>
      <c r="X364" t="s">
        <v>59</v>
      </c>
      <c r="Z364" t="s">
        <v>61</v>
      </c>
      <c r="AA364" t="s">
        <v>62</v>
      </c>
      <c r="AB364">
        <v>1</v>
      </c>
      <c r="AD364" t="s">
        <v>63</v>
      </c>
      <c r="AE364" t="s">
        <v>63</v>
      </c>
      <c r="AG364" t="s">
        <v>54</v>
      </c>
      <c r="AH364" t="s">
        <v>152</v>
      </c>
      <c r="AI364" t="s">
        <v>412</v>
      </c>
      <c r="AJ364" t="s">
        <v>54</v>
      </c>
      <c r="AK364" t="s">
        <v>2720</v>
      </c>
      <c r="AL364" t="s">
        <v>2721</v>
      </c>
      <c r="AN364" s="19">
        <f>IF(ISBLANK(Mentors[[#This Row],[Onboarded Date]]),"",Mentors[[#This Row],[Onboarded Date]]-WEEKDAY(Mentors[[#This Row],[Onboarded Date]],2)+1)</f>
        <v>45656</v>
      </c>
    </row>
    <row r="365" spans="1:40" ht="19.2" customHeight="1" x14ac:dyDescent="0.3">
      <c r="A365" t="s">
        <v>2722</v>
      </c>
      <c r="D365" s="24" t="s">
        <v>2723</v>
      </c>
      <c r="E365" t="s">
        <v>2724</v>
      </c>
      <c r="F365">
        <v>2015</v>
      </c>
      <c r="G365">
        <f>IF(OR(Mentors[[#This Row],[Career Start Year]]="NA",ISBLANK(Mentors[[#This Row],[Career Start Year]])),"",2026 - Mentors[[#This Row],[Career Start Year]])</f>
        <v>11</v>
      </c>
      <c r="H36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365" t="s">
        <v>51</v>
      </c>
      <c r="J365" t="s">
        <v>2725</v>
      </c>
      <c r="K365" t="s">
        <v>2726</v>
      </c>
      <c r="L365" s="17">
        <v>9884928432</v>
      </c>
      <c r="M365" s="19">
        <v>45658</v>
      </c>
      <c r="N365" t="s">
        <v>10</v>
      </c>
      <c r="O365" t="s">
        <v>0</v>
      </c>
      <c r="Q365" t="s">
        <v>54</v>
      </c>
      <c r="R365" t="s">
        <v>54</v>
      </c>
      <c r="S365" t="s">
        <v>54</v>
      </c>
      <c r="T365" s="11" t="s">
        <v>247</v>
      </c>
      <c r="U365" t="s">
        <v>77</v>
      </c>
      <c r="V365" t="s">
        <v>306</v>
      </c>
      <c r="W365" t="s">
        <v>79</v>
      </c>
      <c r="Z365" t="s">
        <v>61</v>
      </c>
      <c r="AA365" t="s">
        <v>62</v>
      </c>
      <c r="AB365">
        <v>1</v>
      </c>
      <c r="AD365" t="s">
        <v>63</v>
      </c>
      <c r="AG365" t="s">
        <v>54</v>
      </c>
      <c r="AH365" t="s">
        <v>65</v>
      </c>
      <c r="AI365" t="s">
        <v>248</v>
      </c>
      <c r="AJ365" t="s">
        <v>54</v>
      </c>
      <c r="AK365" t="s">
        <v>2727</v>
      </c>
      <c r="AL365" t="s">
        <v>2728</v>
      </c>
      <c r="AN365" s="19">
        <f>IF(ISBLANK(Mentors[[#This Row],[Onboarded Date]]),"",Mentors[[#This Row],[Onboarded Date]]-WEEKDAY(Mentors[[#This Row],[Onboarded Date]],2)+1)</f>
        <v>45656</v>
      </c>
    </row>
    <row r="366" spans="1:40" ht="19.2" customHeight="1" x14ac:dyDescent="0.3">
      <c r="A366" t="s">
        <v>2729</v>
      </c>
      <c r="B366" t="s">
        <v>1681</v>
      </c>
      <c r="C366" t="s">
        <v>2730</v>
      </c>
      <c r="D366" s="24" t="s">
        <v>2731</v>
      </c>
      <c r="E366" t="s">
        <v>2732</v>
      </c>
      <c r="F366">
        <v>2012</v>
      </c>
      <c r="G366">
        <f>IF(OR(Mentors[[#This Row],[Career Start Year]]="NA",ISBLANK(Mentors[[#This Row],[Career Start Year]])),"",2026 - Mentors[[#This Row],[Career Start Year]])</f>
        <v>14</v>
      </c>
      <c r="H36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366" t="s">
        <v>51</v>
      </c>
      <c r="J366" t="s">
        <v>2733</v>
      </c>
      <c r="K366" t="s">
        <v>2734</v>
      </c>
      <c r="L366" s="17">
        <v>8755069065</v>
      </c>
      <c r="M366" s="19">
        <v>45658</v>
      </c>
      <c r="N366" t="s">
        <v>10</v>
      </c>
      <c r="O366" t="s">
        <v>0</v>
      </c>
      <c r="Q366" t="s">
        <v>54</v>
      </c>
      <c r="R366" t="s">
        <v>54</v>
      </c>
      <c r="S366" t="s">
        <v>54</v>
      </c>
      <c r="T366" s="11" t="s">
        <v>247</v>
      </c>
      <c r="U366" t="s">
        <v>77</v>
      </c>
      <c r="V366" t="s">
        <v>78</v>
      </c>
      <c r="W366" t="s">
        <v>79</v>
      </c>
      <c r="X366" t="s">
        <v>80</v>
      </c>
      <c r="Z366" t="s">
        <v>101</v>
      </c>
      <c r="AA366" t="s">
        <v>62</v>
      </c>
      <c r="AB366">
        <v>1</v>
      </c>
      <c r="AD366" t="s">
        <v>63</v>
      </c>
      <c r="AG366" t="s">
        <v>54</v>
      </c>
      <c r="AH366" t="s">
        <v>65</v>
      </c>
      <c r="AI366" t="s">
        <v>248</v>
      </c>
      <c r="AJ366" t="s">
        <v>54</v>
      </c>
      <c r="AK366" t="s">
        <v>2735</v>
      </c>
      <c r="AL366" t="s">
        <v>2736</v>
      </c>
      <c r="AN366" s="19">
        <f>IF(ISBLANK(Mentors[[#This Row],[Onboarded Date]]),"",Mentors[[#This Row],[Onboarded Date]]-WEEKDAY(Mentors[[#This Row],[Onboarded Date]],2)+1)</f>
        <v>45656</v>
      </c>
    </row>
    <row r="367" spans="1:40" ht="19.2" customHeight="1" x14ac:dyDescent="0.3">
      <c r="A367" t="s">
        <v>2737</v>
      </c>
      <c r="B367" t="s">
        <v>2738</v>
      </c>
      <c r="C367" t="s">
        <v>2739</v>
      </c>
      <c r="D367" s="24" t="s">
        <v>2740</v>
      </c>
      <c r="E367" t="s">
        <v>2741</v>
      </c>
      <c r="F367">
        <v>2003</v>
      </c>
      <c r="G367">
        <f>IF(OR(Mentors[[#This Row],[Career Start Year]]="NA",ISBLANK(Mentors[[#This Row],[Career Start Year]])),"",2026 - Mentors[[#This Row],[Career Start Year]])</f>
        <v>23</v>
      </c>
      <c r="H36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67" t="s">
        <v>51</v>
      </c>
      <c r="J367" t="s">
        <v>1001</v>
      </c>
      <c r="K367" t="s">
        <v>2742</v>
      </c>
      <c r="L367" s="17">
        <v>9231040026</v>
      </c>
      <c r="M367" s="19">
        <v>45658</v>
      </c>
      <c r="N367" t="s">
        <v>10</v>
      </c>
      <c r="O367" t="s">
        <v>0</v>
      </c>
      <c r="Q367" t="s">
        <v>54</v>
      </c>
      <c r="R367" t="s">
        <v>54</v>
      </c>
      <c r="S367" t="s">
        <v>54</v>
      </c>
      <c r="T367" s="12" t="s">
        <v>56</v>
      </c>
      <c r="U367" t="s">
        <v>77</v>
      </c>
      <c r="V367" t="s">
        <v>57</v>
      </c>
      <c r="W367" t="s">
        <v>79</v>
      </c>
      <c r="Z367" t="s">
        <v>101</v>
      </c>
      <c r="AA367" t="s">
        <v>62</v>
      </c>
      <c r="AB367">
        <v>1</v>
      </c>
      <c r="AD367" t="s">
        <v>63</v>
      </c>
      <c r="AG367" t="s">
        <v>54</v>
      </c>
      <c r="AH367" t="s">
        <v>65</v>
      </c>
      <c r="AI367" t="s">
        <v>132</v>
      </c>
      <c r="AJ367" t="s">
        <v>54</v>
      </c>
      <c r="AK367" t="s">
        <v>2743</v>
      </c>
      <c r="AL367" t="s">
        <v>2744</v>
      </c>
      <c r="AN367" s="19">
        <f>IF(ISBLANK(Mentors[[#This Row],[Onboarded Date]]),"",Mentors[[#This Row],[Onboarded Date]]-WEEKDAY(Mentors[[#This Row],[Onboarded Date]],2)+1)</f>
        <v>45656</v>
      </c>
    </row>
    <row r="368" spans="1:40" ht="19.2" customHeight="1" x14ac:dyDescent="0.3">
      <c r="A368" t="s">
        <v>2745</v>
      </c>
      <c r="B368" t="s">
        <v>1681</v>
      </c>
      <c r="C368" t="s">
        <v>2746</v>
      </c>
      <c r="D368" s="24" t="s">
        <v>2747</v>
      </c>
      <c r="E368" t="s">
        <v>2748</v>
      </c>
      <c r="F368">
        <v>2006</v>
      </c>
      <c r="G368">
        <f>IF(OR(Mentors[[#This Row],[Career Start Year]]="NA",ISBLANK(Mentors[[#This Row],[Career Start Year]])),"",2026 - Mentors[[#This Row],[Career Start Year]])</f>
        <v>20</v>
      </c>
      <c r="H36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68" t="s">
        <v>51</v>
      </c>
      <c r="J368" t="s">
        <v>570</v>
      </c>
      <c r="K368" t="s">
        <v>2749</v>
      </c>
      <c r="L368" s="17">
        <v>9929356666</v>
      </c>
      <c r="M368" s="19">
        <v>45658</v>
      </c>
      <c r="N368" t="s">
        <v>10</v>
      </c>
      <c r="O368" t="s">
        <v>0</v>
      </c>
      <c r="Q368" t="s">
        <v>54</v>
      </c>
      <c r="R368" t="s">
        <v>54</v>
      </c>
      <c r="S368" t="s">
        <v>54</v>
      </c>
      <c r="T368" s="11" t="s">
        <v>247</v>
      </c>
      <c r="U368" t="s">
        <v>77</v>
      </c>
      <c r="V368" t="s">
        <v>78</v>
      </c>
      <c r="W368" t="s">
        <v>79</v>
      </c>
      <c r="X368" t="s">
        <v>80</v>
      </c>
      <c r="Y368" t="s">
        <v>59</v>
      </c>
      <c r="Z368" t="s">
        <v>61</v>
      </c>
      <c r="AA368" t="s">
        <v>62</v>
      </c>
      <c r="AB368">
        <v>1</v>
      </c>
      <c r="AD368" t="s">
        <v>63</v>
      </c>
      <c r="AG368" t="s">
        <v>54</v>
      </c>
      <c r="AH368" t="s">
        <v>65</v>
      </c>
      <c r="AI368" t="s">
        <v>248</v>
      </c>
      <c r="AJ368" t="s">
        <v>54</v>
      </c>
      <c r="AK368" t="s">
        <v>2750</v>
      </c>
      <c r="AL368" t="s">
        <v>1725</v>
      </c>
      <c r="AN368" s="19">
        <f>IF(ISBLANK(Mentors[[#This Row],[Onboarded Date]]),"",Mentors[[#This Row],[Onboarded Date]]-WEEKDAY(Mentors[[#This Row],[Onboarded Date]],2)+1)</f>
        <v>45656</v>
      </c>
    </row>
    <row r="369" spans="1:40" ht="19.2" customHeight="1" x14ac:dyDescent="0.3">
      <c r="A369" t="s">
        <v>2751</v>
      </c>
      <c r="B369" t="s">
        <v>1247</v>
      </c>
      <c r="C369" t="s">
        <v>2752</v>
      </c>
      <c r="D369" s="24" t="s">
        <v>2753</v>
      </c>
      <c r="E369" t="s">
        <v>2754</v>
      </c>
      <c r="F369">
        <v>2009</v>
      </c>
      <c r="G369">
        <f>IF(OR(Mentors[[#This Row],[Career Start Year]]="NA",ISBLANK(Mentors[[#This Row],[Career Start Year]])),"",2026 - Mentors[[#This Row],[Career Start Year]])</f>
        <v>17</v>
      </c>
      <c r="H36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69" t="s">
        <v>51</v>
      </c>
      <c r="J369" t="s">
        <v>314</v>
      </c>
      <c r="K369" t="s">
        <v>2755</v>
      </c>
      <c r="L369" s="17">
        <v>7550179197</v>
      </c>
      <c r="M369" s="19">
        <v>45658</v>
      </c>
      <c r="N369" t="s">
        <v>10</v>
      </c>
      <c r="O369" t="s">
        <v>0</v>
      </c>
      <c r="Q369" t="s">
        <v>54</v>
      </c>
      <c r="R369" t="s">
        <v>54</v>
      </c>
      <c r="S369" t="s">
        <v>54</v>
      </c>
      <c r="T369" s="11" t="s">
        <v>247</v>
      </c>
      <c r="U369" t="s">
        <v>77</v>
      </c>
      <c r="V369" t="s">
        <v>198</v>
      </c>
      <c r="W369" t="s">
        <v>79</v>
      </c>
      <c r="Z369" t="s">
        <v>101</v>
      </c>
      <c r="AA369" t="s">
        <v>62</v>
      </c>
      <c r="AB369">
        <v>1</v>
      </c>
      <c r="AD369" t="s">
        <v>63</v>
      </c>
      <c r="AG369" t="s">
        <v>54</v>
      </c>
      <c r="AH369" t="s">
        <v>65</v>
      </c>
      <c r="AI369" t="s">
        <v>248</v>
      </c>
      <c r="AJ369" t="s">
        <v>54</v>
      </c>
      <c r="AK369" t="s">
        <v>2756</v>
      </c>
      <c r="AL369" t="s">
        <v>2757</v>
      </c>
      <c r="AN369" s="19">
        <f>IF(ISBLANK(Mentors[[#This Row],[Onboarded Date]]),"",Mentors[[#This Row],[Onboarded Date]]-WEEKDAY(Mentors[[#This Row],[Onboarded Date]],2)+1)</f>
        <v>45656</v>
      </c>
    </row>
    <row r="370" spans="1:40" ht="19.2" customHeight="1" x14ac:dyDescent="0.3">
      <c r="A370" t="s">
        <v>2758</v>
      </c>
      <c r="B370" t="s">
        <v>2759</v>
      </c>
      <c r="C370" t="s">
        <v>2760</v>
      </c>
      <c r="D370" s="24" t="s">
        <v>2761</v>
      </c>
      <c r="E370" t="s">
        <v>2762</v>
      </c>
      <c r="F370">
        <v>2011</v>
      </c>
      <c r="G370">
        <f>IF(OR(Mentors[[#This Row],[Career Start Year]]="NA",ISBLANK(Mentors[[#This Row],[Career Start Year]])),"",2026 - Mentors[[#This Row],[Career Start Year]])</f>
        <v>15</v>
      </c>
      <c r="H37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370" t="s">
        <v>51</v>
      </c>
      <c r="J370" t="s">
        <v>52</v>
      </c>
      <c r="K370" t="s">
        <v>2763</v>
      </c>
      <c r="L370" s="17">
        <v>9890074741</v>
      </c>
      <c r="M370" s="19">
        <v>45658</v>
      </c>
      <c r="O370" t="s">
        <v>0</v>
      </c>
      <c r="Q370" t="s">
        <v>54</v>
      </c>
      <c r="R370" t="s">
        <v>63</v>
      </c>
      <c r="S370" t="s">
        <v>63</v>
      </c>
      <c r="T370" s="4" t="s">
        <v>756</v>
      </c>
      <c r="U370" t="s">
        <v>65</v>
      </c>
      <c r="V370" t="s">
        <v>120</v>
      </c>
      <c r="W370" t="s">
        <v>481</v>
      </c>
      <c r="X370" t="s">
        <v>59</v>
      </c>
      <c r="Z370" t="s">
        <v>61</v>
      </c>
      <c r="AA370" t="s">
        <v>62</v>
      </c>
      <c r="AB370">
        <v>1</v>
      </c>
      <c r="AD370" t="s">
        <v>54</v>
      </c>
      <c r="AE370" t="s">
        <v>54</v>
      </c>
      <c r="AF370" t="s">
        <v>64</v>
      </c>
      <c r="AG370" t="s">
        <v>54</v>
      </c>
      <c r="AH370" t="s">
        <v>131</v>
      </c>
      <c r="AI370" t="s">
        <v>412</v>
      </c>
      <c r="AJ370" t="s">
        <v>54</v>
      </c>
      <c r="AK370" t="s">
        <v>2764</v>
      </c>
      <c r="AL370" t="s">
        <v>2765</v>
      </c>
      <c r="AN370" s="19">
        <f>IF(ISBLANK(Mentors[[#This Row],[Onboarded Date]]),"",Mentors[[#This Row],[Onboarded Date]]-WEEKDAY(Mentors[[#This Row],[Onboarded Date]],2)+1)</f>
        <v>45656</v>
      </c>
    </row>
    <row r="371" spans="1:40" ht="19.2" customHeight="1" x14ac:dyDescent="0.3">
      <c r="A371" t="s">
        <v>2766</v>
      </c>
      <c r="B371" t="s">
        <v>2767</v>
      </c>
      <c r="C371" t="s">
        <v>2768</v>
      </c>
      <c r="D371" s="24" t="s">
        <v>2769</v>
      </c>
      <c r="E371" t="s">
        <v>2770</v>
      </c>
      <c r="F371">
        <v>1991</v>
      </c>
      <c r="G371">
        <f>IF(OR(Mentors[[#This Row],[Career Start Year]]="NA",ISBLANK(Mentors[[#This Row],[Career Start Year]])),"",2026 - Mentors[[#This Row],[Career Start Year]])</f>
        <v>35</v>
      </c>
      <c r="H37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71" t="s">
        <v>51</v>
      </c>
      <c r="J371" t="s">
        <v>52</v>
      </c>
      <c r="K371" t="s">
        <v>2771</v>
      </c>
      <c r="L371" s="17">
        <v>9595348400</v>
      </c>
      <c r="M371" s="19">
        <v>45658</v>
      </c>
      <c r="N371" t="s">
        <v>4</v>
      </c>
      <c r="O371" t="s">
        <v>0</v>
      </c>
      <c r="Q371" t="s">
        <v>54</v>
      </c>
      <c r="R371" t="s">
        <v>54</v>
      </c>
      <c r="S371" t="s">
        <v>54</v>
      </c>
      <c r="T371" t="s">
        <v>265</v>
      </c>
      <c r="U371" t="s">
        <v>65</v>
      </c>
      <c r="V371" t="s">
        <v>2772</v>
      </c>
      <c r="W371" t="s">
        <v>79</v>
      </c>
      <c r="Z371" t="s">
        <v>61</v>
      </c>
      <c r="AA371" t="s">
        <v>62</v>
      </c>
      <c r="AB371">
        <v>1</v>
      </c>
      <c r="AD371" t="s">
        <v>63</v>
      </c>
      <c r="AG371" t="s">
        <v>54</v>
      </c>
      <c r="AH371" t="s">
        <v>131</v>
      </c>
      <c r="AI371" t="s">
        <v>122</v>
      </c>
      <c r="AJ371" t="s">
        <v>54</v>
      </c>
      <c r="AK371" t="s">
        <v>2773</v>
      </c>
      <c r="AL371" t="s">
        <v>2774</v>
      </c>
      <c r="AN371" s="19">
        <f>IF(ISBLANK(Mentors[[#This Row],[Onboarded Date]]),"",Mentors[[#This Row],[Onboarded Date]]-WEEKDAY(Mentors[[#This Row],[Onboarded Date]],2)+1)</f>
        <v>45656</v>
      </c>
    </row>
    <row r="372" spans="1:40" ht="19.2" customHeight="1" x14ac:dyDescent="0.3">
      <c r="A372" t="s">
        <v>2775</v>
      </c>
      <c r="D372" s="24" t="s">
        <v>2776</v>
      </c>
      <c r="E372" t="s">
        <v>2777</v>
      </c>
      <c r="F372">
        <v>2017</v>
      </c>
      <c r="G372">
        <f>IF(OR(Mentors[[#This Row],[Career Start Year]]="NA",ISBLANK(Mentors[[#This Row],[Career Start Year]])),"",2026 - Mentors[[#This Row],[Career Start Year]])</f>
        <v>9</v>
      </c>
      <c r="H37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372" t="s">
        <v>51</v>
      </c>
      <c r="J372" t="s">
        <v>140</v>
      </c>
      <c r="K372" t="s">
        <v>2778</v>
      </c>
      <c r="L372" s="17">
        <v>7827635909</v>
      </c>
      <c r="M372" s="19">
        <v>45658</v>
      </c>
      <c r="N372" t="s">
        <v>4</v>
      </c>
      <c r="O372" t="s">
        <v>0</v>
      </c>
      <c r="Q372" t="s">
        <v>54</v>
      </c>
      <c r="R372" t="s">
        <v>54</v>
      </c>
      <c r="S372" t="s">
        <v>54</v>
      </c>
      <c r="T372" t="s">
        <v>56</v>
      </c>
      <c r="U372" t="s">
        <v>100</v>
      </c>
      <c r="V372" t="s">
        <v>644</v>
      </c>
      <c r="W372" t="s">
        <v>65</v>
      </c>
      <c r="Z372" t="s">
        <v>61</v>
      </c>
      <c r="AA372" t="s">
        <v>62</v>
      </c>
      <c r="AB372">
        <v>1</v>
      </c>
      <c r="AD372" t="s">
        <v>63</v>
      </c>
      <c r="AG372" t="s">
        <v>54</v>
      </c>
      <c r="AH372" t="s">
        <v>65</v>
      </c>
      <c r="AI372" t="s">
        <v>132</v>
      </c>
      <c r="AJ372" t="s">
        <v>54</v>
      </c>
      <c r="AK372" t="s">
        <v>2779</v>
      </c>
      <c r="AL372" t="s">
        <v>2780</v>
      </c>
      <c r="AN372" s="19">
        <f>IF(ISBLANK(Mentors[[#This Row],[Onboarded Date]]),"",Mentors[[#This Row],[Onboarded Date]]-WEEKDAY(Mentors[[#This Row],[Onboarded Date]],2)+1)</f>
        <v>45656</v>
      </c>
    </row>
    <row r="373" spans="1:40" ht="19.2" customHeight="1" x14ac:dyDescent="0.3">
      <c r="A373" t="s">
        <v>2781</v>
      </c>
      <c r="B373" t="s">
        <v>1163</v>
      </c>
      <c r="C373" t="s">
        <v>2782</v>
      </c>
      <c r="D373" s="24" t="s">
        <v>2783</v>
      </c>
      <c r="E373" s="7" t="s">
        <v>2784</v>
      </c>
      <c r="F373">
        <v>2009</v>
      </c>
      <c r="G373">
        <f>IF(OR(Mentors[[#This Row],[Career Start Year]]="NA",ISBLANK(Mentors[[#This Row],[Career Start Year]])),"",2026 - Mentors[[#This Row],[Career Start Year]])</f>
        <v>17</v>
      </c>
      <c r="H37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73" t="s">
        <v>51</v>
      </c>
      <c r="J373" t="s">
        <v>52</v>
      </c>
      <c r="K373" t="s">
        <v>2785</v>
      </c>
      <c r="L373" s="17">
        <v>9767608088</v>
      </c>
      <c r="M373" s="19">
        <v>45658</v>
      </c>
      <c r="N373" t="s">
        <v>10</v>
      </c>
      <c r="O373" t="s">
        <v>0</v>
      </c>
      <c r="Q373" t="s">
        <v>54</v>
      </c>
      <c r="R373" t="s">
        <v>54</v>
      </c>
      <c r="S373" t="s">
        <v>54</v>
      </c>
      <c r="T373" s="12" t="s">
        <v>1638</v>
      </c>
      <c r="U373" t="s">
        <v>65</v>
      </c>
      <c r="V373" s="12" t="s">
        <v>65</v>
      </c>
      <c r="W373" t="s">
        <v>79</v>
      </c>
      <c r="X373" t="s">
        <v>59</v>
      </c>
      <c r="Z373" t="s">
        <v>61</v>
      </c>
      <c r="AA373" t="s">
        <v>62</v>
      </c>
      <c r="AB373">
        <v>1</v>
      </c>
      <c r="AD373" t="s">
        <v>63</v>
      </c>
      <c r="AG373" t="s">
        <v>54</v>
      </c>
      <c r="AH373" t="s">
        <v>131</v>
      </c>
      <c r="AI373" t="s">
        <v>1177</v>
      </c>
      <c r="AJ373" t="s">
        <v>54</v>
      </c>
      <c r="AK373" t="s">
        <v>2786</v>
      </c>
      <c r="AL373" t="s">
        <v>2787</v>
      </c>
      <c r="AN373" s="19">
        <f>IF(ISBLANK(Mentors[[#This Row],[Onboarded Date]]),"",Mentors[[#This Row],[Onboarded Date]]-WEEKDAY(Mentors[[#This Row],[Onboarded Date]],2)+1)</f>
        <v>45656</v>
      </c>
    </row>
    <row r="374" spans="1:40" ht="19.2" customHeight="1" x14ac:dyDescent="0.3">
      <c r="A374" t="s">
        <v>2788</v>
      </c>
      <c r="D374" s="24" t="s">
        <v>2789</v>
      </c>
      <c r="E374" t="s">
        <v>2790</v>
      </c>
      <c r="F374">
        <v>2014</v>
      </c>
      <c r="G374">
        <f>IF(OR(Mentors[[#This Row],[Career Start Year]]="NA",ISBLANK(Mentors[[#This Row],[Career Start Year]])),"",2026 - Mentors[[#This Row],[Career Start Year]])</f>
        <v>12</v>
      </c>
      <c r="H37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374" t="s">
        <v>51</v>
      </c>
      <c r="J374" t="s">
        <v>935</v>
      </c>
      <c r="K374" t="s">
        <v>2791</v>
      </c>
      <c r="L374" s="17">
        <v>9870681702</v>
      </c>
      <c r="M374" s="19">
        <v>45658</v>
      </c>
      <c r="O374" t="s">
        <v>0</v>
      </c>
      <c r="Q374" t="s">
        <v>54</v>
      </c>
      <c r="R374" t="s">
        <v>63</v>
      </c>
      <c r="S374" t="s">
        <v>63</v>
      </c>
      <c r="T374" t="s">
        <v>77</v>
      </c>
      <c r="U374" t="s">
        <v>65</v>
      </c>
      <c r="V374" t="s">
        <v>57</v>
      </c>
      <c r="W374" t="s">
        <v>79</v>
      </c>
      <c r="Z374" t="s">
        <v>61</v>
      </c>
      <c r="AA374" t="s">
        <v>62</v>
      </c>
      <c r="AB374">
        <v>1</v>
      </c>
      <c r="AD374" t="s">
        <v>63</v>
      </c>
      <c r="AG374" t="s">
        <v>54</v>
      </c>
      <c r="AH374" t="s">
        <v>152</v>
      </c>
      <c r="AI374" t="s">
        <v>77</v>
      </c>
      <c r="AJ374" t="s">
        <v>54</v>
      </c>
      <c r="AK374" t="s">
        <v>2792</v>
      </c>
      <c r="AL374" t="s">
        <v>2793</v>
      </c>
      <c r="AN374" s="19">
        <f>IF(ISBLANK(Mentors[[#This Row],[Onboarded Date]]),"",Mentors[[#This Row],[Onboarded Date]]-WEEKDAY(Mentors[[#This Row],[Onboarded Date]],2)+1)</f>
        <v>45656</v>
      </c>
    </row>
    <row r="375" spans="1:40" ht="19.2" customHeight="1" x14ac:dyDescent="0.3">
      <c r="A375" t="s">
        <v>2794</v>
      </c>
      <c r="D375" s="24" t="s">
        <v>2795</v>
      </c>
      <c r="E375" s="7" t="s">
        <v>2796</v>
      </c>
      <c r="F375">
        <v>2015</v>
      </c>
      <c r="G375">
        <f>IF(OR(Mentors[[#This Row],[Career Start Year]]="NA",ISBLANK(Mentors[[#This Row],[Career Start Year]])),"",2026 - Mentors[[#This Row],[Career Start Year]])</f>
        <v>11</v>
      </c>
      <c r="H37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375" t="s">
        <v>51</v>
      </c>
      <c r="J375" t="s">
        <v>819</v>
      </c>
      <c r="K375" t="s">
        <v>2797</v>
      </c>
      <c r="L375" s="17">
        <v>9888542154</v>
      </c>
      <c r="M375" s="19">
        <v>45658</v>
      </c>
      <c r="O375" t="s">
        <v>0</v>
      </c>
      <c r="Q375" t="s">
        <v>63</v>
      </c>
      <c r="R375" t="s">
        <v>63</v>
      </c>
      <c r="S375" t="s">
        <v>63</v>
      </c>
      <c r="T375" t="s">
        <v>77</v>
      </c>
      <c r="U375" t="s">
        <v>56</v>
      </c>
      <c r="V375" t="s">
        <v>57</v>
      </c>
      <c r="W375" t="s">
        <v>65</v>
      </c>
      <c r="Z375" t="s">
        <v>61</v>
      </c>
      <c r="AA375" t="s">
        <v>62</v>
      </c>
      <c r="AB375">
        <v>1</v>
      </c>
      <c r="AD375" t="s">
        <v>63</v>
      </c>
      <c r="AG375" t="s">
        <v>54</v>
      </c>
      <c r="AH375" t="s">
        <v>152</v>
      </c>
      <c r="AI375" t="s">
        <v>132</v>
      </c>
      <c r="AJ375" t="s">
        <v>54</v>
      </c>
      <c r="AK375" t="s">
        <v>2798</v>
      </c>
      <c r="AL375" t="s">
        <v>2799</v>
      </c>
      <c r="AN375" s="19">
        <f>IF(ISBLANK(Mentors[[#This Row],[Onboarded Date]]),"",Mentors[[#This Row],[Onboarded Date]]-WEEKDAY(Mentors[[#This Row],[Onboarded Date]],2)+1)</f>
        <v>45656</v>
      </c>
    </row>
    <row r="376" spans="1:40" ht="19.2" customHeight="1" x14ac:dyDescent="0.3">
      <c r="A376" t="s">
        <v>2800</v>
      </c>
      <c r="B376" t="s">
        <v>396</v>
      </c>
      <c r="C376" t="s">
        <v>2801</v>
      </c>
      <c r="D376" s="24" t="s">
        <v>2802</v>
      </c>
      <c r="E376" t="s">
        <v>2803</v>
      </c>
      <c r="F376">
        <v>2006</v>
      </c>
      <c r="G376">
        <f>IF(OR(Mentors[[#This Row],[Career Start Year]]="NA",ISBLANK(Mentors[[#This Row],[Career Start Year]])),"",2026 - Mentors[[#This Row],[Career Start Year]])</f>
        <v>20</v>
      </c>
      <c r="H37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76" t="s">
        <v>51</v>
      </c>
      <c r="J376" t="s">
        <v>196</v>
      </c>
      <c r="K376" t="s">
        <v>2804</v>
      </c>
      <c r="L376" s="17">
        <v>9611190440</v>
      </c>
      <c r="M376" s="19">
        <v>45658</v>
      </c>
      <c r="O376" t="s">
        <v>0</v>
      </c>
      <c r="Q376" t="s">
        <v>54</v>
      </c>
      <c r="R376" t="s">
        <v>63</v>
      </c>
      <c r="S376" t="s">
        <v>63</v>
      </c>
      <c r="T376" s="4" t="s">
        <v>756</v>
      </c>
      <c r="U376" t="s">
        <v>65</v>
      </c>
      <c r="V376" t="s">
        <v>120</v>
      </c>
      <c r="W376" t="s">
        <v>79</v>
      </c>
      <c r="Z376" t="s">
        <v>61</v>
      </c>
      <c r="AA376" t="s">
        <v>62</v>
      </c>
      <c r="AB376">
        <v>1</v>
      </c>
      <c r="AD376" t="s">
        <v>63</v>
      </c>
      <c r="AE376" t="s">
        <v>63</v>
      </c>
      <c r="AG376" t="s">
        <v>54</v>
      </c>
      <c r="AH376" t="s">
        <v>152</v>
      </c>
      <c r="AI376" t="s">
        <v>412</v>
      </c>
      <c r="AJ376" t="s">
        <v>54</v>
      </c>
      <c r="AK376" t="s">
        <v>2805</v>
      </c>
      <c r="AL376" t="s">
        <v>2806</v>
      </c>
      <c r="AN376" s="19">
        <f>IF(ISBLANK(Mentors[[#This Row],[Onboarded Date]]),"",Mentors[[#This Row],[Onboarded Date]]-WEEKDAY(Mentors[[#This Row],[Onboarded Date]],2)+1)</f>
        <v>45656</v>
      </c>
    </row>
    <row r="377" spans="1:40" ht="19.2" customHeight="1" x14ac:dyDescent="0.3">
      <c r="A377" t="s">
        <v>2807</v>
      </c>
      <c r="B377" t="s">
        <v>2808</v>
      </c>
      <c r="C377" t="s">
        <v>2809</v>
      </c>
      <c r="D377" s="24" t="s">
        <v>2810</v>
      </c>
      <c r="E377" t="s">
        <v>2811</v>
      </c>
      <c r="F377">
        <v>2012</v>
      </c>
      <c r="G377">
        <f>IF(OR(Mentors[[#This Row],[Career Start Year]]="NA",ISBLANK(Mentors[[#This Row],[Career Start Year]])),"",2026 - Mentors[[#This Row],[Career Start Year]])</f>
        <v>14</v>
      </c>
      <c r="H37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377" t="s">
        <v>51</v>
      </c>
      <c r="J377" t="s">
        <v>74</v>
      </c>
      <c r="K377" t="s">
        <v>2812</v>
      </c>
      <c r="L377" s="17">
        <v>9560048508</v>
      </c>
      <c r="M377" s="19">
        <v>45658</v>
      </c>
      <c r="O377" t="s">
        <v>0</v>
      </c>
      <c r="Q377" t="s">
        <v>54</v>
      </c>
      <c r="R377" t="s">
        <v>63</v>
      </c>
      <c r="S377" t="s">
        <v>63</v>
      </c>
      <c r="T377" t="s">
        <v>77</v>
      </c>
      <c r="U377" t="s">
        <v>99</v>
      </c>
      <c r="V377" t="s">
        <v>198</v>
      </c>
      <c r="W377" t="s">
        <v>57</v>
      </c>
      <c r="X377" t="s">
        <v>80</v>
      </c>
      <c r="Y377" t="s">
        <v>59</v>
      </c>
      <c r="Z377" t="s">
        <v>61</v>
      </c>
      <c r="AA377" t="s">
        <v>62</v>
      </c>
      <c r="AB377">
        <v>1</v>
      </c>
      <c r="AD377" t="s">
        <v>63</v>
      </c>
      <c r="AE377" t="s">
        <v>63</v>
      </c>
      <c r="AG377" t="s">
        <v>54</v>
      </c>
      <c r="AH377" t="s">
        <v>152</v>
      </c>
      <c r="AI377" t="s">
        <v>412</v>
      </c>
      <c r="AJ377" t="s">
        <v>54</v>
      </c>
      <c r="AK377" t="s">
        <v>2813</v>
      </c>
      <c r="AL377" t="s">
        <v>2814</v>
      </c>
      <c r="AN377" s="19">
        <f>IF(ISBLANK(Mentors[[#This Row],[Onboarded Date]]),"",Mentors[[#This Row],[Onboarded Date]]-WEEKDAY(Mentors[[#This Row],[Onboarded Date]],2)+1)</f>
        <v>45656</v>
      </c>
    </row>
    <row r="378" spans="1:40" ht="19.2" customHeight="1" x14ac:dyDescent="0.3">
      <c r="A378" t="s">
        <v>2815</v>
      </c>
      <c r="B378" t="s">
        <v>136</v>
      </c>
      <c r="C378" t="s">
        <v>2816</v>
      </c>
      <c r="D378" s="24" t="s">
        <v>2817</v>
      </c>
      <c r="E378" t="s">
        <v>2818</v>
      </c>
      <c r="F378">
        <v>2006</v>
      </c>
      <c r="G378">
        <f>IF(OR(Mentors[[#This Row],[Career Start Year]]="NA",ISBLANK(Mentors[[#This Row],[Career Start Year]])),"",2026 - Mentors[[#This Row],[Career Start Year]])</f>
        <v>20</v>
      </c>
      <c r="H37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78" t="s">
        <v>51</v>
      </c>
      <c r="J378" t="s">
        <v>52</v>
      </c>
      <c r="K378" t="s">
        <v>2819</v>
      </c>
      <c r="L378" s="17">
        <v>7767043043</v>
      </c>
      <c r="M378" s="19">
        <v>45658</v>
      </c>
      <c r="N378" t="s">
        <v>10</v>
      </c>
      <c r="O378" t="s">
        <v>0</v>
      </c>
      <c r="Q378" t="s">
        <v>54</v>
      </c>
      <c r="R378" t="s">
        <v>54</v>
      </c>
      <c r="S378" t="s">
        <v>54</v>
      </c>
      <c r="T378" t="s">
        <v>1151</v>
      </c>
      <c r="U378" t="s">
        <v>65</v>
      </c>
      <c r="V378" t="s">
        <v>256</v>
      </c>
      <c r="W378" t="s">
        <v>65</v>
      </c>
      <c r="Z378" t="s">
        <v>81</v>
      </c>
      <c r="AA378" t="s">
        <v>62</v>
      </c>
      <c r="AB378">
        <v>1</v>
      </c>
      <c r="AD378" t="s">
        <v>54</v>
      </c>
      <c r="AE378" t="s">
        <v>54</v>
      </c>
      <c r="AF378" t="s">
        <v>64</v>
      </c>
      <c r="AG378" t="s">
        <v>54</v>
      </c>
      <c r="AH378" t="s">
        <v>131</v>
      </c>
      <c r="AI378" t="s">
        <v>122</v>
      </c>
      <c r="AJ378" t="s">
        <v>54</v>
      </c>
      <c r="AK378" t="s">
        <v>2820</v>
      </c>
      <c r="AL378" t="s">
        <v>2821</v>
      </c>
      <c r="AN378" s="19">
        <f>IF(ISBLANK(Mentors[[#This Row],[Onboarded Date]]),"",Mentors[[#This Row],[Onboarded Date]]-WEEKDAY(Mentors[[#This Row],[Onboarded Date]],2)+1)</f>
        <v>45656</v>
      </c>
    </row>
    <row r="379" spans="1:40" ht="19.2" customHeight="1" x14ac:dyDescent="0.3">
      <c r="A379" t="s">
        <v>2822</v>
      </c>
      <c r="B379" t="s">
        <v>2823</v>
      </c>
      <c r="C379" t="s">
        <v>2824</v>
      </c>
      <c r="D379" s="24" t="s">
        <v>2825</v>
      </c>
      <c r="E379" t="s">
        <v>2826</v>
      </c>
      <c r="F379">
        <v>2013</v>
      </c>
      <c r="G379">
        <f>IF(OR(Mentors[[#This Row],[Career Start Year]]="NA",ISBLANK(Mentors[[#This Row],[Career Start Year]])),"",2026 - Mentors[[#This Row],[Career Start Year]])</f>
        <v>13</v>
      </c>
      <c r="H37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379" t="s">
        <v>51</v>
      </c>
      <c r="J379" t="s">
        <v>88</v>
      </c>
      <c r="K379" t="s">
        <v>2827</v>
      </c>
      <c r="L379" s="17">
        <v>9032469972</v>
      </c>
      <c r="M379" s="19">
        <v>45658</v>
      </c>
      <c r="O379" t="s">
        <v>0</v>
      </c>
      <c r="Q379" t="s">
        <v>54</v>
      </c>
      <c r="R379" t="s">
        <v>63</v>
      </c>
      <c r="S379" t="s">
        <v>63</v>
      </c>
      <c r="T379" s="4" t="s">
        <v>756</v>
      </c>
      <c r="U379" t="s">
        <v>65</v>
      </c>
      <c r="V379" t="s">
        <v>120</v>
      </c>
      <c r="W379" t="s">
        <v>79</v>
      </c>
      <c r="X379" t="s">
        <v>59</v>
      </c>
      <c r="Z379" t="s">
        <v>61</v>
      </c>
      <c r="AA379" t="s">
        <v>62</v>
      </c>
      <c r="AB379">
        <v>1</v>
      </c>
      <c r="AD379" t="s">
        <v>63</v>
      </c>
      <c r="AE379" t="s">
        <v>54</v>
      </c>
      <c r="AG379" t="s">
        <v>54</v>
      </c>
      <c r="AH379" t="s">
        <v>152</v>
      </c>
      <c r="AI379" t="s">
        <v>412</v>
      </c>
      <c r="AJ379" t="s">
        <v>54</v>
      </c>
      <c r="AK379" t="s">
        <v>2828</v>
      </c>
      <c r="AL379" t="s">
        <v>2829</v>
      </c>
      <c r="AN379" s="19">
        <f>IF(ISBLANK(Mentors[[#This Row],[Onboarded Date]]),"",Mentors[[#This Row],[Onboarded Date]]-WEEKDAY(Mentors[[#This Row],[Onboarded Date]],2)+1)</f>
        <v>45656</v>
      </c>
    </row>
    <row r="380" spans="1:40" ht="19.2" customHeight="1" x14ac:dyDescent="0.3">
      <c r="A380" t="s">
        <v>2830</v>
      </c>
      <c r="B380" t="s">
        <v>396</v>
      </c>
      <c r="C380" t="s">
        <v>2831</v>
      </c>
      <c r="D380" s="24" t="s">
        <v>2832</v>
      </c>
      <c r="E380" s="7" t="s">
        <v>2833</v>
      </c>
      <c r="F380">
        <v>2003</v>
      </c>
      <c r="G380">
        <f>IF(OR(Mentors[[#This Row],[Career Start Year]]="NA",ISBLANK(Mentors[[#This Row],[Career Start Year]])),"",2026 - Mentors[[#This Row],[Career Start Year]])</f>
        <v>23</v>
      </c>
      <c r="H38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80" t="s">
        <v>51</v>
      </c>
      <c r="J380" t="s">
        <v>140</v>
      </c>
      <c r="K380" t="s">
        <v>2834</v>
      </c>
      <c r="L380" s="17">
        <v>9899708610</v>
      </c>
      <c r="M380" s="19">
        <v>45658</v>
      </c>
      <c r="O380" t="s">
        <v>0</v>
      </c>
      <c r="Q380" t="s">
        <v>54</v>
      </c>
      <c r="R380" t="s">
        <v>63</v>
      </c>
      <c r="S380" t="s">
        <v>63</v>
      </c>
      <c r="T380" t="s">
        <v>166</v>
      </c>
      <c r="U380" t="s">
        <v>77</v>
      </c>
      <c r="V380" t="s">
        <v>256</v>
      </c>
      <c r="W380" t="s">
        <v>78</v>
      </c>
      <c r="X380" t="s">
        <v>1120</v>
      </c>
      <c r="Z380" t="s">
        <v>61</v>
      </c>
      <c r="AA380" t="s">
        <v>62</v>
      </c>
      <c r="AB380">
        <v>1</v>
      </c>
      <c r="AD380" t="s">
        <v>63</v>
      </c>
      <c r="AE380" t="s">
        <v>63</v>
      </c>
      <c r="AG380" t="s">
        <v>54</v>
      </c>
      <c r="AH380" t="s">
        <v>152</v>
      </c>
      <c r="AI380" t="s">
        <v>132</v>
      </c>
      <c r="AJ380" t="s">
        <v>54</v>
      </c>
      <c r="AK380" t="s">
        <v>2835</v>
      </c>
      <c r="AL380" t="s">
        <v>2836</v>
      </c>
      <c r="AN380" s="19">
        <f>IF(ISBLANK(Mentors[[#This Row],[Onboarded Date]]),"",Mentors[[#This Row],[Onboarded Date]]-WEEKDAY(Mentors[[#This Row],[Onboarded Date]],2)+1)</f>
        <v>45656</v>
      </c>
    </row>
    <row r="381" spans="1:40" ht="19.2" customHeight="1" x14ac:dyDescent="0.3">
      <c r="A381" t="s">
        <v>2837</v>
      </c>
      <c r="B381" t="s">
        <v>2838</v>
      </c>
      <c r="D381" s="24" t="s">
        <v>2839</v>
      </c>
      <c r="E381" t="s">
        <v>2840</v>
      </c>
      <c r="F381">
        <v>2012</v>
      </c>
      <c r="G381">
        <f>IF(OR(Mentors[[#This Row],[Career Start Year]]="NA",ISBLANK(Mentors[[#This Row],[Career Start Year]])),"",2026 - Mentors[[#This Row],[Career Start Year]])</f>
        <v>14</v>
      </c>
      <c r="H38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381" t="s">
        <v>51</v>
      </c>
      <c r="J381" t="s">
        <v>280</v>
      </c>
      <c r="K381" t="s">
        <v>2841</v>
      </c>
      <c r="L381" s="17">
        <v>9879148688</v>
      </c>
      <c r="M381" s="19">
        <v>45658</v>
      </c>
      <c r="O381" t="s">
        <v>0</v>
      </c>
      <c r="Q381" t="s">
        <v>63</v>
      </c>
      <c r="R381" t="s">
        <v>63</v>
      </c>
      <c r="S381" t="s">
        <v>54</v>
      </c>
      <c r="T381" t="s">
        <v>99</v>
      </c>
      <c r="U381" t="s">
        <v>76</v>
      </c>
      <c r="V381" t="s">
        <v>256</v>
      </c>
      <c r="W381" t="s">
        <v>78</v>
      </c>
      <c r="X381" t="s">
        <v>59</v>
      </c>
      <c r="Z381" t="s">
        <v>61</v>
      </c>
      <c r="AA381" t="s">
        <v>62</v>
      </c>
      <c r="AB381">
        <v>1</v>
      </c>
      <c r="AD381" t="s">
        <v>63</v>
      </c>
      <c r="AE381" t="s">
        <v>63</v>
      </c>
      <c r="AG381" t="s">
        <v>54</v>
      </c>
      <c r="AH381" t="s">
        <v>152</v>
      </c>
      <c r="AI381" t="s">
        <v>248</v>
      </c>
      <c r="AJ381" t="s">
        <v>54</v>
      </c>
      <c r="AK381" t="s">
        <v>2842</v>
      </c>
      <c r="AL381" t="s">
        <v>1489</v>
      </c>
      <c r="AN381" s="19">
        <f>IF(ISBLANK(Mentors[[#This Row],[Onboarded Date]]),"",Mentors[[#This Row],[Onboarded Date]]-WEEKDAY(Mentors[[#This Row],[Onboarded Date]],2)+1)</f>
        <v>45656</v>
      </c>
    </row>
    <row r="382" spans="1:40" ht="19.2" customHeight="1" x14ac:dyDescent="0.3">
      <c r="A382" t="s">
        <v>2843</v>
      </c>
      <c r="B382" t="s">
        <v>2844</v>
      </c>
      <c r="C382" t="s">
        <v>2845</v>
      </c>
      <c r="D382" s="24" t="s">
        <v>2846</v>
      </c>
      <c r="E382" t="s">
        <v>2847</v>
      </c>
      <c r="F382">
        <v>2010</v>
      </c>
      <c r="G382">
        <f>IF(OR(Mentors[[#This Row],[Career Start Year]]="NA",ISBLANK(Mentors[[#This Row],[Career Start Year]])),"",2026 - Mentors[[#This Row],[Career Start Year]])</f>
        <v>16</v>
      </c>
      <c r="H38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82" t="s">
        <v>51</v>
      </c>
      <c r="J382" t="s">
        <v>52</v>
      </c>
      <c r="K382" t="s">
        <v>2848</v>
      </c>
      <c r="L382" s="17">
        <v>7033482692</v>
      </c>
      <c r="M382" s="19">
        <v>45658</v>
      </c>
      <c r="O382" t="s">
        <v>0</v>
      </c>
      <c r="Q382" t="s">
        <v>54</v>
      </c>
      <c r="R382" t="s">
        <v>54</v>
      </c>
      <c r="S382" t="s">
        <v>54</v>
      </c>
      <c r="T382" t="s">
        <v>110</v>
      </c>
      <c r="U382" t="s">
        <v>265</v>
      </c>
      <c r="V382" t="s">
        <v>282</v>
      </c>
      <c r="W382" t="s">
        <v>57</v>
      </c>
      <c r="X382" t="s">
        <v>60</v>
      </c>
      <c r="Z382" t="s">
        <v>61</v>
      </c>
      <c r="AA382" t="s">
        <v>62</v>
      </c>
      <c r="AB382">
        <v>1</v>
      </c>
      <c r="AD382" t="s">
        <v>63</v>
      </c>
      <c r="AG382" t="s">
        <v>54</v>
      </c>
      <c r="AH382" t="s">
        <v>65</v>
      </c>
      <c r="AI382" t="s">
        <v>122</v>
      </c>
      <c r="AJ382" t="s">
        <v>54</v>
      </c>
      <c r="AK382" t="s">
        <v>2849</v>
      </c>
      <c r="AL382" t="s">
        <v>2850</v>
      </c>
      <c r="AN382" s="19">
        <f>IF(ISBLANK(Mentors[[#This Row],[Onboarded Date]]),"",Mentors[[#This Row],[Onboarded Date]]-WEEKDAY(Mentors[[#This Row],[Onboarded Date]],2)+1)</f>
        <v>45656</v>
      </c>
    </row>
    <row r="383" spans="1:40" ht="19.2" customHeight="1" x14ac:dyDescent="0.3">
      <c r="A383" t="s">
        <v>2851</v>
      </c>
      <c r="B383" t="s">
        <v>2852</v>
      </c>
      <c r="C383" t="s">
        <v>2853</v>
      </c>
      <c r="D383" s="24" t="s">
        <v>2854</v>
      </c>
      <c r="E383" t="s">
        <v>2855</v>
      </c>
      <c r="F383">
        <v>2000</v>
      </c>
      <c r="G383">
        <f>IF(OR(Mentors[[#This Row],[Career Start Year]]="NA",ISBLANK(Mentors[[#This Row],[Career Start Year]])),"",2026 - Mentors[[#This Row],[Career Start Year]])</f>
        <v>26</v>
      </c>
      <c r="H38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83" t="s">
        <v>51</v>
      </c>
      <c r="J383" t="s">
        <v>496</v>
      </c>
      <c r="K383" t="s">
        <v>2856</v>
      </c>
      <c r="M383" s="19">
        <v>45658</v>
      </c>
      <c r="O383" t="s">
        <v>0</v>
      </c>
      <c r="Q383" t="s">
        <v>63</v>
      </c>
      <c r="R383" t="s">
        <v>63</v>
      </c>
      <c r="S383" t="s">
        <v>63</v>
      </c>
      <c r="T383" s="4" t="s">
        <v>756</v>
      </c>
      <c r="U383" t="s">
        <v>77</v>
      </c>
      <c r="V383" t="s">
        <v>58</v>
      </c>
      <c r="W383" t="s">
        <v>57</v>
      </c>
      <c r="X383" t="s">
        <v>59</v>
      </c>
      <c r="Z383" t="s">
        <v>61</v>
      </c>
      <c r="AA383" t="s">
        <v>62</v>
      </c>
      <c r="AB383">
        <v>1</v>
      </c>
      <c r="AD383" t="s">
        <v>63</v>
      </c>
      <c r="AE383" t="s">
        <v>63</v>
      </c>
      <c r="AG383" t="s">
        <v>54</v>
      </c>
      <c r="AH383" t="s">
        <v>152</v>
      </c>
      <c r="AI383" t="s">
        <v>412</v>
      </c>
      <c r="AJ383" t="s">
        <v>54</v>
      </c>
      <c r="AK383" t="s">
        <v>2857</v>
      </c>
      <c r="AL383" t="s">
        <v>2858</v>
      </c>
      <c r="AN383" s="19">
        <f>IF(ISBLANK(Mentors[[#This Row],[Onboarded Date]]),"",Mentors[[#This Row],[Onboarded Date]]-WEEKDAY(Mentors[[#This Row],[Onboarded Date]],2)+1)</f>
        <v>45656</v>
      </c>
    </row>
    <row r="384" spans="1:40" ht="19.2" customHeight="1" x14ac:dyDescent="0.3">
      <c r="A384" t="s">
        <v>2859</v>
      </c>
      <c r="B384" t="s">
        <v>2808</v>
      </c>
      <c r="C384" t="s">
        <v>2860</v>
      </c>
      <c r="D384" s="24" t="s">
        <v>2861</v>
      </c>
      <c r="E384" t="s">
        <v>2862</v>
      </c>
      <c r="F384">
        <v>1991</v>
      </c>
      <c r="G384">
        <f>IF(OR(Mentors[[#This Row],[Career Start Year]]="NA",ISBLANK(Mentors[[#This Row],[Career Start Year]])),"",2026 - Mentors[[#This Row],[Career Start Year]])</f>
        <v>35</v>
      </c>
      <c r="H38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84" t="s">
        <v>51</v>
      </c>
      <c r="J384" t="s">
        <v>52</v>
      </c>
      <c r="K384" t="s">
        <v>2863</v>
      </c>
      <c r="L384" s="17">
        <v>9881787001</v>
      </c>
      <c r="M384" s="19">
        <v>45658</v>
      </c>
      <c r="O384" t="s">
        <v>0</v>
      </c>
      <c r="Q384" t="s">
        <v>54</v>
      </c>
      <c r="R384" t="s">
        <v>63</v>
      </c>
      <c r="S384" t="s">
        <v>54</v>
      </c>
      <c r="T384" t="s">
        <v>77</v>
      </c>
      <c r="U384" t="s">
        <v>100</v>
      </c>
      <c r="V384" t="s">
        <v>57</v>
      </c>
      <c r="W384" t="s">
        <v>78</v>
      </c>
      <c r="X384" t="s">
        <v>59</v>
      </c>
      <c r="Z384" t="s">
        <v>61</v>
      </c>
      <c r="AA384" t="s">
        <v>62</v>
      </c>
      <c r="AB384">
        <v>1</v>
      </c>
      <c r="AD384" t="s">
        <v>63</v>
      </c>
      <c r="AE384" t="s">
        <v>63</v>
      </c>
      <c r="AG384" t="s">
        <v>54</v>
      </c>
      <c r="AH384" t="s">
        <v>152</v>
      </c>
      <c r="AI384" t="s">
        <v>1064</v>
      </c>
      <c r="AJ384" t="s">
        <v>54</v>
      </c>
      <c r="AK384" t="s">
        <v>2864</v>
      </c>
      <c r="AL384" t="s">
        <v>2865</v>
      </c>
      <c r="AN384" s="19">
        <f>IF(ISBLANK(Mentors[[#This Row],[Onboarded Date]]),"",Mentors[[#This Row],[Onboarded Date]]-WEEKDAY(Mentors[[#This Row],[Onboarded Date]],2)+1)</f>
        <v>45656</v>
      </c>
    </row>
    <row r="385" spans="1:40" ht="19.2" customHeight="1" x14ac:dyDescent="0.3">
      <c r="A385" t="s">
        <v>2866</v>
      </c>
      <c r="B385" t="s">
        <v>2867</v>
      </c>
      <c r="C385" t="s">
        <v>2868</v>
      </c>
      <c r="D385" s="24" t="s">
        <v>2869</v>
      </c>
      <c r="E385" t="s">
        <v>2870</v>
      </c>
      <c r="F385">
        <v>2006</v>
      </c>
      <c r="G385">
        <f>IF(OR(Mentors[[#This Row],[Career Start Year]]="NA",ISBLANK(Mentors[[#This Row],[Career Start Year]])),"",2026 - Mentors[[#This Row],[Career Start Year]])</f>
        <v>20</v>
      </c>
      <c r="H38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85" t="s">
        <v>51</v>
      </c>
      <c r="J385" t="s">
        <v>280</v>
      </c>
      <c r="K385" t="s">
        <v>2871</v>
      </c>
      <c r="L385" s="17">
        <v>9879409140</v>
      </c>
      <c r="M385" s="19">
        <v>45658</v>
      </c>
      <c r="O385" t="s">
        <v>0</v>
      </c>
      <c r="Q385" t="s">
        <v>54</v>
      </c>
      <c r="R385" t="s">
        <v>63</v>
      </c>
      <c r="S385" t="s">
        <v>54</v>
      </c>
      <c r="T385" t="s">
        <v>56</v>
      </c>
      <c r="U385" t="s">
        <v>187</v>
      </c>
      <c r="V385" t="s">
        <v>78</v>
      </c>
      <c r="W385" t="s">
        <v>120</v>
      </c>
      <c r="X385" t="s">
        <v>60</v>
      </c>
      <c r="Y385" t="s">
        <v>59</v>
      </c>
      <c r="Z385" t="s">
        <v>61</v>
      </c>
      <c r="AA385" t="s">
        <v>62</v>
      </c>
      <c r="AB385">
        <v>1</v>
      </c>
      <c r="AD385" t="s">
        <v>54</v>
      </c>
      <c r="AG385" t="s">
        <v>54</v>
      </c>
      <c r="AH385" t="s">
        <v>215</v>
      </c>
      <c r="AI385" t="s">
        <v>132</v>
      </c>
      <c r="AJ385" t="s">
        <v>54</v>
      </c>
      <c r="AK385" t="s">
        <v>2872</v>
      </c>
      <c r="AL385" t="s">
        <v>2873</v>
      </c>
      <c r="AN385" s="19">
        <f>IF(ISBLANK(Mentors[[#This Row],[Onboarded Date]]),"",Mentors[[#This Row],[Onboarded Date]]-WEEKDAY(Mentors[[#This Row],[Onboarded Date]],2)+1)</f>
        <v>45656</v>
      </c>
    </row>
    <row r="386" spans="1:40" ht="19.2" customHeight="1" x14ac:dyDescent="0.3">
      <c r="A386" t="s">
        <v>2874</v>
      </c>
      <c r="B386" t="s">
        <v>2808</v>
      </c>
      <c r="C386" t="s">
        <v>2875</v>
      </c>
      <c r="D386" s="24" t="s">
        <v>2876</v>
      </c>
      <c r="E386" t="s">
        <v>2877</v>
      </c>
      <c r="F386">
        <v>1998</v>
      </c>
      <c r="G386">
        <f>IF(OR(Mentors[[#This Row],[Career Start Year]]="NA",ISBLANK(Mentors[[#This Row],[Career Start Year]])),"",2026 - Mentors[[#This Row],[Career Start Year]])</f>
        <v>28</v>
      </c>
      <c r="H38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86" t="s">
        <v>51</v>
      </c>
      <c r="J386" t="s">
        <v>1427</v>
      </c>
      <c r="K386" t="s">
        <v>2878</v>
      </c>
      <c r="L386" s="17">
        <v>9738707042</v>
      </c>
      <c r="M386" s="19">
        <v>45658</v>
      </c>
      <c r="O386" t="s">
        <v>0</v>
      </c>
      <c r="Q386" t="s">
        <v>54</v>
      </c>
      <c r="R386" t="s">
        <v>63</v>
      </c>
      <c r="S386" t="s">
        <v>54</v>
      </c>
      <c r="T386" t="s">
        <v>77</v>
      </c>
      <c r="U386" t="s">
        <v>65</v>
      </c>
      <c r="V386" t="s">
        <v>481</v>
      </c>
      <c r="W386" t="s">
        <v>78</v>
      </c>
      <c r="X386" t="s">
        <v>59</v>
      </c>
      <c r="Z386" t="s">
        <v>61</v>
      </c>
      <c r="AA386" t="s">
        <v>62</v>
      </c>
      <c r="AB386">
        <v>1</v>
      </c>
      <c r="AD386" t="s">
        <v>63</v>
      </c>
      <c r="AE386" t="s">
        <v>63</v>
      </c>
      <c r="AG386" t="s">
        <v>54</v>
      </c>
      <c r="AH386" t="s">
        <v>152</v>
      </c>
      <c r="AI386" t="s">
        <v>248</v>
      </c>
      <c r="AJ386" t="s">
        <v>54</v>
      </c>
      <c r="AK386" t="s">
        <v>2879</v>
      </c>
      <c r="AL386" t="s">
        <v>2880</v>
      </c>
      <c r="AN386" s="19">
        <f>IF(ISBLANK(Mentors[[#This Row],[Onboarded Date]]),"",Mentors[[#This Row],[Onboarded Date]]-WEEKDAY(Mentors[[#This Row],[Onboarded Date]],2)+1)</f>
        <v>45656</v>
      </c>
    </row>
    <row r="387" spans="1:40" ht="19.2" customHeight="1" x14ac:dyDescent="0.3">
      <c r="A387" t="s">
        <v>2881</v>
      </c>
      <c r="B387" t="s">
        <v>2882</v>
      </c>
      <c r="C387" t="s">
        <v>2883</v>
      </c>
      <c r="D387" s="24" t="s">
        <v>2884</v>
      </c>
      <c r="E387" t="s">
        <v>2885</v>
      </c>
      <c r="F387">
        <v>2007</v>
      </c>
      <c r="G387">
        <f>IF(OR(Mentors[[#This Row],[Career Start Year]]="NA",ISBLANK(Mentors[[#This Row],[Career Start Year]])),"",2026 - Mentors[[#This Row],[Career Start Year]])</f>
        <v>19</v>
      </c>
      <c r="H38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87" t="s">
        <v>51</v>
      </c>
      <c r="J387" t="s">
        <v>389</v>
      </c>
      <c r="K387" t="s">
        <v>2886</v>
      </c>
      <c r="L387" s="17">
        <v>8884651709</v>
      </c>
      <c r="M387" s="19">
        <v>45658</v>
      </c>
      <c r="O387" t="s">
        <v>0</v>
      </c>
      <c r="Q387" t="s">
        <v>54</v>
      </c>
      <c r="R387" t="s">
        <v>63</v>
      </c>
      <c r="S387" t="s">
        <v>63</v>
      </c>
      <c r="T387" t="s">
        <v>77</v>
      </c>
      <c r="U387" t="s">
        <v>100</v>
      </c>
      <c r="V387" t="s">
        <v>256</v>
      </c>
      <c r="W387" t="s">
        <v>78</v>
      </c>
      <c r="X387" t="s">
        <v>59</v>
      </c>
      <c r="Z387" t="s">
        <v>61</v>
      </c>
      <c r="AA387" t="s">
        <v>62</v>
      </c>
      <c r="AB387">
        <v>1</v>
      </c>
      <c r="AD387" t="s">
        <v>63</v>
      </c>
      <c r="AE387" t="s">
        <v>63</v>
      </c>
      <c r="AG387" t="s">
        <v>54</v>
      </c>
      <c r="AH387" t="s">
        <v>152</v>
      </c>
      <c r="AI387" t="s">
        <v>248</v>
      </c>
      <c r="AJ387" t="s">
        <v>54</v>
      </c>
      <c r="AK387" t="s">
        <v>2887</v>
      </c>
      <c r="AL387" t="s">
        <v>2888</v>
      </c>
      <c r="AN387" s="19">
        <f>IF(ISBLANK(Mentors[[#This Row],[Onboarded Date]]),"",Mentors[[#This Row],[Onboarded Date]]-WEEKDAY(Mentors[[#This Row],[Onboarded Date]],2)+1)</f>
        <v>45656</v>
      </c>
    </row>
    <row r="388" spans="1:40" ht="19.2" customHeight="1" x14ac:dyDescent="0.3">
      <c r="A388" s="4" t="s">
        <v>2889</v>
      </c>
      <c r="B388" t="s">
        <v>1780</v>
      </c>
      <c r="C388" t="s">
        <v>2890</v>
      </c>
      <c r="D388" s="24" t="s">
        <v>2891</v>
      </c>
      <c r="E388" s="7" t="s">
        <v>2892</v>
      </c>
      <c r="F388">
        <v>1997</v>
      </c>
      <c r="G388">
        <f>IF(OR(Mentors[[#This Row],[Career Start Year]]="NA",ISBLANK(Mentors[[#This Row],[Career Start Year]])),"",2026 - Mentors[[#This Row],[Career Start Year]])</f>
        <v>29</v>
      </c>
      <c r="H38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88" t="s">
        <v>51</v>
      </c>
      <c r="J388" t="s">
        <v>314</v>
      </c>
      <c r="K388" t="s">
        <v>2893</v>
      </c>
      <c r="L388" s="17">
        <v>8754408605</v>
      </c>
      <c r="M388" s="19">
        <v>45658</v>
      </c>
      <c r="O388" t="s">
        <v>0</v>
      </c>
      <c r="Q388" t="s">
        <v>54</v>
      </c>
      <c r="R388" t="s">
        <v>54</v>
      </c>
      <c r="S388" t="s">
        <v>54</v>
      </c>
      <c r="T388" t="s">
        <v>499</v>
      </c>
      <c r="U388" t="s">
        <v>100</v>
      </c>
      <c r="V388" t="s">
        <v>58</v>
      </c>
      <c r="W388" t="s">
        <v>78</v>
      </c>
      <c r="Z388" t="s">
        <v>61</v>
      </c>
      <c r="AA388" t="s">
        <v>62</v>
      </c>
      <c r="AB388">
        <v>1</v>
      </c>
      <c r="AD388" t="s">
        <v>63</v>
      </c>
      <c r="AG388" t="s">
        <v>54</v>
      </c>
      <c r="AH388" t="s">
        <v>215</v>
      </c>
      <c r="AI388" t="s">
        <v>77</v>
      </c>
      <c r="AJ388" t="s">
        <v>54</v>
      </c>
      <c r="AK388" t="s">
        <v>2894</v>
      </c>
      <c r="AL388" t="s">
        <v>2895</v>
      </c>
      <c r="AN388" s="19">
        <f>IF(ISBLANK(Mentors[[#This Row],[Onboarded Date]]),"",Mentors[[#This Row],[Onboarded Date]]-WEEKDAY(Mentors[[#This Row],[Onboarded Date]],2)+1)</f>
        <v>45656</v>
      </c>
    </row>
    <row r="389" spans="1:40" ht="19.2" customHeight="1" x14ac:dyDescent="0.3">
      <c r="A389" t="s">
        <v>2896</v>
      </c>
      <c r="B389" t="s">
        <v>152</v>
      </c>
      <c r="C389" t="s">
        <v>2897</v>
      </c>
      <c r="D389" s="24" t="s">
        <v>2898</v>
      </c>
      <c r="E389" t="s">
        <v>2899</v>
      </c>
      <c r="F389">
        <v>2000</v>
      </c>
      <c r="G389">
        <f>IF(OR(Mentors[[#This Row],[Career Start Year]]="NA",ISBLANK(Mentors[[#This Row],[Career Start Year]])),"",2026 - Mentors[[#This Row],[Career Start Year]])</f>
        <v>26</v>
      </c>
      <c r="H38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89" t="s">
        <v>51</v>
      </c>
      <c r="J389" t="s">
        <v>196</v>
      </c>
      <c r="K389" t="s">
        <v>2900</v>
      </c>
      <c r="L389" s="17">
        <v>6363322745</v>
      </c>
      <c r="M389" s="19">
        <v>45658</v>
      </c>
      <c r="O389" t="s">
        <v>0</v>
      </c>
      <c r="Q389" t="s">
        <v>54</v>
      </c>
      <c r="R389" t="s">
        <v>63</v>
      </c>
      <c r="S389" t="s">
        <v>63</v>
      </c>
      <c r="T389" t="s">
        <v>77</v>
      </c>
      <c r="U389" t="s">
        <v>65</v>
      </c>
      <c r="V389" t="s">
        <v>198</v>
      </c>
      <c r="W389" t="s">
        <v>57</v>
      </c>
      <c r="Z389" t="s">
        <v>61</v>
      </c>
      <c r="AA389" t="s">
        <v>62</v>
      </c>
      <c r="AB389">
        <v>1</v>
      </c>
      <c r="AD389" t="s">
        <v>63</v>
      </c>
      <c r="AE389" t="s">
        <v>63</v>
      </c>
      <c r="AG389" t="s">
        <v>54</v>
      </c>
      <c r="AH389" t="s">
        <v>152</v>
      </c>
      <c r="AI389" t="s">
        <v>1064</v>
      </c>
      <c r="AJ389" t="s">
        <v>54</v>
      </c>
      <c r="AK389" t="s">
        <v>2901</v>
      </c>
      <c r="AL389" t="s">
        <v>2902</v>
      </c>
      <c r="AN389" s="19">
        <f>IF(ISBLANK(Mentors[[#This Row],[Onboarded Date]]),"",Mentors[[#This Row],[Onboarded Date]]-WEEKDAY(Mentors[[#This Row],[Onboarded Date]],2)+1)</f>
        <v>45656</v>
      </c>
    </row>
    <row r="390" spans="1:40" ht="19.2" customHeight="1" x14ac:dyDescent="0.3">
      <c r="A390" t="s">
        <v>2903</v>
      </c>
      <c r="B390" t="s">
        <v>2904</v>
      </c>
      <c r="C390" t="s">
        <v>2905</v>
      </c>
      <c r="D390" s="24" t="s">
        <v>2906</v>
      </c>
      <c r="E390" t="s">
        <v>2907</v>
      </c>
      <c r="F390">
        <v>1999</v>
      </c>
      <c r="G390">
        <f>IF(OR(Mentors[[#This Row],[Career Start Year]]="NA",ISBLANK(Mentors[[#This Row],[Career Start Year]])),"",2026 - Mentors[[#This Row],[Career Start Year]])</f>
        <v>27</v>
      </c>
      <c r="H39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90" t="s">
        <v>51</v>
      </c>
      <c r="J390" t="s">
        <v>140</v>
      </c>
      <c r="K390" t="s">
        <v>2908</v>
      </c>
      <c r="L390" s="17" t="s">
        <v>2909</v>
      </c>
      <c r="M390" s="19">
        <v>45658</v>
      </c>
      <c r="O390" t="s">
        <v>0</v>
      </c>
      <c r="Q390" t="s">
        <v>63</v>
      </c>
      <c r="R390" t="s">
        <v>63</v>
      </c>
      <c r="S390" t="s">
        <v>54</v>
      </c>
      <c r="T390" t="s">
        <v>187</v>
      </c>
      <c r="U390" t="s">
        <v>99</v>
      </c>
      <c r="V390" t="s">
        <v>78</v>
      </c>
      <c r="W390" t="s">
        <v>79</v>
      </c>
      <c r="Z390" t="s">
        <v>61</v>
      </c>
      <c r="AA390" t="s">
        <v>62</v>
      </c>
      <c r="AB390">
        <v>1</v>
      </c>
      <c r="AD390" t="s">
        <v>63</v>
      </c>
      <c r="AG390" t="s">
        <v>54</v>
      </c>
      <c r="AH390" t="s">
        <v>215</v>
      </c>
      <c r="AI390" t="s">
        <v>66</v>
      </c>
      <c r="AJ390" t="s">
        <v>54</v>
      </c>
      <c r="AK390" t="s">
        <v>2910</v>
      </c>
      <c r="AL390" t="s">
        <v>2911</v>
      </c>
      <c r="AN390" s="19">
        <f>IF(ISBLANK(Mentors[[#This Row],[Onboarded Date]]),"",Mentors[[#This Row],[Onboarded Date]]-WEEKDAY(Mentors[[#This Row],[Onboarded Date]],2)+1)</f>
        <v>45656</v>
      </c>
    </row>
    <row r="391" spans="1:40" ht="19.2" customHeight="1" x14ac:dyDescent="0.3">
      <c r="A391" t="s">
        <v>2912</v>
      </c>
      <c r="B391" t="s">
        <v>2913</v>
      </c>
      <c r="C391" t="s">
        <v>2914</v>
      </c>
      <c r="D391" s="24" t="s">
        <v>2915</v>
      </c>
      <c r="E391" t="s">
        <v>2916</v>
      </c>
      <c r="F391">
        <v>2007</v>
      </c>
      <c r="G391">
        <f>IF(OR(Mentors[[#This Row],[Career Start Year]]="NA",ISBLANK(Mentors[[#This Row],[Career Start Year]])),"",2026 - Mentors[[#This Row],[Career Start Year]])</f>
        <v>19</v>
      </c>
      <c r="H39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91" t="s">
        <v>2917</v>
      </c>
      <c r="J391" t="s">
        <v>2918</v>
      </c>
      <c r="K391" t="s">
        <v>2919</v>
      </c>
      <c r="L391" s="17">
        <v>7838397713</v>
      </c>
      <c r="M391" s="19">
        <v>45658</v>
      </c>
      <c r="O391" t="s">
        <v>0</v>
      </c>
      <c r="Q391" t="s">
        <v>54</v>
      </c>
      <c r="R391" t="s">
        <v>63</v>
      </c>
      <c r="S391" t="s">
        <v>63</v>
      </c>
      <c r="T391" t="s">
        <v>56</v>
      </c>
      <c r="U391" t="s">
        <v>65</v>
      </c>
      <c r="V391" t="s">
        <v>78</v>
      </c>
      <c r="W391" t="s">
        <v>2920</v>
      </c>
      <c r="X391" t="s">
        <v>80</v>
      </c>
      <c r="Y391" t="s">
        <v>59</v>
      </c>
      <c r="Z391" t="s">
        <v>61</v>
      </c>
      <c r="AA391" t="s">
        <v>62</v>
      </c>
      <c r="AB391">
        <v>1</v>
      </c>
      <c r="AD391" t="s">
        <v>63</v>
      </c>
      <c r="AE391" t="s">
        <v>63</v>
      </c>
      <c r="AG391" t="s">
        <v>54</v>
      </c>
      <c r="AH391" t="s">
        <v>152</v>
      </c>
      <c r="AI391" t="s">
        <v>132</v>
      </c>
      <c r="AJ391" t="s">
        <v>54</v>
      </c>
      <c r="AK391" t="s">
        <v>2921</v>
      </c>
      <c r="AL391" t="s">
        <v>2922</v>
      </c>
      <c r="AN391" s="19">
        <f>IF(ISBLANK(Mentors[[#This Row],[Onboarded Date]]),"",Mentors[[#This Row],[Onboarded Date]]-WEEKDAY(Mentors[[#This Row],[Onboarded Date]],2)+1)</f>
        <v>45656</v>
      </c>
    </row>
    <row r="392" spans="1:40" ht="19.2" customHeight="1" x14ac:dyDescent="0.3">
      <c r="A392" t="s">
        <v>2923</v>
      </c>
      <c r="B392" t="s">
        <v>1461</v>
      </c>
      <c r="C392" t="s">
        <v>2924</v>
      </c>
      <c r="D392" s="24" t="s">
        <v>2925</v>
      </c>
      <c r="E392" t="s">
        <v>2926</v>
      </c>
      <c r="F392">
        <v>1987</v>
      </c>
      <c r="G392">
        <f>IF(OR(Mentors[[#This Row],[Career Start Year]]="NA",ISBLANK(Mentors[[#This Row],[Career Start Year]])),"",2026 - Mentors[[#This Row],[Career Start Year]])</f>
        <v>39</v>
      </c>
      <c r="H39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92" t="s">
        <v>51</v>
      </c>
      <c r="J392" t="s">
        <v>496</v>
      </c>
      <c r="K392" t="s">
        <v>2927</v>
      </c>
      <c r="L392" s="17">
        <v>9408428990</v>
      </c>
      <c r="M392" s="19">
        <v>45658</v>
      </c>
      <c r="O392" t="s">
        <v>0</v>
      </c>
      <c r="Q392" t="s">
        <v>63</v>
      </c>
      <c r="R392" t="s">
        <v>63</v>
      </c>
      <c r="S392" t="s">
        <v>54</v>
      </c>
      <c r="T392" t="s">
        <v>99</v>
      </c>
      <c r="U392" t="s">
        <v>100</v>
      </c>
      <c r="V392" t="s">
        <v>78</v>
      </c>
      <c r="W392" t="s">
        <v>79</v>
      </c>
      <c r="X392" t="s">
        <v>59</v>
      </c>
      <c r="Y392" t="s">
        <v>60</v>
      </c>
      <c r="Z392" t="s">
        <v>61</v>
      </c>
      <c r="AA392" t="s">
        <v>62</v>
      </c>
      <c r="AB392">
        <v>1</v>
      </c>
      <c r="AD392" t="s">
        <v>63</v>
      </c>
      <c r="AG392" t="s">
        <v>54</v>
      </c>
      <c r="AH392" t="s">
        <v>131</v>
      </c>
      <c r="AI392" t="s">
        <v>1168</v>
      </c>
      <c r="AJ392" t="s">
        <v>63</v>
      </c>
      <c r="AK392" t="s">
        <v>2928</v>
      </c>
      <c r="AL392" t="s">
        <v>2929</v>
      </c>
      <c r="AN392" s="19">
        <f>IF(ISBLANK(Mentors[[#This Row],[Onboarded Date]]),"",Mentors[[#This Row],[Onboarded Date]]-WEEKDAY(Mentors[[#This Row],[Onboarded Date]],2)+1)</f>
        <v>45656</v>
      </c>
    </row>
    <row r="393" spans="1:40" ht="19.2" customHeight="1" x14ac:dyDescent="0.3">
      <c r="A393" t="s">
        <v>2930</v>
      </c>
      <c r="B393" t="s">
        <v>2931</v>
      </c>
      <c r="C393" t="s">
        <v>2932</v>
      </c>
      <c r="D393" s="24" t="s">
        <v>2933</v>
      </c>
      <c r="E393" t="s">
        <v>2934</v>
      </c>
      <c r="F393">
        <v>1997</v>
      </c>
      <c r="G393">
        <f>IF(OR(Mentors[[#This Row],[Career Start Year]]="NA",ISBLANK(Mentors[[#This Row],[Career Start Year]])),"",2026 - Mentors[[#This Row],[Career Start Year]])</f>
        <v>29</v>
      </c>
      <c r="H39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93" t="s">
        <v>51</v>
      </c>
      <c r="J393" t="s">
        <v>88</v>
      </c>
      <c r="K393" t="s">
        <v>2935</v>
      </c>
      <c r="L393" s="17">
        <v>9908344404</v>
      </c>
      <c r="M393" s="19">
        <v>45658</v>
      </c>
      <c r="N393" t="s">
        <v>10</v>
      </c>
      <c r="O393" t="s">
        <v>0</v>
      </c>
      <c r="Q393" t="s">
        <v>54</v>
      </c>
      <c r="R393" t="s">
        <v>63</v>
      </c>
      <c r="S393" t="s">
        <v>54</v>
      </c>
      <c r="T393" s="11" t="s">
        <v>247</v>
      </c>
      <c r="U393" t="s">
        <v>77</v>
      </c>
      <c r="V393" t="s">
        <v>57</v>
      </c>
      <c r="W393" t="s">
        <v>79</v>
      </c>
      <c r="X393" t="s">
        <v>1120</v>
      </c>
      <c r="Y393" t="s">
        <v>59</v>
      </c>
      <c r="Z393" t="s">
        <v>81</v>
      </c>
      <c r="AA393" t="s">
        <v>62</v>
      </c>
      <c r="AB393">
        <v>1</v>
      </c>
      <c r="AD393" t="s">
        <v>54</v>
      </c>
      <c r="AE393" t="s">
        <v>63</v>
      </c>
      <c r="AG393" t="s">
        <v>54</v>
      </c>
      <c r="AH393" t="s">
        <v>131</v>
      </c>
      <c r="AI393" t="s">
        <v>248</v>
      </c>
      <c r="AJ393" t="s">
        <v>54</v>
      </c>
      <c r="AK393" t="s">
        <v>2936</v>
      </c>
      <c r="AL393" t="s">
        <v>2937</v>
      </c>
      <c r="AN393" s="19">
        <f>IF(ISBLANK(Mentors[[#This Row],[Onboarded Date]]),"",Mentors[[#This Row],[Onboarded Date]]-WEEKDAY(Mentors[[#This Row],[Onboarded Date]],2)+1)</f>
        <v>45656</v>
      </c>
    </row>
    <row r="394" spans="1:40" ht="19.2" customHeight="1" x14ac:dyDescent="0.3">
      <c r="A394" t="s">
        <v>2938</v>
      </c>
      <c r="B394" t="s">
        <v>2939</v>
      </c>
      <c r="C394" t="s">
        <v>85</v>
      </c>
      <c r="D394" s="24" t="s">
        <v>2940</v>
      </c>
      <c r="E394" t="s">
        <v>2941</v>
      </c>
      <c r="F394">
        <v>2020</v>
      </c>
      <c r="G394">
        <f>IF(OR(Mentors[[#This Row],[Career Start Year]]="NA",ISBLANK(Mentors[[#This Row],[Career Start Year]])),"",2026 - Mentors[[#This Row],[Career Start Year]])</f>
        <v>6</v>
      </c>
      <c r="H39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394" t="s">
        <v>51</v>
      </c>
      <c r="J394" t="s">
        <v>52</v>
      </c>
      <c r="K394" t="s">
        <v>2942</v>
      </c>
      <c r="L394" s="17">
        <v>9899942751</v>
      </c>
      <c r="M394" s="19">
        <v>45658</v>
      </c>
      <c r="O394" t="s">
        <v>0</v>
      </c>
      <c r="Q394" t="s">
        <v>54</v>
      </c>
      <c r="R394" t="s">
        <v>54</v>
      </c>
      <c r="S394" t="s">
        <v>54</v>
      </c>
      <c r="T394" t="s">
        <v>56</v>
      </c>
      <c r="U394" s="4" t="s">
        <v>381</v>
      </c>
      <c r="V394" t="s">
        <v>78</v>
      </c>
      <c r="W394" t="s">
        <v>79</v>
      </c>
      <c r="Z394" t="s">
        <v>101</v>
      </c>
      <c r="AA394" t="s">
        <v>62</v>
      </c>
      <c r="AB394">
        <v>1</v>
      </c>
      <c r="AD394" t="s">
        <v>54</v>
      </c>
      <c r="AE394" t="s">
        <v>54</v>
      </c>
      <c r="AG394" t="s">
        <v>54</v>
      </c>
      <c r="AH394" t="s">
        <v>65</v>
      </c>
      <c r="AI394" t="s">
        <v>132</v>
      </c>
      <c r="AJ394" t="s">
        <v>54</v>
      </c>
      <c r="AK394" t="s">
        <v>2943</v>
      </c>
      <c r="AL394" t="s">
        <v>2944</v>
      </c>
      <c r="AN394" s="19">
        <f>IF(ISBLANK(Mentors[[#This Row],[Onboarded Date]]),"",Mentors[[#This Row],[Onboarded Date]]-WEEKDAY(Mentors[[#This Row],[Onboarded Date]],2)+1)</f>
        <v>45656</v>
      </c>
    </row>
    <row r="395" spans="1:40" ht="19.2" customHeight="1" x14ac:dyDescent="0.3">
      <c r="A395" t="s">
        <v>2945</v>
      </c>
      <c r="B395" t="s">
        <v>2946</v>
      </c>
      <c r="C395" t="s">
        <v>2947</v>
      </c>
      <c r="D395" s="24" t="s">
        <v>2948</v>
      </c>
      <c r="E395" s="7" t="s">
        <v>2949</v>
      </c>
      <c r="F395">
        <v>1990</v>
      </c>
      <c r="G395">
        <f>IF(OR(Mentors[[#This Row],[Career Start Year]]="NA",ISBLANK(Mentors[[#This Row],[Career Start Year]])),"",2026 - Mentors[[#This Row],[Career Start Year]])</f>
        <v>36</v>
      </c>
      <c r="H39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95" t="s">
        <v>51</v>
      </c>
      <c r="J395" t="s">
        <v>297</v>
      </c>
      <c r="K395" t="s">
        <v>2950</v>
      </c>
      <c r="L395" s="17">
        <v>9811226522</v>
      </c>
      <c r="M395" s="19">
        <v>45658</v>
      </c>
      <c r="O395" t="s">
        <v>0</v>
      </c>
      <c r="Q395" t="s">
        <v>54</v>
      </c>
      <c r="R395" t="s">
        <v>54</v>
      </c>
      <c r="S395" t="s">
        <v>63</v>
      </c>
      <c r="T395" t="s">
        <v>110</v>
      </c>
      <c r="U395" t="s">
        <v>77</v>
      </c>
      <c r="V395" s="4" t="s">
        <v>78</v>
      </c>
      <c r="W395" s="4" t="s">
        <v>79</v>
      </c>
      <c r="X395" s="4"/>
      <c r="Y395" s="4"/>
      <c r="Z395" t="s">
        <v>81</v>
      </c>
      <c r="AA395" t="s">
        <v>62</v>
      </c>
      <c r="AB395">
        <v>1</v>
      </c>
      <c r="AD395" t="s">
        <v>63</v>
      </c>
      <c r="AE395" t="s">
        <v>54</v>
      </c>
      <c r="AG395" t="s">
        <v>54</v>
      </c>
      <c r="AH395" t="s">
        <v>65</v>
      </c>
      <c r="AI395" t="s">
        <v>122</v>
      </c>
      <c r="AJ395" t="s">
        <v>54</v>
      </c>
      <c r="AK395" t="s">
        <v>2951</v>
      </c>
      <c r="AL395" t="s">
        <v>2952</v>
      </c>
      <c r="AN395" s="19">
        <f>IF(ISBLANK(Mentors[[#This Row],[Onboarded Date]]),"",Mentors[[#This Row],[Onboarded Date]]-WEEKDAY(Mentors[[#This Row],[Onboarded Date]],2)+1)</f>
        <v>45656</v>
      </c>
    </row>
    <row r="396" spans="1:40" ht="19.2" customHeight="1" x14ac:dyDescent="0.3">
      <c r="A396" t="s">
        <v>2953</v>
      </c>
      <c r="B396" t="s">
        <v>2954</v>
      </c>
      <c r="C396" t="s">
        <v>2955</v>
      </c>
      <c r="D396" s="24" t="s">
        <v>2956</v>
      </c>
      <c r="E396" t="s">
        <v>2957</v>
      </c>
      <c r="F396">
        <v>1997</v>
      </c>
      <c r="G396">
        <f>IF(OR(Mentors[[#This Row],[Career Start Year]]="NA",ISBLANK(Mentors[[#This Row],[Career Start Year]])),"",2026 - Mentors[[#This Row],[Career Start Year]])</f>
        <v>29</v>
      </c>
      <c r="H39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96" t="s">
        <v>51</v>
      </c>
      <c r="J396" t="s">
        <v>297</v>
      </c>
      <c r="K396" t="s">
        <v>2958</v>
      </c>
      <c r="L396" s="17">
        <v>9810402122</v>
      </c>
      <c r="M396" s="19">
        <v>45658</v>
      </c>
      <c r="O396" t="s">
        <v>0</v>
      </c>
      <c r="Q396" t="s">
        <v>54</v>
      </c>
      <c r="R396" t="s">
        <v>54</v>
      </c>
      <c r="S396" t="s">
        <v>54</v>
      </c>
      <c r="T396" t="s">
        <v>110</v>
      </c>
      <c r="U396" t="s">
        <v>77</v>
      </c>
      <c r="V396" t="s">
        <v>58</v>
      </c>
      <c r="W396" s="4" t="s">
        <v>58</v>
      </c>
      <c r="X396" s="4" t="s">
        <v>59</v>
      </c>
      <c r="Y396" s="4"/>
      <c r="Z396" t="s">
        <v>81</v>
      </c>
      <c r="AA396" t="s">
        <v>62</v>
      </c>
      <c r="AB396">
        <v>1</v>
      </c>
      <c r="AD396" t="s">
        <v>54</v>
      </c>
      <c r="AE396" t="s">
        <v>54</v>
      </c>
      <c r="AG396" t="s">
        <v>54</v>
      </c>
      <c r="AH396" t="s">
        <v>131</v>
      </c>
      <c r="AI396" t="s">
        <v>122</v>
      </c>
      <c r="AJ396" t="s">
        <v>54</v>
      </c>
      <c r="AK396" t="s">
        <v>2959</v>
      </c>
      <c r="AL396" t="s">
        <v>2960</v>
      </c>
      <c r="AN396" s="19">
        <f>IF(ISBLANK(Mentors[[#This Row],[Onboarded Date]]),"",Mentors[[#This Row],[Onboarded Date]]-WEEKDAY(Mentors[[#This Row],[Onboarded Date]],2)+1)</f>
        <v>45656</v>
      </c>
    </row>
    <row r="397" spans="1:40" ht="19.2" customHeight="1" x14ac:dyDescent="0.3">
      <c r="A397" t="s">
        <v>2961</v>
      </c>
      <c r="B397" t="s">
        <v>2962</v>
      </c>
      <c r="C397" t="s">
        <v>2963</v>
      </c>
      <c r="D397" s="9" t="s">
        <v>2964</v>
      </c>
      <c r="E397" s="7" t="s">
        <v>2965</v>
      </c>
      <c r="F397">
        <v>2006</v>
      </c>
      <c r="G397">
        <f>IF(OR(Mentors[[#This Row],[Career Start Year]]="NA",ISBLANK(Mentors[[#This Row],[Career Start Year]])),"",2026 - Mentors[[#This Row],[Career Start Year]])</f>
        <v>20</v>
      </c>
      <c r="H39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397" t="s">
        <v>51</v>
      </c>
      <c r="J397" t="s">
        <v>88</v>
      </c>
      <c r="K397" s="7" t="s">
        <v>2966</v>
      </c>
      <c r="L397" s="17">
        <v>9820164379</v>
      </c>
      <c r="M397" s="19">
        <v>45658</v>
      </c>
      <c r="O397" t="s">
        <v>0</v>
      </c>
      <c r="Q397" t="s">
        <v>54</v>
      </c>
      <c r="R397" t="s">
        <v>63</v>
      </c>
      <c r="S397" t="s">
        <v>63</v>
      </c>
      <c r="T397" t="s">
        <v>187</v>
      </c>
      <c r="U397" t="s">
        <v>445</v>
      </c>
      <c r="V397" s="4" t="s">
        <v>256</v>
      </c>
      <c r="W397" t="s">
        <v>79</v>
      </c>
      <c r="X397" t="s">
        <v>59</v>
      </c>
      <c r="Z397" t="s">
        <v>61</v>
      </c>
      <c r="AA397" t="s">
        <v>62</v>
      </c>
      <c r="AB397">
        <v>1</v>
      </c>
      <c r="AD397" t="s">
        <v>63</v>
      </c>
      <c r="AE397" t="s">
        <v>63</v>
      </c>
      <c r="AG397" t="s">
        <v>54</v>
      </c>
      <c r="AH397" t="s">
        <v>152</v>
      </c>
      <c r="AI397" t="s">
        <v>132</v>
      </c>
      <c r="AJ397" t="s">
        <v>54</v>
      </c>
      <c r="AK397" t="s">
        <v>2967</v>
      </c>
      <c r="AL397" t="s">
        <v>2968</v>
      </c>
      <c r="AN397" s="19">
        <f>IF(ISBLANK(Mentors[[#This Row],[Onboarded Date]]),"",Mentors[[#This Row],[Onboarded Date]]-WEEKDAY(Mentors[[#This Row],[Onboarded Date]],2)+1)</f>
        <v>45656</v>
      </c>
    </row>
    <row r="398" spans="1:40" ht="19.2" customHeight="1" x14ac:dyDescent="0.3">
      <c r="A398" t="s">
        <v>2969</v>
      </c>
      <c r="B398" t="s">
        <v>2970</v>
      </c>
      <c r="C398" t="s">
        <v>2971</v>
      </c>
      <c r="D398" s="24" t="s">
        <v>2972</v>
      </c>
      <c r="E398" t="s">
        <v>2973</v>
      </c>
      <c r="F398">
        <v>2004</v>
      </c>
      <c r="G398">
        <f>IF(OR(Mentors[[#This Row],[Career Start Year]]="NA",ISBLANK(Mentors[[#This Row],[Career Start Year]])),"",2026 - Mentors[[#This Row],[Career Start Year]])</f>
        <v>22</v>
      </c>
      <c r="H39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398" t="s">
        <v>51</v>
      </c>
      <c r="J398" t="s">
        <v>196</v>
      </c>
      <c r="K398" t="s">
        <v>2974</v>
      </c>
      <c r="L398" s="17">
        <v>9945533274</v>
      </c>
      <c r="M398" s="19">
        <v>45658</v>
      </c>
      <c r="O398" t="s">
        <v>0</v>
      </c>
      <c r="Q398" t="s">
        <v>54</v>
      </c>
      <c r="R398" t="s">
        <v>54</v>
      </c>
      <c r="S398" t="s">
        <v>54</v>
      </c>
      <c r="T398" s="4" t="s">
        <v>756</v>
      </c>
      <c r="U398" t="s">
        <v>65</v>
      </c>
      <c r="V398" t="s">
        <v>57</v>
      </c>
      <c r="W398" t="s">
        <v>79</v>
      </c>
      <c r="Z398" t="s">
        <v>61</v>
      </c>
      <c r="AA398" t="s">
        <v>62</v>
      </c>
      <c r="AB398">
        <v>1</v>
      </c>
      <c r="AD398" t="s">
        <v>54</v>
      </c>
      <c r="AE398" t="s">
        <v>54</v>
      </c>
      <c r="AG398" t="s">
        <v>54</v>
      </c>
      <c r="AH398" t="s">
        <v>65</v>
      </c>
      <c r="AI398" t="s">
        <v>412</v>
      </c>
      <c r="AJ398" t="s">
        <v>54</v>
      </c>
      <c r="AK398" t="s">
        <v>2975</v>
      </c>
      <c r="AL398" t="s">
        <v>2976</v>
      </c>
      <c r="AN398" s="19">
        <f>IF(ISBLANK(Mentors[[#This Row],[Onboarded Date]]),"",Mentors[[#This Row],[Onboarded Date]]-WEEKDAY(Mentors[[#This Row],[Onboarded Date]],2)+1)</f>
        <v>45656</v>
      </c>
    </row>
    <row r="399" spans="1:40" ht="19.2" customHeight="1" x14ac:dyDescent="0.3">
      <c r="A399" t="s">
        <v>2977</v>
      </c>
      <c r="B399" t="s">
        <v>2978</v>
      </c>
      <c r="C399" t="s">
        <v>2979</v>
      </c>
      <c r="D399" s="24" t="s">
        <v>2980</v>
      </c>
      <c r="E399" t="s">
        <v>2981</v>
      </c>
      <c r="F399">
        <v>2016</v>
      </c>
      <c r="G399">
        <f>IF(OR(Mentors[[#This Row],[Career Start Year]]="NA",ISBLANK(Mentors[[#This Row],[Career Start Year]])),"",2026 - Mentors[[#This Row],[Career Start Year]])</f>
        <v>10</v>
      </c>
      <c r="H39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399" t="s">
        <v>51</v>
      </c>
      <c r="J399" t="s">
        <v>52</v>
      </c>
      <c r="K399" t="s">
        <v>2982</v>
      </c>
      <c r="L399" s="17">
        <v>9790162652</v>
      </c>
      <c r="M399" s="19">
        <v>45658</v>
      </c>
      <c r="O399" t="s">
        <v>0</v>
      </c>
      <c r="Q399" t="s">
        <v>63</v>
      </c>
      <c r="R399" t="s">
        <v>63</v>
      </c>
      <c r="S399" t="s">
        <v>63</v>
      </c>
      <c r="T399" s="4" t="s">
        <v>90</v>
      </c>
      <c r="U399" t="s">
        <v>99</v>
      </c>
      <c r="V399" t="s">
        <v>78</v>
      </c>
      <c r="W399" t="s">
        <v>79</v>
      </c>
      <c r="X399" t="s">
        <v>80</v>
      </c>
      <c r="Z399" t="s">
        <v>61</v>
      </c>
      <c r="AA399" t="s">
        <v>62</v>
      </c>
      <c r="AB399">
        <v>1</v>
      </c>
      <c r="AD399" t="s">
        <v>54</v>
      </c>
      <c r="AE399" t="s">
        <v>63</v>
      </c>
      <c r="AG399" t="s">
        <v>54</v>
      </c>
      <c r="AH399" t="s">
        <v>215</v>
      </c>
      <c r="AI399" t="s">
        <v>248</v>
      </c>
      <c r="AJ399" t="s">
        <v>54</v>
      </c>
      <c r="AK399" t="s">
        <v>2983</v>
      </c>
      <c r="AL399" t="s">
        <v>2984</v>
      </c>
      <c r="AN399" s="19">
        <f>IF(ISBLANK(Mentors[[#This Row],[Onboarded Date]]),"",Mentors[[#This Row],[Onboarded Date]]-WEEKDAY(Mentors[[#This Row],[Onboarded Date]],2)+1)</f>
        <v>45656</v>
      </c>
    </row>
    <row r="400" spans="1:40" ht="19.2" customHeight="1" x14ac:dyDescent="0.3">
      <c r="A400" t="s">
        <v>2985</v>
      </c>
      <c r="B400" t="s">
        <v>260</v>
      </c>
      <c r="C400" t="s">
        <v>2986</v>
      </c>
      <c r="D400" s="24" t="s">
        <v>2987</v>
      </c>
      <c r="E400" t="s">
        <v>2988</v>
      </c>
      <c r="F400">
        <v>2016</v>
      </c>
      <c r="G400">
        <f>IF(OR(Mentors[[#This Row],[Career Start Year]]="NA",ISBLANK(Mentors[[#This Row],[Career Start Year]])),"",2026 - Mentors[[#This Row],[Career Start Year]])</f>
        <v>10</v>
      </c>
      <c r="H40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400" t="s">
        <v>51</v>
      </c>
      <c r="J400" t="s">
        <v>196</v>
      </c>
      <c r="K400" t="s">
        <v>2989</v>
      </c>
      <c r="L400" s="17">
        <v>8759456371</v>
      </c>
      <c r="M400" s="19">
        <v>45658</v>
      </c>
      <c r="O400" t="s">
        <v>0</v>
      </c>
      <c r="Q400" t="s">
        <v>63</v>
      </c>
      <c r="R400" t="s">
        <v>63</v>
      </c>
      <c r="S400" t="s">
        <v>63</v>
      </c>
      <c r="T400" t="s">
        <v>77</v>
      </c>
      <c r="U400" t="s">
        <v>100</v>
      </c>
      <c r="V400" t="s">
        <v>57</v>
      </c>
      <c r="W400" t="s">
        <v>78</v>
      </c>
      <c r="Z400" t="s">
        <v>61</v>
      </c>
      <c r="AA400" t="s">
        <v>62</v>
      </c>
      <c r="AB400">
        <v>1</v>
      </c>
      <c r="AD400" t="s">
        <v>54</v>
      </c>
      <c r="AE400" t="s">
        <v>63</v>
      </c>
      <c r="AG400" t="s">
        <v>54</v>
      </c>
      <c r="AH400" t="s">
        <v>152</v>
      </c>
      <c r="AI400" t="s">
        <v>132</v>
      </c>
      <c r="AJ400" t="s">
        <v>54</v>
      </c>
      <c r="AK400" t="s">
        <v>2990</v>
      </c>
      <c r="AL400" t="s">
        <v>2991</v>
      </c>
      <c r="AN400" s="19">
        <f>IF(ISBLANK(Mentors[[#This Row],[Onboarded Date]]),"",Mentors[[#This Row],[Onboarded Date]]-WEEKDAY(Mentors[[#This Row],[Onboarded Date]],2)+1)</f>
        <v>45656</v>
      </c>
    </row>
    <row r="401" spans="1:40" ht="19.2" customHeight="1" x14ac:dyDescent="0.3">
      <c r="A401" t="s">
        <v>2992</v>
      </c>
      <c r="B401" t="s">
        <v>2993</v>
      </c>
      <c r="C401" t="s">
        <v>2994</v>
      </c>
      <c r="D401" s="24" t="s">
        <v>2995</v>
      </c>
      <c r="E401" t="s">
        <v>2996</v>
      </c>
      <c r="F401">
        <v>2019</v>
      </c>
      <c r="G401">
        <f>IF(OR(Mentors[[#This Row],[Career Start Year]]="NA",ISBLANK(Mentors[[#This Row],[Career Start Year]])),"",2026 - Mentors[[#This Row],[Career Start Year]])</f>
        <v>7</v>
      </c>
      <c r="H40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401" t="s">
        <v>51</v>
      </c>
      <c r="J401" t="s">
        <v>2997</v>
      </c>
      <c r="K401" t="s">
        <v>2998</v>
      </c>
      <c r="L401" s="17">
        <v>8302375269</v>
      </c>
      <c r="M401" s="19">
        <v>45658</v>
      </c>
      <c r="O401" t="s">
        <v>0</v>
      </c>
      <c r="Q401" t="s">
        <v>54</v>
      </c>
      <c r="R401" t="s">
        <v>63</v>
      </c>
      <c r="S401" t="s">
        <v>54</v>
      </c>
      <c r="T401" t="s">
        <v>77</v>
      </c>
      <c r="U401" t="s">
        <v>99</v>
      </c>
      <c r="V401" t="s">
        <v>198</v>
      </c>
      <c r="W401" t="s">
        <v>120</v>
      </c>
      <c r="X401" t="s">
        <v>59</v>
      </c>
      <c r="Z401" t="s">
        <v>61</v>
      </c>
      <c r="AA401" t="s">
        <v>62</v>
      </c>
      <c r="AB401">
        <v>1</v>
      </c>
      <c r="AD401" t="s">
        <v>54</v>
      </c>
      <c r="AE401" t="s">
        <v>63</v>
      </c>
      <c r="AG401" t="s">
        <v>54</v>
      </c>
      <c r="AH401" t="s">
        <v>65</v>
      </c>
      <c r="AI401" t="s">
        <v>248</v>
      </c>
      <c r="AJ401" t="s">
        <v>54</v>
      </c>
      <c r="AK401" t="s">
        <v>2999</v>
      </c>
      <c r="AL401" t="s">
        <v>3000</v>
      </c>
      <c r="AN401" s="19">
        <f>IF(ISBLANK(Mentors[[#This Row],[Onboarded Date]]),"",Mentors[[#This Row],[Onboarded Date]]-WEEKDAY(Mentors[[#This Row],[Onboarded Date]],2)+1)</f>
        <v>45656</v>
      </c>
    </row>
    <row r="402" spans="1:40" ht="19.2" customHeight="1" x14ac:dyDescent="0.3">
      <c r="A402" t="s">
        <v>3001</v>
      </c>
      <c r="B402" t="s">
        <v>260</v>
      </c>
      <c r="C402" t="s">
        <v>3002</v>
      </c>
      <c r="D402" s="24" t="s">
        <v>3003</v>
      </c>
      <c r="E402" t="s">
        <v>3004</v>
      </c>
      <c r="F402">
        <v>2011</v>
      </c>
      <c r="G402">
        <f>IF(OR(Mentors[[#This Row],[Career Start Year]]="NA",ISBLANK(Mentors[[#This Row],[Career Start Year]])),"",2026 - Mentors[[#This Row],[Career Start Year]])</f>
        <v>15</v>
      </c>
      <c r="H40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02" t="s">
        <v>51</v>
      </c>
      <c r="J402" t="s">
        <v>140</v>
      </c>
      <c r="K402" t="s">
        <v>3005</v>
      </c>
      <c r="L402" s="17">
        <v>9971429764</v>
      </c>
      <c r="M402" s="19">
        <v>45658</v>
      </c>
      <c r="O402" t="s">
        <v>0</v>
      </c>
      <c r="Q402" t="s">
        <v>63</v>
      </c>
      <c r="R402" t="s">
        <v>63</v>
      </c>
      <c r="S402" t="s">
        <v>63</v>
      </c>
      <c r="T402" s="4" t="s">
        <v>756</v>
      </c>
      <c r="U402" t="s">
        <v>99</v>
      </c>
      <c r="V402" t="s">
        <v>57</v>
      </c>
      <c r="W402" t="s">
        <v>198</v>
      </c>
      <c r="X402" t="s">
        <v>60</v>
      </c>
      <c r="Z402" t="s">
        <v>81</v>
      </c>
      <c r="AA402" t="s">
        <v>62</v>
      </c>
      <c r="AB402">
        <v>1</v>
      </c>
      <c r="AD402" t="s">
        <v>54</v>
      </c>
      <c r="AE402" t="s">
        <v>63</v>
      </c>
      <c r="AG402" t="s">
        <v>54</v>
      </c>
      <c r="AH402" t="s">
        <v>152</v>
      </c>
      <c r="AI402" t="s">
        <v>412</v>
      </c>
      <c r="AJ402" t="s">
        <v>54</v>
      </c>
      <c r="AK402" t="s">
        <v>3006</v>
      </c>
      <c r="AL402" t="s">
        <v>3007</v>
      </c>
      <c r="AN402" s="19">
        <f>IF(ISBLANK(Mentors[[#This Row],[Onboarded Date]]),"",Mentors[[#This Row],[Onboarded Date]]-WEEKDAY(Mentors[[#This Row],[Onboarded Date]],2)+1)</f>
        <v>45656</v>
      </c>
    </row>
    <row r="403" spans="1:40" ht="19.2" customHeight="1" x14ac:dyDescent="0.3">
      <c r="A403" t="s">
        <v>3008</v>
      </c>
      <c r="B403" t="s">
        <v>3009</v>
      </c>
      <c r="C403" t="s">
        <v>3010</v>
      </c>
      <c r="D403" s="24" t="s">
        <v>3011</v>
      </c>
      <c r="E403" t="s">
        <v>3012</v>
      </c>
      <c r="F403">
        <v>2001</v>
      </c>
      <c r="G403">
        <f>IF(OR(Mentors[[#This Row],[Career Start Year]]="NA",ISBLANK(Mentors[[#This Row],[Career Start Year]])),"",2026 - Mentors[[#This Row],[Career Start Year]])</f>
        <v>25</v>
      </c>
      <c r="H40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03" t="s">
        <v>51</v>
      </c>
      <c r="J403" t="s">
        <v>297</v>
      </c>
      <c r="K403" t="s">
        <v>3013</v>
      </c>
      <c r="L403" s="17">
        <v>7367057445</v>
      </c>
      <c r="M403" s="19">
        <v>45658</v>
      </c>
      <c r="N403" t="s">
        <v>10</v>
      </c>
      <c r="O403" t="s">
        <v>0</v>
      </c>
      <c r="Q403" t="s">
        <v>54</v>
      </c>
      <c r="R403" t="s">
        <v>54</v>
      </c>
      <c r="S403" t="s">
        <v>54</v>
      </c>
      <c r="T403" s="12" t="s">
        <v>166</v>
      </c>
      <c r="U403" t="s">
        <v>77</v>
      </c>
      <c r="V403" t="s">
        <v>57</v>
      </c>
      <c r="W403" t="s">
        <v>78</v>
      </c>
      <c r="Z403" t="s">
        <v>61</v>
      </c>
      <c r="AA403" t="s">
        <v>62</v>
      </c>
      <c r="AB403">
        <v>1</v>
      </c>
      <c r="AD403" t="s">
        <v>54</v>
      </c>
      <c r="AE403" t="s">
        <v>54</v>
      </c>
      <c r="AG403" t="s">
        <v>54</v>
      </c>
      <c r="AH403" t="s">
        <v>65</v>
      </c>
      <c r="AI403" t="s">
        <v>132</v>
      </c>
      <c r="AJ403" t="s">
        <v>54</v>
      </c>
      <c r="AK403" t="s">
        <v>3014</v>
      </c>
      <c r="AL403" t="s">
        <v>3015</v>
      </c>
      <c r="AN403" s="19">
        <f>IF(ISBLANK(Mentors[[#This Row],[Onboarded Date]]),"",Mentors[[#This Row],[Onboarded Date]]-WEEKDAY(Mentors[[#This Row],[Onboarded Date]],2)+1)</f>
        <v>45656</v>
      </c>
    </row>
    <row r="404" spans="1:40" ht="19.2" customHeight="1" x14ac:dyDescent="0.3">
      <c r="A404" t="s">
        <v>3016</v>
      </c>
      <c r="B404" t="s">
        <v>3017</v>
      </c>
      <c r="C404" t="s">
        <v>3018</v>
      </c>
      <c r="D404" s="24" t="s">
        <v>3019</v>
      </c>
      <c r="E404" t="s">
        <v>3020</v>
      </c>
      <c r="F404">
        <v>2017</v>
      </c>
      <c r="G404">
        <f>IF(OR(Mentors[[#This Row],[Career Start Year]]="NA",ISBLANK(Mentors[[#This Row],[Career Start Year]])),"",2026 - Mentors[[#This Row],[Career Start Year]])</f>
        <v>9</v>
      </c>
      <c r="H40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404" t="s">
        <v>51</v>
      </c>
      <c r="J404" t="s">
        <v>88</v>
      </c>
      <c r="K404" t="s">
        <v>3021</v>
      </c>
      <c r="L404" s="17">
        <v>7093847544</v>
      </c>
      <c r="M404" s="19">
        <v>45658</v>
      </c>
      <c r="O404" t="s">
        <v>0</v>
      </c>
      <c r="Q404" t="s">
        <v>54</v>
      </c>
      <c r="R404" t="s">
        <v>63</v>
      </c>
      <c r="S404" t="s">
        <v>63</v>
      </c>
      <c r="T404" t="s">
        <v>77</v>
      </c>
      <c r="U404" t="s">
        <v>65</v>
      </c>
      <c r="V404" t="s">
        <v>481</v>
      </c>
      <c r="W404" t="s">
        <v>256</v>
      </c>
      <c r="X404" t="s">
        <v>59</v>
      </c>
      <c r="Y404" t="s">
        <v>60</v>
      </c>
      <c r="Z404" t="s">
        <v>61</v>
      </c>
      <c r="AA404" t="s">
        <v>62</v>
      </c>
      <c r="AB404">
        <v>1</v>
      </c>
      <c r="AD404" t="s">
        <v>54</v>
      </c>
      <c r="AE404" t="s">
        <v>63</v>
      </c>
      <c r="AG404" t="s">
        <v>54</v>
      </c>
      <c r="AH404" t="s">
        <v>65</v>
      </c>
      <c r="AI404" t="s">
        <v>248</v>
      </c>
      <c r="AJ404" t="s">
        <v>54</v>
      </c>
      <c r="AK404" t="s">
        <v>3022</v>
      </c>
      <c r="AL404" t="s">
        <v>3023</v>
      </c>
      <c r="AN404" s="19">
        <f>IF(ISBLANK(Mentors[[#This Row],[Onboarded Date]]),"",Mentors[[#This Row],[Onboarded Date]]-WEEKDAY(Mentors[[#This Row],[Onboarded Date]],2)+1)</f>
        <v>45656</v>
      </c>
    </row>
    <row r="405" spans="1:40" ht="19.2" customHeight="1" x14ac:dyDescent="0.3">
      <c r="A405" t="s">
        <v>3024</v>
      </c>
      <c r="B405" t="s">
        <v>3025</v>
      </c>
      <c r="C405" t="s">
        <v>3026</v>
      </c>
      <c r="D405" s="24" t="s">
        <v>3027</v>
      </c>
      <c r="E405" t="s">
        <v>3028</v>
      </c>
      <c r="F405">
        <v>2005</v>
      </c>
      <c r="G405">
        <f>IF(OR(Mentors[[#This Row],[Career Start Year]]="NA",ISBLANK(Mentors[[#This Row],[Career Start Year]])),"",2026 - Mentors[[#This Row],[Career Start Year]])</f>
        <v>21</v>
      </c>
      <c r="H40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05" t="s">
        <v>51</v>
      </c>
      <c r="J405" t="s">
        <v>118</v>
      </c>
      <c r="K405" t="s">
        <v>3029</v>
      </c>
      <c r="L405" s="17">
        <v>9819391510</v>
      </c>
      <c r="M405" s="19">
        <v>45658</v>
      </c>
      <c r="O405" t="s">
        <v>0</v>
      </c>
      <c r="Q405" t="s">
        <v>54</v>
      </c>
      <c r="R405" t="s">
        <v>63</v>
      </c>
      <c r="S405" t="s">
        <v>63</v>
      </c>
      <c r="T405" t="s">
        <v>56</v>
      </c>
      <c r="U405" t="s">
        <v>187</v>
      </c>
      <c r="V405" t="s">
        <v>78</v>
      </c>
      <c r="W405" t="s">
        <v>57</v>
      </c>
      <c r="X405" t="s">
        <v>59</v>
      </c>
      <c r="Z405" t="s">
        <v>61</v>
      </c>
      <c r="AA405" t="s">
        <v>62</v>
      </c>
      <c r="AB405">
        <v>1</v>
      </c>
      <c r="AD405" t="s">
        <v>54</v>
      </c>
      <c r="AE405" t="s">
        <v>63</v>
      </c>
      <c r="AG405" t="s">
        <v>54</v>
      </c>
      <c r="AH405" t="s">
        <v>152</v>
      </c>
      <c r="AI405" t="s">
        <v>132</v>
      </c>
      <c r="AJ405" t="s">
        <v>54</v>
      </c>
      <c r="AK405" t="s">
        <v>3030</v>
      </c>
      <c r="AL405" t="s">
        <v>3031</v>
      </c>
      <c r="AN405" s="19">
        <f>IF(ISBLANK(Mentors[[#This Row],[Onboarded Date]]),"",Mentors[[#This Row],[Onboarded Date]]-WEEKDAY(Mentors[[#This Row],[Onboarded Date]],2)+1)</f>
        <v>45656</v>
      </c>
    </row>
    <row r="406" spans="1:40" ht="19.2" customHeight="1" x14ac:dyDescent="0.3">
      <c r="A406" t="s">
        <v>3032</v>
      </c>
      <c r="B406" t="s">
        <v>1163</v>
      </c>
      <c r="C406" t="s">
        <v>3033</v>
      </c>
      <c r="D406" s="24" t="s">
        <v>3034</v>
      </c>
      <c r="E406" t="s">
        <v>3035</v>
      </c>
      <c r="F406">
        <v>2006</v>
      </c>
      <c r="G406">
        <f>IF(OR(Mentors[[#This Row],[Career Start Year]]="NA",ISBLANK(Mentors[[#This Row],[Career Start Year]])),"",2026 - Mentors[[#This Row],[Career Start Year]])</f>
        <v>20</v>
      </c>
      <c r="H40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406" t="s">
        <v>51</v>
      </c>
      <c r="J406" t="s">
        <v>297</v>
      </c>
      <c r="K406" t="s">
        <v>3036</v>
      </c>
      <c r="L406" s="17">
        <v>9560444562</v>
      </c>
      <c r="M406" s="19">
        <v>45658</v>
      </c>
      <c r="O406" t="s">
        <v>0</v>
      </c>
      <c r="Q406" t="s">
        <v>54</v>
      </c>
      <c r="R406" t="s">
        <v>54</v>
      </c>
      <c r="S406" t="s">
        <v>63</v>
      </c>
      <c r="T406" t="s">
        <v>76</v>
      </c>
      <c r="U406" t="s">
        <v>77</v>
      </c>
      <c r="V406" t="s">
        <v>57</v>
      </c>
      <c r="W406" t="s">
        <v>198</v>
      </c>
      <c r="X406" t="s">
        <v>59</v>
      </c>
      <c r="Y406" t="s">
        <v>60</v>
      </c>
      <c r="Z406" t="s">
        <v>61</v>
      </c>
      <c r="AA406" t="s">
        <v>62</v>
      </c>
      <c r="AB406">
        <v>1</v>
      </c>
      <c r="AD406" t="s">
        <v>54</v>
      </c>
      <c r="AE406" t="s">
        <v>63</v>
      </c>
      <c r="AG406" t="s">
        <v>54</v>
      </c>
      <c r="AH406" t="s">
        <v>65</v>
      </c>
      <c r="AI406" t="s">
        <v>132</v>
      </c>
      <c r="AJ406" t="s">
        <v>54</v>
      </c>
      <c r="AK406" t="s">
        <v>3037</v>
      </c>
      <c r="AL406" t="s">
        <v>3038</v>
      </c>
      <c r="AN406" s="19">
        <f>IF(ISBLANK(Mentors[[#This Row],[Onboarded Date]]),"",Mentors[[#This Row],[Onboarded Date]]-WEEKDAY(Mentors[[#This Row],[Onboarded Date]],2)+1)</f>
        <v>45656</v>
      </c>
    </row>
    <row r="407" spans="1:40" ht="19.2" customHeight="1" x14ac:dyDescent="0.3">
      <c r="A407" t="s">
        <v>3039</v>
      </c>
      <c r="B407" t="s">
        <v>3040</v>
      </c>
      <c r="C407" t="s">
        <v>3041</v>
      </c>
      <c r="D407" s="24" t="s">
        <v>3042</v>
      </c>
      <c r="E407" t="s">
        <v>3043</v>
      </c>
      <c r="F407">
        <v>2016</v>
      </c>
      <c r="G407">
        <f>IF(OR(Mentors[[#This Row],[Career Start Year]]="NA",ISBLANK(Mentors[[#This Row],[Career Start Year]])),"",2026 - Mentors[[#This Row],[Career Start Year]])</f>
        <v>10</v>
      </c>
      <c r="H40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407" t="s">
        <v>51</v>
      </c>
      <c r="J407" t="s">
        <v>297</v>
      </c>
      <c r="K407" t="s">
        <v>3044</v>
      </c>
      <c r="L407" s="17">
        <v>9582147050</v>
      </c>
      <c r="M407" s="19">
        <v>45658</v>
      </c>
      <c r="O407" t="s">
        <v>0</v>
      </c>
      <c r="Q407" t="s">
        <v>54</v>
      </c>
      <c r="R407" t="s">
        <v>54</v>
      </c>
      <c r="S407" t="s">
        <v>54</v>
      </c>
      <c r="T407" t="s">
        <v>76</v>
      </c>
      <c r="U407" t="s">
        <v>79</v>
      </c>
      <c r="V407" t="s">
        <v>57</v>
      </c>
      <c r="W407" t="s">
        <v>78</v>
      </c>
      <c r="Z407" t="s">
        <v>81</v>
      </c>
      <c r="AA407" t="s">
        <v>62</v>
      </c>
      <c r="AB407">
        <v>1</v>
      </c>
      <c r="AD407" t="s">
        <v>54</v>
      </c>
      <c r="AE407" t="s">
        <v>54</v>
      </c>
      <c r="AG407" t="s">
        <v>54</v>
      </c>
      <c r="AH407" t="s">
        <v>65</v>
      </c>
      <c r="AI407" t="s">
        <v>1177</v>
      </c>
      <c r="AJ407" t="s">
        <v>54</v>
      </c>
      <c r="AK407" t="s">
        <v>3045</v>
      </c>
      <c r="AL407" t="s">
        <v>3046</v>
      </c>
      <c r="AN407" s="19">
        <f>IF(ISBLANK(Mentors[[#This Row],[Onboarded Date]]),"",Mentors[[#This Row],[Onboarded Date]]-WEEKDAY(Mentors[[#This Row],[Onboarded Date]],2)+1)</f>
        <v>45656</v>
      </c>
    </row>
    <row r="408" spans="1:40" ht="19.2" customHeight="1" x14ac:dyDescent="0.3">
      <c r="A408" t="s">
        <v>3047</v>
      </c>
      <c r="B408" t="s">
        <v>1163</v>
      </c>
      <c r="C408" t="s">
        <v>3048</v>
      </c>
      <c r="D408" s="24" t="s">
        <v>3049</v>
      </c>
      <c r="E408" t="s">
        <v>3050</v>
      </c>
      <c r="F408">
        <v>2014</v>
      </c>
      <c r="G408">
        <f>IF(OR(Mentors[[#This Row],[Career Start Year]]="NA",ISBLANK(Mentors[[#This Row],[Career Start Year]])),"",2026 - Mentors[[#This Row],[Career Start Year]])</f>
        <v>12</v>
      </c>
      <c r="H40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08" t="s">
        <v>51</v>
      </c>
      <c r="J408" t="s">
        <v>570</v>
      </c>
      <c r="K408" t="s">
        <v>3051</v>
      </c>
      <c r="L408" s="17">
        <v>8955622200</v>
      </c>
      <c r="M408" s="19">
        <v>45658</v>
      </c>
      <c r="O408" t="s">
        <v>0</v>
      </c>
      <c r="Q408" t="s">
        <v>54</v>
      </c>
      <c r="R408" t="s">
        <v>63</v>
      </c>
      <c r="S408" t="s">
        <v>63</v>
      </c>
      <c r="T408" t="s">
        <v>99</v>
      </c>
      <c r="U408" t="s">
        <v>77</v>
      </c>
      <c r="V408" t="s">
        <v>120</v>
      </c>
      <c r="W408" t="s">
        <v>57</v>
      </c>
      <c r="Z408" t="s">
        <v>61</v>
      </c>
      <c r="AA408" t="s">
        <v>62</v>
      </c>
      <c r="AB408">
        <v>1</v>
      </c>
      <c r="AD408" t="s">
        <v>54</v>
      </c>
      <c r="AE408" t="s">
        <v>63</v>
      </c>
      <c r="AG408" t="s">
        <v>54</v>
      </c>
      <c r="AH408" t="s">
        <v>152</v>
      </c>
      <c r="AI408" t="s">
        <v>248</v>
      </c>
      <c r="AJ408" t="s">
        <v>54</v>
      </c>
      <c r="AK408" t="s">
        <v>3052</v>
      </c>
      <c r="AL408" t="s">
        <v>3053</v>
      </c>
      <c r="AN408" s="19">
        <f>IF(ISBLANK(Mentors[[#This Row],[Onboarded Date]]),"",Mentors[[#This Row],[Onboarded Date]]-WEEKDAY(Mentors[[#This Row],[Onboarded Date]],2)+1)</f>
        <v>45656</v>
      </c>
    </row>
    <row r="409" spans="1:40" ht="19.2" customHeight="1" x14ac:dyDescent="0.3">
      <c r="A409" t="s">
        <v>3054</v>
      </c>
      <c r="B409" t="s">
        <v>3055</v>
      </c>
      <c r="C409" t="s">
        <v>3056</v>
      </c>
      <c r="D409" s="24" t="s">
        <v>3057</v>
      </c>
      <c r="E409" t="s">
        <v>3058</v>
      </c>
      <c r="F409">
        <v>2017</v>
      </c>
      <c r="G409">
        <f>IF(OR(Mentors[[#This Row],[Career Start Year]]="NA",ISBLANK(Mentors[[#This Row],[Career Start Year]])),"",2026 - Mentors[[#This Row],[Career Start Year]])</f>
        <v>9</v>
      </c>
      <c r="H40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409" t="s">
        <v>51</v>
      </c>
      <c r="J409" t="s">
        <v>280</v>
      </c>
      <c r="K409" t="s">
        <v>3059</v>
      </c>
      <c r="L409" s="17">
        <v>9429768102</v>
      </c>
      <c r="M409" s="19">
        <v>45658</v>
      </c>
      <c r="O409" t="s">
        <v>0</v>
      </c>
      <c r="Q409" t="s">
        <v>54</v>
      </c>
      <c r="R409" t="s">
        <v>63</v>
      </c>
      <c r="S409" t="s">
        <v>54</v>
      </c>
      <c r="T409" t="s">
        <v>77</v>
      </c>
      <c r="U409" t="s">
        <v>99</v>
      </c>
      <c r="V409" t="s">
        <v>481</v>
      </c>
      <c r="W409" t="s">
        <v>78</v>
      </c>
      <c r="X409" t="s">
        <v>80</v>
      </c>
      <c r="Y409" t="s">
        <v>59</v>
      </c>
      <c r="Z409" t="s">
        <v>61</v>
      </c>
      <c r="AA409" t="s">
        <v>62</v>
      </c>
      <c r="AB409">
        <v>1</v>
      </c>
      <c r="AD409" t="s">
        <v>54</v>
      </c>
      <c r="AE409" t="s">
        <v>54</v>
      </c>
      <c r="AG409" t="s">
        <v>54</v>
      </c>
      <c r="AH409" t="s">
        <v>65</v>
      </c>
      <c r="AI409" t="s">
        <v>248</v>
      </c>
      <c r="AJ409" t="s">
        <v>54</v>
      </c>
      <c r="AK409" t="s">
        <v>3060</v>
      </c>
      <c r="AL409" t="s">
        <v>3061</v>
      </c>
      <c r="AN409" s="19">
        <f>IF(ISBLANK(Mentors[[#This Row],[Onboarded Date]]),"",Mentors[[#This Row],[Onboarded Date]]-WEEKDAY(Mentors[[#This Row],[Onboarded Date]],2)+1)</f>
        <v>45656</v>
      </c>
    </row>
    <row r="410" spans="1:40" ht="19.2" customHeight="1" x14ac:dyDescent="0.3">
      <c r="A410" t="s">
        <v>3062</v>
      </c>
      <c r="B410" t="s">
        <v>396</v>
      </c>
      <c r="C410" t="s">
        <v>3063</v>
      </c>
      <c r="D410" s="24" t="s">
        <v>3064</v>
      </c>
      <c r="E410" t="s">
        <v>3065</v>
      </c>
      <c r="F410">
        <v>1996</v>
      </c>
      <c r="G410">
        <f>IF(OR(Mentors[[#This Row],[Career Start Year]]="NA",ISBLANK(Mentors[[#This Row],[Career Start Year]])),"",2026 - Mentors[[#This Row],[Career Start Year]])</f>
        <v>30</v>
      </c>
      <c r="H41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10" t="s">
        <v>51</v>
      </c>
      <c r="J410" t="s">
        <v>52</v>
      </c>
      <c r="K410" t="s">
        <v>3066</v>
      </c>
      <c r="L410" s="17">
        <v>9422024262</v>
      </c>
      <c r="M410" s="19">
        <v>45658</v>
      </c>
      <c r="N410" t="s">
        <v>10</v>
      </c>
      <c r="O410" t="s">
        <v>0</v>
      </c>
      <c r="Q410" t="s">
        <v>54</v>
      </c>
      <c r="R410" t="s">
        <v>63</v>
      </c>
      <c r="S410" t="s">
        <v>63</v>
      </c>
      <c r="T410" s="12" t="s">
        <v>3067</v>
      </c>
      <c r="U410" t="s">
        <v>77</v>
      </c>
      <c r="V410" t="s">
        <v>57</v>
      </c>
      <c r="W410" t="s">
        <v>79</v>
      </c>
      <c r="Z410" t="s">
        <v>61</v>
      </c>
      <c r="AA410" t="s">
        <v>62</v>
      </c>
      <c r="AB410">
        <v>1</v>
      </c>
      <c r="AD410" t="s">
        <v>54</v>
      </c>
      <c r="AE410" t="s">
        <v>63</v>
      </c>
      <c r="AG410" t="s">
        <v>54</v>
      </c>
      <c r="AH410" t="s">
        <v>152</v>
      </c>
      <c r="AI410" t="s">
        <v>1064</v>
      </c>
      <c r="AJ410" t="s">
        <v>54</v>
      </c>
      <c r="AK410" t="s">
        <v>3068</v>
      </c>
      <c r="AL410" t="s">
        <v>3069</v>
      </c>
      <c r="AN410" s="19">
        <f>IF(ISBLANK(Mentors[[#This Row],[Onboarded Date]]),"",Mentors[[#This Row],[Onboarded Date]]-WEEKDAY(Mentors[[#This Row],[Onboarded Date]],2)+1)</f>
        <v>45656</v>
      </c>
    </row>
    <row r="411" spans="1:40" ht="19.2" customHeight="1" x14ac:dyDescent="0.3">
      <c r="A411" t="s">
        <v>3070</v>
      </c>
      <c r="B411" t="s">
        <v>3071</v>
      </c>
      <c r="C411" t="s">
        <v>3072</v>
      </c>
      <c r="D411" s="24" t="s">
        <v>3073</v>
      </c>
      <c r="E411" t="s">
        <v>3074</v>
      </c>
      <c r="F411">
        <v>1991</v>
      </c>
      <c r="G411">
        <f>IF(OR(Mentors[[#This Row],[Career Start Year]]="NA",ISBLANK(Mentors[[#This Row],[Career Start Year]])),"",2026 - Mentors[[#This Row],[Career Start Year]])</f>
        <v>35</v>
      </c>
      <c r="H41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11" t="s">
        <v>51</v>
      </c>
      <c r="J411" t="s">
        <v>140</v>
      </c>
      <c r="K411" t="s">
        <v>3075</v>
      </c>
      <c r="L411" s="17">
        <v>9871379950</v>
      </c>
      <c r="M411" s="19">
        <v>45658</v>
      </c>
      <c r="N411" t="s">
        <v>10</v>
      </c>
      <c r="O411" t="s">
        <v>0</v>
      </c>
      <c r="Q411" t="s">
        <v>54</v>
      </c>
      <c r="R411" t="s">
        <v>63</v>
      </c>
      <c r="S411" t="s">
        <v>63</v>
      </c>
      <c r="T411" s="11" t="s">
        <v>247</v>
      </c>
      <c r="U411" t="s">
        <v>166</v>
      </c>
      <c r="V411" t="s">
        <v>78</v>
      </c>
      <c r="W411" t="s">
        <v>79</v>
      </c>
      <c r="Z411" t="s">
        <v>101</v>
      </c>
      <c r="AA411" t="s">
        <v>62</v>
      </c>
      <c r="AB411">
        <v>1</v>
      </c>
      <c r="AD411" t="s">
        <v>54</v>
      </c>
      <c r="AE411" t="s">
        <v>63</v>
      </c>
      <c r="AG411" t="s">
        <v>54</v>
      </c>
      <c r="AH411" t="s">
        <v>65</v>
      </c>
      <c r="AI411" t="s">
        <v>248</v>
      </c>
      <c r="AJ411" t="s">
        <v>54</v>
      </c>
      <c r="AK411" t="s">
        <v>3076</v>
      </c>
      <c r="AL411" t="s">
        <v>3077</v>
      </c>
      <c r="AN411" s="19">
        <f>IF(ISBLANK(Mentors[[#This Row],[Onboarded Date]]),"",Mentors[[#This Row],[Onboarded Date]]-WEEKDAY(Mentors[[#This Row],[Onboarded Date]],2)+1)</f>
        <v>45656</v>
      </c>
    </row>
    <row r="412" spans="1:40" ht="19.2" customHeight="1" x14ac:dyDescent="0.3">
      <c r="A412" t="s">
        <v>3078</v>
      </c>
      <c r="B412" t="s">
        <v>152</v>
      </c>
      <c r="C412" t="s">
        <v>3079</v>
      </c>
      <c r="D412" s="24" t="s">
        <v>3080</v>
      </c>
      <c r="E412" s="7" t="s">
        <v>3081</v>
      </c>
      <c r="F412">
        <v>2005</v>
      </c>
      <c r="G412">
        <f>IF(OR(Mentors[[#This Row],[Career Start Year]]="NA",ISBLANK(Mentors[[#This Row],[Career Start Year]])),"",2026 - Mentors[[#This Row],[Career Start Year]])</f>
        <v>21</v>
      </c>
      <c r="H41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12" t="s">
        <v>51</v>
      </c>
      <c r="J412" t="s">
        <v>280</v>
      </c>
      <c r="K412" t="s">
        <v>3082</v>
      </c>
      <c r="L412" s="17">
        <v>9825867635</v>
      </c>
      <c r="M412" s="19">
        <v>45658</v>
      </c>
      <c r="N412" t="s">
        <v>10</v>
      </c>
      <c r="O412" t="s">
        <v>0</v>
      </c>
      <c r="Q412" t="s">
        <v>54</v>
      </c>
      <c r="R412" t="s">
        <v>54</v>
      </c>
      <c r="S412" t="s">
        <v>63</v>
      </c>
      <c r="T412" s="12" t="s">
        <v>1638</v>
      </c>
      <c r="U412" t="s">
        <v>77</v>
      </c>
      <c r="V412" t="s">
        <v>57</v>
      </c>
      <c r="W412" t="s">
        <v>79</v>
      </c>
      <c r="X412" t="s">
        <v>59</v>
      </c>
      <c r="Z412" t="s">
        <v>61</v>
      </c>
      <c r="AA412" t="s">
        <v>62</v>
      </c>
      <c r="AB412">
        <v>1</v>
      </c>
      <c r="AD412" t="s">
        <v>54</v>
      </c>
      <c r="AE412" t="s">
        <v>63</v>
      </c>
      <c r="AG412" t="s">
        <v>54</v>
      </c>
      <c r="AH412" t="s">
        <v>152</v>
      </c>
      <c r="AI412" t="s">
        <v>1177</v>
      </c>
      <c r="AJ412" t="s">
        <v>54</v>
      </c>
      <c r="AK412" t="s">
        <v>3083</v>
      </c>
      <c r="AL412" t="s">
        <v>3084</v>
      </c>
      <c r="AN412" s="19">
        <f>IF(ISBLANK(Mentors[[#This Row],[Onboarded Date]]),"",Mentors[[#This Row],[Onboarded Date]]-WEEKDAY(Mentors[[#This Row],[Onboarded Date]],2)+1)</f>
        <v>45656</v>
      </c>
    </row>
    <row r="413" spans="1:40" ht="19.2" customHeight="1" x14ac:dyDescent="0.3">
      <c r="A413" t="s">
        <v>3085</v>
      </c>
      <c r="B413" t="s">
        <v>840</v>
      </c>
      <c r="C413" t="s">
        <v>3086</v>
      </c>
      <c r="D413" s="24" t="s">
        <v>3087</v>
      </c>
      <c r="E413" t="s">
        <v>3088</v>
      </c>
      <c r="F413">
        <v>1988</v>
      </c>
      <c r="G413">
        <f>IF(OR(Mentors[[#This Row],[Career Start Year]]="NA",ISBLANK(Mentors[[#This Row],[Career Start Year]])),"",2026 - Mentors[[#This Row],[Career Start Year]])</f>
        <v>38</v>
      </c>
      <c r="H41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13" t="s">
        <v>51</v>
      </c>
      <c r="J413" t="s">
        <v>118</v>
      </c>
      <c r="K413" t="s">
        <v>3089</v>
      </c>
      <c r="L413" s="17">
        <v>9820040918</v>
      </c>
      <c r="M413" s="19">
        <v>45658</v>
      </c>
      <c r="N413" t="s">
        <v>10</v>
      </c>
      <c r="O413" t="s">
        <v>0</v>
      </c>
      <c r="Q413" t="s">
        <v>63</v>
      </c>
      <c r="R413" t="s">
        <v>63</v>
      </c>
      <c r="S413" t="s">
        <v>63</v>
      </c>
      <c r="T413" t="s">
        <v>411</v>
      </c>
      <c r="U413" t="s">
        <v>187</v>
      </c>
      <c r="V413" t="s">
        <v>78</v>
      </c>
      <c r="W413" t="s">
        <v>79</v>
      </c>
      <c r="X413" t="s">
        <v>59</v>
      </c>
      <c r="Y413" t="s">
        <v>60</v>
      </c>
      <c r="Z413" t="s">
        <v>61</v>
      </c>
      <c r="AA413" t="s">
        <v>62</v>
      </c>
      <c r="AB413">
        <v>1</v>
      </c>
      <c r="AD413" t="s">
        <v>54</v>
      </c>
      <c r="AE413" t="s">
        <v>63</v>
      </c>
      <c r="AG413" t="s">
        <v>54</v>
      </c>
      <c r="AH413" t="s">
        <v>65</v>
      </c>
      <c r="AI413" t="s">
        <v>412</v>
      </c>
      <c r="AJ413" t="s">
        <v>54</v>
      </c>
      <c r="AK413" t="s">
        <v>3090</v>
      </c>
      <c r="AL413" t="s">
        <v>3091</v>
      </c>
      <c r="AN413" s="19">
        <f>IF(ISBLANK(Mentors[[#This Row],[Onboarded Date]]),"",Mentors[[#This Row],[Onboarded Date]]-WEEKDAY(Mentors[[#This Row],[Onboarded Date]],2)+1)</f>
        <v>45656</v>
      </c>
    </row>
    <row r="414" spans="1:40" ht="19.2" customHeight="1" x14ac:dyDescent="0.3">
      <c r="A414" t="s">
        <v>3092</v>
      </c>
      <c r="B414" t="s">
        <v>3093</v>
      </c>
      <c r="C414" t="s">
        <v>3094</v>
      </c>
      <c r="D414" s="24" t="s">
        <v>3095</v>
      </c>
      <c r="E414" t="s">
        <v>3096</v>
      </c>
      <c r="F414">
        <v>2002</v>
      </c>
      <c r="G414">
        <f>IF(OR(Mentors[[#This Row],[Career Start Year]]="NA",ISBLANK(Mentors[[#This Row],[Career Start Year]])),"",2026 - Mentors[[#This Row],[Career Start Year]])</f>
        <v>24</v>
      </c>
      <c r="H41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14" t="s">
        <v>51</v>
      </c>
      <c r="J414" t="s">
        <v>196</v>
      </c>
      <c r="K414" t="s">
        <v>3097</v>
      </c>
      <c r="L414" s="17">
        <v>8618622385</v>
      </c>
      <c r="M414" s="19">
        <v>45658</v>
      </c>
      <c r="O414" t="s">
        <v>0</v>
      </c>
      <c r="Q414" t="s">
        <v>54</v>
      </c>
      <c r="R414" t="s">
        <v>63</v>
      </c>
      <c r="S414" t="s">
        <v>54</v>
      </c>
      <c r="T414" t="s">
        <v>499</v>
      </c>
      <c r="U414" t="s">
        <v>65</v>
      </c>
      <c r="V414" t="s">
        <v>57</v>
      </c>
      <c r="W414" t="s">
        <v>79</v>
      </c>
      <c r="X414" t="s">
        <v>59</v>
      </c>
      <c r="Y414" t="s">
        <v>60</v>
      </c>
      <c r="Z414" t="s">
        <v>81</v>
      </c>
      <c r="AA414" t="s">
        <v>62</v>
      </c>
      <c r="AB414">
        <v>1</v>
      </c>
      <c r="AD414" t="s">
        <v>54</v>
      </c>
      <c r="AE414" t="s">
        <v>54</v>
      </c>
      <c r="AG414" t="s">
        <v>54</v>
      </c>
      <c r="AH414" t="s">
        <v>131</v>
      </c>
      <c r="AI414" t="s">
        <v>1064</v>
      </c>
      <c r="AJ414" t="s">
        <v>54</v>
      </c>
      <c r="AK414" t="s">
        <v>3098</v>
      </c>
      <c r="AL414" t="s">
        <v>3099</v>
      </c>
      <c r="AN414" s="19">
        <f>IF(ISBLANK(Mentors[[#This Row],[Onboarded Date]]),"",Mentors[[#This Row],[Onboarded Date]]-WEEKDAY(Mentors[[#This Row],[Onboarded Date]],2)+1)</f>
        <v>45656</v>
      </c>
    </row>
    <row r="415" spans="1:40" ht="19.2" customHeight="1" x14ac:dyDescent="0.3">
      <c r="A415" t="s">
        <v>3100</v>
      </c>
      <c r="B415" t="s">
        <v>1302</v>
      </c>
      <c r="C415" t="s">
        <v>3101</v>
      </c>
      <c r="D415" s="24" t="s">
        <v>3102</v>
      </c>
      <c r="E415" t="s">
        <v>3103</v>
      </c>
      <c r="F415">
        <v>1991</v>
      </c>
      <c r="G415">
        <f>IF(OR(Mentors[[#This Row],[Career Start Year]]="NA",ISBLANK(Mentors[[#This Row],[Career Start Year]])),"",2026 - Mentors[[#This Row],[Career Start Year]])</f>
        <v>35</v>
      </c>
      <c r="H41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15" t="s">
        <v>51</v>
      </c>
      <c r="J415" t="s">
        <v>389</v>
      </c>
      <c r="K415" t="s">
        <v>3104</v>
      </c>
      <c r="L415" s="17">
        <v>9818054646</v>
      </c>
      <c r="M415" s="19">
        <v>45658</v>
      </c>
      <c r="N415" t="s">
        <v>10</v>
      </c>
      <c r="O415" t="s">
        <v>0</v>
      </c>
      <c r="Q415" t="s">
        <v>54</v>
      </c>
      <c r="R415" t="s">
        <v>63</v>
      </c>
      <c r="S415" t="s">
        <v>63</v>
      </c>
      <c r="T415" s="12" t="s">
        <v>3105</v>
      </c>
      <c r="U415" t="s">
        <v>77</v>
      </c>
      <c r="V415" t="s">
        <v>57</v>
      </c>
      <c r="W415" t="s">
        <v>79</v>
      </c>
      <c r="X415" t="s">
        <v>59</v>
      </c>
      <c r="Z415" t="s">
        <v>81</v>
      </c>
      <c r="AA415" t="s">
        <v>62</v>
      </c>
      <c r="AB415">
        <v>1</v>
      </c>
      <c r="AD415" t="s">
        <v>54</v>
      </c>
      <c r="AE415" t="s">
        <v>63</v>
      </c>
      <c r="AG415" t="s">
        <v>54</v>
      </c>
      <c r="AH415" t="s">
        <v>215</v>
      </c>
      <c r="AI415" t="s">
        <v>1064</v>
      </c>
      <c r="AJ415" t="s">
        <v>54</v>
      </c>
      <c r="AK415" t="s">
        <v>3106</v>
      </c>
      <c r="AL415" t="s">
        <v>3107</v>
      </c>
      <c r="AN415" s="19">
        <f>IF(ISBLANK(Mentors[[#This Row],[Onboarded Date]]),"",Mentors[[#This Row],[Onboarded Date]]-WEEKDAY(Mentors[[#This Row],[Onboarded Date]],2)+1)</f>
        <v>45656</v>
      </c>
    </row>
    <row r="416" spans="1:40" ht="19.2" customHeight="1" x14ac:dyDescent="0.3">
      <c r="A416" t="s">
        <v>3108</v>
      </c>
      <c r="B416" t="s">
        <v>396</v>
      </c>
      <c r="C416" t="s">
        <v>3109</v>
      </c>
      <c r="D416" s="24" t="s">
        <v>3110</v>
      </c>
      <c r="E416" t="s">
        <v>3111</v>
      </c>
      <c r="F416">
        <v>2013</v>
      </c>
      <c r="G416">
        <f>IF(OR(Mentors[[#This Row],[Career Start Year]]="NA",ISBLANK(Mentors[[#This Row],[Career Start Year]])),"",2026 - Mentors[[#This Row],[Career Start Year]])</f>
        <v>13</v>
      </c>
      <c r="H41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16" t="s">
        <v>51</v>
      </c>
      <c r="J416" t="s">
        <v>297</v>
      </c>
      <c r="K416" t="s">
        <v>3112</v>
      </c>
      <c r="L416" s="17">
        <v>8826984647</v>
      </c>
      <c r="M416" s="19">
        <v>45658</v>
      </c>
      <c r="O416" t="s">
        <v>0</v>
      </c>
      <c r="Q416" t="s">
        <v>54</v>
      </c>
      <c r="R416" t="s">
        <v>63</v>
      </c>
      <c r="S416" t="s">
        <v>63</v>
      </c>
      <c r="T416" t="s">
        <v>187</v>
      </c>
      <c r="U416" t="s">
        <v>100</v>
      </c>
      <c r="V416" t="s">
        <v>78</v>
      </c>
      <c r="W416" t="s">
        <v>79</v>
      </c>
      <c r="Z416" t="s">
        <v>81</v>
      </c>
      <c r="AA416" t="s">
        <v>62</v>
      </c>
      <c r="AB416">
        <v>1</v>
      </c>
      <c r="AD416" t="s">
        <v>54</v>
      </c>
      <c r="AE416" t="s">
        <v>63</v>
      </c>
      <c r="AG416" t="s">
        <v>54</v>
      </c>
      <c r="AH416" t="s">
        <v>152</v>
      </c>
      <c r="AI416" t="s">
        <v>132</v>
      </c>
      <c r="AJ416" t="s">
        <v>54</v>
      </c>
      <c r="AK416" t="s">
        <v>3113</v>
      </c>
      <c r="AL416" t="s">
        <v>3114</v>
      </c>
      <c r="AN416" s="19">
        <f>IF(ISBLANK(Mentors[[#This Row],[Onboarded Date]]),"",Mentors[[#This Row],[Onboarded Date]]-WEEKDAY(Mentors[[#This Row],[Onboarded Date]],2)+1)</f>
        <v>45656</v>
      </c>
    </row>
    <row r="417" spans="1:40" ht="19.2" customHeight="1" x14ac:dyDescent="0.3">
      <c r="A417" t="s">
        <v>3115</v>
      </c>
      <c r="B417" t="s">
        <v>3116</v>
      </c>
      <c r="C417" t="s">
        <v>3117</v>
      </c>
      <c r="D417" s="24" t="s">
        <v>3118</v>
      </c>
      <c r="E417" t="s">
        <v>3119</v>
      </c>
      <c r="F417">
        <v>2000</v>
      </c>
      <c r="G417">
        <f>IF(OR(Mentors[[#This Row],[Career Start Year]]="NA",ISBLANK(Mentors[[#This Row],[Career Start Year]])),"",2026 - Mentors[[#This Row],[Career Start Year]])</f>
        <v>26</v>
      </c>
      <c r="H41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17" t="s">
        <v>51</v>
      </c>
      <c r="J417" t="s">
        <v>1828</v>
      </c>
      <c r="K417" t="s">
        <v>3120</v>
      </c>
      <c r="L417" s="17">
        <v>9437077298</v>
      </c>
      <c r="M417" s="19">
        <v>45658</v>
      </c>
      <c r="O417" t="s">
        <v>0</v>
      </c>
      <c r="Q417" t="s">
        <v>54</v>
      </c>
      <c r="R417" t="s">
        <v>63</v>
      </c>
      <c r="S417" t="s">
        <v>63</v>
      </c>
      <c r="T417" t="s">
        <v>77</v>
      </c>
      <c r="U417" t="s">
        <v>65</v>
      </c>
      <c r="V417" t="s">
        <v>481</v>
      </c>
      <c r="W417" t="s">
        <v>79</v>
      </c>
      <c r="X417" t="s">
        <v>80</v>
      </c>
      <c r="Y417" t="s">
        <v>59</v>
      </c>
      <c r="Z417" t="s">
        <v>81</v>
      </c>
      <c r="AA417" t="s">
        <v>62</v>
      </c>
      <c r="AB417">
        <v>1</v>
      </c>
      <c r="AD417" t="s">
        <v>54</v>
      </c>
      <c r="AE417" t="s">
        <v>54</v>
      </c>
      <c r="AG417" t="s">
        <v>54</v>
      </c>
      <c r="AH417" t="s">
        <v>65</v>
      </c>
      <c r="AI417" t="s">
        <v>248</v>
      </c>
      <c r="AJ417" t="s">
        <v>54</v>
      </c>
      <c r="AK417" t="s">
        <v>3121</v>
      </c>
      <c r="AL417" t="s">
        <v>3122</v>
      </c>
      <c r="AN417" s="19">
        <f>IF(ISBLANK(Mentors[[#This Row],[Onboarded Date]]),"",Mentors[[#This Row],[Onboarded Date]]-WEEKDAY(Mentors[[#This Row],[Onboarded Date]],2)+1)</f>
        <v>45656</v>
      </c>
    </row>
    <row r="418" spans="1:40" ht="19.2" customHeight="1" x14ac:dyDescent="0.3">
      <c r="A418" t="s">
        <v>3123</v>
      </c>
      <c r="B418" t="s">
        <v>3124</v>
      </c>
      <c r="C418" t="s">
        <v>3125</v>
      </c>
      <c r="D418" s="24" t="s">
        <v>3126</v>
      </c>
      <c r="E418" t="s">
        <v>3127</v>
      </c>
      <c r="F418">
        <v>2008</v>
      </c>
      <c r="G418">
        <f>IF(OR(Mentors[[#This Row],[Career Start Year]]="NA",ISBLANK(Mentors[[#This Row],[Career Start Year]])),"",2026 - Mentors[[#This Row],[Career Start Year]])</f>
        <v>18</v>
      </c>
      <c r="H41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418" t="s">
        <v>51</v>
      </c>
      <c r="J418" t="s">
        <v>297</v>
      </c>
      <c r="K418" t="s">
        <v>3128</v>
      </c>
      <c r="L418" s="17">
        <v>9911229944</v>
      </c>
      <c r="M418" s="19">
        <v>45658</v>
      </c>
      <c r="O418" t="s">
        <v>0</v>
      </c>
      <c r="Q418" t="s">
        <v>54</v>
      </c>
      <c r="R418" t="s">
        <v>63</v>
      </c>
      <c r="S418" t="s">
        <v>63</v>
      </c>
      <c r="T418" t="s">
        <v>77</v>
      </c>
      <c r="U418" t="s">
        <v>65</v>
      </c>
      <c r="V418" t="s">
        <v>78</v>
      </c>
      <c r="W418" t="s">
        <v>79</v>
      </c>
      <c r="X418" t="s">
        <v>59</v>
      </c>
      <c r="Y418" t="s">
        <v>60</v>
      </c>
      <c r="Z418" t="s">
        <v>81</v>
      </c>
      <c r="AA418" t="s">
        <v>62</v>
      </c>
      <c r="AB418">
        <v>1</v>
      </c>
      <c r="AD418" t="s">
        <v>54</v>
      </c>
      <c r="AE418" t="s">
        <v>54</v>
      </c>
      <c r="AG418" t="s">
        <v>54</v>
      </c>
      <c r="AH418" t="s">
        <v>65</v>
      </c>
      <c r="AI418" t="s">
        <v>122</v>
      </c>
      <c r="AJ418" t="s">
        <v>54</v>
      </c>
      <c r="AK418" t="s">
        <v>3129</v>
      </c>
      <c r="AL418" t="s">
        <v>3130</v>
      </c>
      <c r="AN418" s="19">
        <f>IF(ISBLANK(Mentors[[#This Row],[Onboarded Date]]),"",Mentors[[#This Row],[Onboarded Date]]-WEEKDAY(Mentors[[#This Row],[Onboarded Date]],2)+1)</f>
        <v>45656</v>
      </c>
    </row>
    <row r="419" spans="1:40" ht="19.2" customHeight="1" x14ac:dyDescent="0.3">
      <c r="A419" t="s">
        <v>3131</v>
      </c>
      <c r="B419" t="s">
        <v>3132</v>
      </c>
      <c r="C419" t="s">
        <v>3133</v>
      </c>
      <c r="D419" s="24" t="s">
        <v>3134</v>
      </c>
      <c r="E419" t="s">
        <v>3135</v>
      </c>
      <c r="F419">
        <v>2015</v>
      </c>
      <c r="G419">
        <f>IF(OR(Mentors[[#This Row],[Career Start Year]]="NA",ISBLANK(Mentors[[#This Row],[Career Start Year]])),"",2026 - Mentors[[#This Row],[Career Start Year]])</f>
        <v>11</v>
      </c>
      <c r="H41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19" t="s">
        <v>51</v>
      </c>
      <c r="J419" t="s">
        <v>118</v>
      </c>
      <c r="K419" t="s">
        <v>3136</v>
      </c>
      <c r="L419" s="17">
        <v>9167529806</v>
      </c>
      <c r="M419" s="19">
        <v>45658</v>
      </c>
      <c r="O419" t="s">
        <v>0</v>
      </c>
      <c r="Q419" t="s">
        <v>54</v>
      </c>
      <c r="R419" t="s">
        <v>54</v>
      </c>
      <c r="S419" t="s">
        <v>54</v>
      </c>
      <c r="T419" t="s">
        <v>99</v>
      </c>
      <c r="U419" t="s">
        <v>76</v>
      </c>
      <c r="V419" t="s">
        <v>256</v>
      </c>
      <c r="W419" t="s">
        <v>79</v>
      </c>
      <c r="Z419" t="s">
        <v>81</v>
      </c>
      <c r="AA419" t="s">
        <v>62</v>
      </c>
      <c r="AB419">
        <v>1</v>
      </c>
      <c r="AD419" t="s">
        <v>54</v>
      </c>
      <c r="AE419" t="s">
        <v>54</v>
      </c>
      <c r="AG419" t="s">
        <v>54</v>
      </c>
      <c r="AH419" t="s">
        <v>131</v>
      </c>
      <c r="AI419" t="s">
        <v>1168</v>
      </c>
      <c r="AJ419" t="s">
        <v>63</v>
      </c>
      <c r="AK419" t="s">
        <v>3137</v>
      </c>
      <c r="AL419" t="s">
        <v>3138</v>
      </c>
      <c r="AN419" s="19">
        <f>IF(ISBLANK(Mentors[[#This Row],[Onboarded Date]]),"",Mentors[[#This Row],[Onboarded Date]]-WEEKDAY(Mentors[[#This Row],[Onboarded Date]],2)+1)</f>
        <v>45656</v>
      </c>
    </row>
    <row r="420" spans="1:40" ht="19.2" customHeight="1" x14ac:dyDescent="0.3">
      <c r="A420" t="s">
        <v>3139</v>
      </c>
      <c r="B420" t="s">
        <v>3140</v>
      </c>
      <c r="C420" t="s">
        <v>3141</v>
      </c>
      <c r="D420" s="24" t="s">
        <v>3142</v>
      </c>
      <c r="E420" t="s">
        <v>3143</v>
      </c>
      <c r="F420">
        <v>2002</v>
      </c>
      <c r="G420">
        <f>IF(OR(Mentors[[#This Row],[Career Start Year]]="NA",ISBLANK(Mentors[[#This Row],[Career Start Year]])),"",2026 - Mentors[[#This Row],[Career Start Year]])</f>
        <v>24</v>
      </c>
      <c r="H42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20" t="s">
        <v>51</v>
      </c>
      <c r="J420" t="s">
        <v>118</v>
      </c>
      <c r="K420" t="s">
        <v>3144</v>
      </c>
      <c r="L420" s="17">
        <v>9964135219</v>
      </c>
      <c r="M420" s="19">
        <v>45658</v>
      </c>
      <c r="N420" t="s">
        <v>4</v>
      </c>
      <c r="O420" t="s">
        <v>0</v>
      </c>
      <c r="Q420" t="s">
        <v>63</v>
      </c>
      <c r="R420" t="s">
        <v>63</v>
      </c>
      <c r="S420" t="s">
        <v>63</v>
      </c>
      <c r="T420" t="s">
        <v>77</v>
      </c>
      <c r="U420" t="s">
        <v>65</v>
      </c>
      <c r="V420" t="s">
        <v>613</v>
      </c>
      <c r="W420" t="s">
        <v>65</v>
      </c>
      <c r="X420" t="s">
        <v>80</v>
      </c>
      <c r="Y420" t="s">
        <v>59</v>
      </c>
      <c r="Z420" t="s">
        <v>81</v>
      </c>
      <c r="AA420" t="s">
        <v>62</v>
      </c>
      <c r="AB420">
        <v>1</v>
      </c>
      <c r="AD420" t="s">
        <v>54</v>
      </c>
      <c r="AE420" t="s">
        <v>63</v>
      </c>
      <c r="AF420" t="s">
        <v>54</v>
      </c>
      <c r="AG420" t="s">
        <v>63</v>
      </c>
      <c r="AH420" t="s">
        <v>131</v>
      </c>
      <c r="AI420" t="s">
        <v>248</v>
      </c>
      <c r="AJ420" t="s">
        <v>54</v>
      </c>
      <c r="AK420" t="s">
        <v>3145</v>
      </c>
      <c r="AL420" t="s">
        <v>3146</v>
      </c>
      <c r="AN420" s="19">
        <f>IF(ISBLANK(Mentors[[#This Row],[Onboarded Date]]),"",Mentors[[#This Row],[Onboarded Date]]-WEEKDAY(Mentors[[#This Row],[Onboarded Date]],2)+1)</f>
        <v>45656</v>
      </c>
    </row>
    <row r="421" spans="1:40" ht="19.2" customHeight="1" x14ac:dyDescent="0.3">
      <c r="A421" t="s">
        <v>3147</v>
      </c>
      <c r="B421" t="s">
        <v>396</v>
      </c>
      <c r="C421" t="s">
        <v>3148</v>
      </c>
      <c r="D421" s="24" t="s">
        <v>3149</v>
      </c>
      <c r="E421" t="s">
        <v>3150</v>
      </c>
      <c r="F421">
        <v>2003</v>
      </c>
      <c r="G421">
        <f>IF(OR(Mentors[[#This Row],[Career Start Year]]="NA",ISBLANK(Mentors[[#This Row],[Career Start Year]])),"",2026 - Mentors[[#This Row],[Career Start Year]])</f>
        <v>23</v>
      </c>
      <c r="H42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21" t="s">
        <v>51</v>
      </c>
      <c r="J421" t="s">
        <v>118</v>
      </c>
      <c r="K421" s="7" t="s">
        <v>3151</v>
      </c>
      <c r="L421" s="17">
        <v>9849622230</v>
      </c>
      <c r="M421" s="19">
        <v>45658</v>
      </c>
      <c r="N421" t="s">
        <v>4</v>
      </c>
      <c r="O421" t="s">
        <v>0</v>
      </c>
      <c r="Q421" t="s">
        <v>63</v>
      </c>
      <c r="R421" t="s">
        <v>63</v>
      </c>
      <c r="S421" t="s">
        <v>63</v>
      </c>
      <c r="T421" t="s">
        <v>76</v>
      </c>
      <c r="U421" t="s">
        <v>77</v>
      </c>
      <c r="V421" t="s">
        <v>188</v>
      </c>
      <c r="W421" t="s">
        <v>65</v>
      </c>
      <c r="X421" t="s">
        <v>60</v>
      </c>
      <c r="Z421" t="s">
        <v>81</v>
      </c>
      <c r="AA421" t="s">
        <v>62</v>
      </c>
      <c r="AB421">
        <v>1</v>
      </c>
      <c r="AD421" t="s">
        <v>54</v>
      </c>
      <c r="AE421" t="s">
        <v>63</v>
      </c>
      <c r="AG421" t="s">
        <v>54</v>
      </c>
      <c r="AH421" t="s">
        <v>152</v>
      </c>
      <c r="AI421" t="s">
        <v>1168</v>
      </c>
      <c r="AJ421" t="s">
        <v>63</v>
      </c>
      <c r="AK421" t="s">
        <v>3152</v>
      </c>
      <c r="AL421" t="s">
        <v>3153</v>
      </c>
      <c r="AN421" s="19">
        <f>IF(ISBLANK(Mentors[[#This Row],[Onboarded Date]]),"",Mentors[[#This Row],[Onboarded Date]]-WEEKDAY(Mentors[[#This Row],[Onboarded Date]],2)+1)</f>
        <v>45656</v>
      </c>
    </row>
    <row r="422" spans="1:40" ht="19.2" customHeight="1" x14ac:dyDescent="0.3">
      <c r="A422" t="s">
        <v>3154</v>
      </c>
      <c r="B422" t="s">
        <v>152</v>
      </c>
      <c r="C422" t="s">
        <v>3155</v>
      </c>
      <c r="D422" s="24" t="s">
        <v>3156</v>
      </c>
      <c r="E422" s="7" t="s">
        <v>3157</v>
      </c>
      <c r="F422">
        <v>1999</v>
      </c>
      <c r="G422">
        <f>IF(OR(Mentors[[#This Row],[Career Start Year]]="NA",ISBLANK(Mentors[[#This Row],[Career Start Year]])),"",2026 - Mentors[[#This Row],[Career Start Year]])</f>
        <v>27</v>
      </c>
      <c r="H42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22" t="s">
        <v>51</v>
      </c>
      <c r="J422" t="s">
        <v>297</v>
      </c>
      <c r="K422" t="s">
        <v>3158</v>
      </c>
      <c r="L422" s="17">
        <v>9910159013</v>
      </c>
      <c r="M422" s="19">
        <v>45658</v>
      </c>
      <c r="N422" t="s">
        <v>4</v>
      </c>
      <c r="O422" t="s">
        <v>0</v>
      </c>
      <c r="Q422" t="s">
        <v>54</v>
      </c>
      <c r="R422" t="s">
        <v>63</v>
      </c>
      <c r="S422" t="s">
        <v>63</v>
      </c>
      <c r="T422" t="s">
        <v>56</v>
      </c>
      <c r="U422" t="s">
        <v>77</v>
      </c>
      <c r="V422" t="s">
        <v>382</v>
      </c>
      <c r="W422" t="s">
        <v>79</v>
      </c>
      <c r="X422" t="s">
        <v>60</v>
      </c>
      <c r="Z422" t="s">
        <v>81</v>
      </c>
      <c r="AA422" t="s">
        <v>62</v>
      </c>
      <c r="AB422">
        <v>1</v>
      </c>
      <c r="AD422" t="s">
        <v>54</v>
      </c>
      <c r="AE422" t="s">
        <v>63</v>
      </c>
      <c r="AG422" t="s">
        <v>54</v>
      </c>
      <c r="AH422" t="s">
        <v>152</v>
      </c>
      <c r="AI422" t="s">
        <v>66</v>
      </c>
      <c r="AJ422" t="s">
        <v>54</v>
      </c>
      <c r="AK422" t="s">
        <v>3159</v>
      </c>
      <c r="AL422" t="s">
        <v>3160</v>
      </c>
      <c r="AN422" s="19">
        <f>IF(ISBLANK(Mentors[[#This Row],[Onboarded Date]]),"",Mentors[[#This Row],[Onboarded Date]]-WEEKDAY(Mentors[[#This Row],[Onboarded Date]],2)+1)</f>
        <v>45656</v>
      </c>
    </row>
    <row r="423" spans="1:40" ht="19.2" customHeight="1" x14ac:dyDescent="0.3">
      <c r="A423" t="s">
        <v>3161</v>
      </c>
      <c r="B423" t="s">
        <v>260</v>
      </c>
      <c r="C423" t="s">
        <v>3162</v>
      </c>
      <c r="D423" s="24" t="s">
        <v>3163</v>
      </c>
      <c r="E423" t="s">
        <v>3164</v>
      </c>
      <c r="F423">
        <v>2016</v>
      </c>
      <c r="G423">
        <f>IF(OR(Mentors[[#This Row],[Career Start Year]]="NA",ISBLANK(Mentors[[#This Row],[Career Start Year]])),"",2026 - Mentors[[#This Row],[Career Start Year]])</f>
        <v>10</v>
      </c>
      <c r="H42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423" t="s">
        <v>51</v>
      </c>
      <c r="J423" t="s">
        <v>1828</v>
      </c>
      <c r="K423" t="s">
        <v>3165</v>
      </c>
      <c r="L423" s="17">
        <v>9031716589</v>
      </c>
      <c r="M423" s="19">
        <v>45658</v>
      </c>
      <c r="N423" t="s">
        <v>4</v>
      </c>
      <c r="O423" t="s">
        <v>0</v>
      </c>
      <c r="Q423" t="s">
        <v>54</v>
      </c>
      <c r="R423" t="s">
        <v>63</v>
      </c>
      <c r="S423" t="s">
        <v>63</v>
      </c>
      <c r="T423" t="s">
        <v>77</v>
      </c>
      <c r="U423" t="s">
        <v>56</v>
      </c>
      <c r="V423" t="s">
        <v>382</v>
      </c>
      <c r="W423" t="s">
        <v>79</v>
      </c>
      <c r="X423" t="s">
        <v>59</v>
      </c>
      <c r="Y423" t="s">
        <v>60</v>
      </c>
      <c r="Z423" t="s">
        <v>81</v>
      </c>
      <c r="AA423" t="s">
        <v>62</v>
      </c>
      <c r="AB423">
        <v>1</v>
      </c>
      <c r="AD423" t="s">
        <v>54</v>
      </c>
      <c r="AE423" t="s">
        <v>63</v>
      </c>
      <c r="AG423" t="s">
        <v>54</v>
      </c>
      <c r="AH423" t="s">
        <v>152</v>
      </c>
      <c r="AI423" t="s">
        <v>132</v>
      </c>
      <c r="AJ423" t="s">
        <v>54</v>
      </c>
      <c r="AK423" t="s">
        <v>3166</v>
      </c>
      <c r="AL423" t="s">
        <v>3167</v>
      </c>
      <c r="AN423" s="19">
        <f>IF(ISBLANK(Mentors[[#This Row],[Onboarded Date]]),"",Mentors[[#This Row],[Onboarded Date]]-WEEKDAY(Mentors[[#This Row],[Onboarded Date]],2)+1)</f>
        <v>45656</v>
      </c>
    </row>
    <row r="424" spans="1:40" ht="19.2" customHeight="1" x14ac:dyDescent="0.3">
      <c r="A424" t="s">
        <v>3168</v>
      </c>
      <c r="D424" s="24" t="s">
        <v>3169</v>
      </c>
      <c r="E424" t="s">
        <v>3170</v>
      </c>
      <c r="F424">
        <v>2016</v>
      </c>
      <c r="G424">
        <f>IF(OR(Mentors[[#This Row],[Career Start Year]]="NA",ISBLANK(Mentors[[#This Row],[Career Start Year]])),"",2026 - Mentors[[#This Row],[Career Start Year]])</f>
        <v>10</v>
      </c>
      <c r="H42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424" t="s">
        <v>51</v>
      </c>
      <c r="J424" t="s">
        <v>196</v>
      </c>
      <c r="K424" t="s">
        <v>3171</v>
      </c>
      <c r="L424" s="17">
        <v>9910076626</v>
      </c>
      <c r="M424" s="19">
        <v>45658</v>
      </c>
      <c r="N424" t="s">
        <v>10</v>
      </c>
      <c r="O424" t="s">
        <v>0</v>
      </c>
      <c r="Q424" t="s">
        <v>54</v>
      </c>
      <c r="R424" t="s">
        <v>63</v>
      </c>
      <c r="S424" t="s">
        <v>63</v>
      </c>
      <c r="T424" t="s">
        <v>2486</v>
      </c>
      <c r="U424" t="s">
        <v>65</v>
      </c>
      <c r="V424" s="12" t="s">
        <v>1538</v>
      </c>
      <c r="W424" t="s">
        <v>79</v>
      </c>
      <c r="Z424" t="s">
        <v>61</v>
      </c>
      <c r="AA424" t="s">
        <v>62</v>
      </c>
      <c r="AB424">
        <v>1</v>
      </c>
      <c r="AD424" t="s">
        <v>63</v>
      </c>
      <c r="AE424" t="s">
        <v>54</v>
      </c>
      <c r="AG424" t="s">
        <v>54</v>
      </c>
      <c r="AH424" t="s">
        <v>65</v>
      </c>
      <c r="AI424" t="s">
        <v>132</v>
      </c>
      <c r="AJ424" t="s">
        <v>54</v>
      </c>
      <c r="AK424" t="s">
        <v>3172</v>
      </c>
      <c r="AL424" t="s">
        <v>3173</v>
      </c>
      <c r="AN424" s="19">
        <f>IF(ISBLANK(Mentors[[#This Row],[Onboarded Date]]),"",Mentors[[#This Row],[Onboarded Date]]-WEEKDAY(Mentors[[#This Row],[Onboarded Date]],2)+1)</f>
        <v>45656</v>
      </c>
    </row>
    <row r="425" spans="1:40" ht="19.2" customHeight="1" x14ac:dyDescent="0.3">
      <c r="A425" t="s">
        <v>3174</v>
      </c>
      <c r="B425" t="s">
        <v>396</v>
      </c>
      <c r="C425" t="s">
        <v>3175</v>
      </c>
      <c r="D425" s="24" t="s">
        <v>3176</v>
      </c>
      <c r="E425" t="s">
        <v>3177</v>
      </c>
      <c r="F425">
        <v>2007</v>
      </c>
      <c r="G425">
        <f>IF(OR(Mentors[[#This Row],[Career Start Year]]="NA",ISBLANK(Mentors[[#This Row],[Career Start Year]])),"",2026 - Mentors[[#This Row],[Career Start Year]])</f>
        <v>19</v>
      </c>
      <c r="H42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425" t="s">
        <v>51</v>
      </c>
      <c r="J425" t="s">
        <v>297</v>
      </c>
      <c r="K425" t="s">
        <v>3178</v>
      </c>
      <c r="L425" s="17">
        <v>9910060810</v>
      </c>
      <c r="M425" s="19">
        <v>45658</v>
      </c>
      <c r="N425" t="s">
        <v>4</v>
      </c>
      <c r="O425" t="s">
        <v>0</v>
      </c>
      <c r="Q425" t="s">
        <v>54</v>
      </c>
      <c r="R425" t="s">
        <v>63</v>
      </c>
      <c r="S425" t="s">
        <v>63</v>
      </c>
      <c r="T425" t="s">
        <v>99</v>
      </c>
      <c r="U425" t="s">
        <v>76</v>
      </c>
      <c r="V425" t="s">
        <v>188</v>
      </c>
      <c r="W425" t="s">
        <v>65</v>
      </c>
      <c r="X425" t="s">
        <v>230</v>
      </c>
      <c r="Z425" t="s">
        <v>81</v>
      </c>
      <c r="AA425" t="s">
        <v>62</v>
      </c>
      <c r="AB425">
        <v>1</v>
      </c>
      <c r="AD425" t="s">
        <v>54</v>
      </c>
      <c r="AE425" t="s">
        <v>63</v>
      </c>
      <c r="AG425" t="s">
        <v>54</v>
      </c>
      <c r="AH425" t="s">
        <v>152</v>
      </c>
      <c r="AI425" t="s">
        <v>1168</v>
      </c>
      <c r="AJ425" t="s">
        <v>63</v>
      </c>
      <c r="AK425" t="s">
        <v>3179</v>
      </c>
      <c r="AL425" t="s">
        <v>3180</v>
      </c>
      <c r="AN425" s="19">
        <f>IF(ISBLANK(Mentors[[#This Row],[Onboarded Date]]),"",Mentors[[#This Row],[Onboarded Date]]-WEEKDAY(Mentors[[#This Row],[Onboarded Date]],2)+1)</f>
        <v>45656</v>
      </c>
    </row>
    <row r="426" spans="1:40" ht="19.2" customHeight="1" x14ac:dyDescent="0.3">
      <c r="A426" t="s">
        <v>3181</v>
      </c>
      <c r="B426" t="s">
        <v>3182</v>
      </c>
      <c r="C426" t="s">
        <v>3183</v>
      </c>
      <c r="D426" s="24" t="s">
        <v>3184</v>
      </c>
      <c r="E426" t="s">
        <v>3185</v>
      </c>
      <c r="F426">
        <v>2000</v>
      </c>
      <c r="G426">
        <f>IF(OR(Mentors[[#This Row],[Career Start Year]]="NA",ISBLANK(Mentors[[#This Row],[Career Start Year]])),"",2026 - Mentors[[#This Row],[Career Start Year]])</f>
        <v>26</v>
      </c>
      <c r="H42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26" t="s">
        <v>51</v>
      </c>
      <c r="J426" t="s">
        <v>140</v>
      </c>
      <c r="K426" t="s">
        <v>3186</v>
      </c>
      <c r="L426" s="17">
        <v>9873232288</v>
      </c>
      <c r="M426" s="19">
        <v>45658</v>
      </c>
      <c r="N426" t="s">
        <v>4</v>
      </c>
      <c r="O426" t="s">
        <v>0</v>
      </c>
      <c r="Q426" t="s">
        <v>54</v>
      </c>
      <c r="R426" t="s">
        <v>63</v>
      </c>
      <c r="S426" t="s">
        <v>54</v>
      </c>
      <c r="T426" t="s">
        <v>56</v>
      </c>
      <c r="U426" t="s">
        <v>77</v>
      </c>
      <c r="V426" t="s">
        <v>382</v>
      </c>
      <c r="W426" t="s">
        <v>79</v>
      </c>
      <c r="X426" t="s">
        <v>60</v>
      </c>
      <c r="Z426" t="s">
        <v>81</v>
      </c>
      <c r="AA426" t="s">
        <v>62</v>
      </c>
      <c r="AB426">
        <v>1</v>
      </c>
      <c r="AD426" t="s">
        <v>54</v>
      </c>
      <c r="AE426" t="s">
        <v>54</v>
      </c>
      <c r="AG426" t="s">
        <v>54</v>
      </c>
      <c r="AH426" t="s">
        <v>215</v>
      </c>
      <c r="AI426" t="s">
        <v>132</v>
      </c>
      <c r="AJ426" t="s">
        <v>54</v>
      </c>
      <c r="AK426" t="s">
        <v>3187</v>
      </c>
      <c r="AL426" t="s">
        <v>3188</v>
      </c>
      <c r="AN426" s="19">
        <f>IF(ISBLANK(Mentors[[#This Row],[Onboarded Date]]),"",Mentors[[#This Row],[Onboarded Date]]-WEEKDAY(Mentors[[#This Row],[Onboarded Date]],2)+1)</f>
        <v>45656</v>
      </c>
    </row>
    <row r="427" spans="1:40" ht="19.2" customHeight="1" x14ac:dyDescent="0.3">
      <c r="A427" t="s">
        <v>3189</v>
      </c>
      <c r="B427" t="s">
        <v>3190</v>
      </c>
      <c r="C427" t="s">
        <v>3191</v>
      </c>
      <c r="D427" s="24" t="s">
        <v>3192</v>
      </c>
      <c r="E427" t="s">
        <v>3193</v>
      </c>
      <c r="F427">
        <v>2009</v>
      </c>
      <c r="G427">
        <f>IF(OR(Mentors[[#This Row],[Career Start Year]]="NA",ISBLANK(Mentors[[#This Row],[Career Start Year]])),"",2026 - Mentors[[#This Row],[Career Start Year]])</f>
        <v>17</v>
      </c>
      <c r="H42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427" t="s">
        <v>1185</v>
      </c>
      <c r="J427" t="s">
        <v>1186</v>
      </c>
      <c r="K427" t="s">
        <v>3194</v>
      </c>
      <c r="L427" s="17">
        <v>4129563141</v>
      </c>
      <c r="M427" s="19">
        <v>45658</v>
      </c>
      <c r="N427" t="s">
        <v>4</v>
      </c>
      <c r="O427" t="s">
        <v>0</v>
      </c>
      <c r="Q427" t="s">
        <v>54</v>
      </c>
      <c r="R427" t="s">
        <v>63</v>
      </c>
      <c r="S427" t="s">
        <v>54</v>
      </c>
      <c r="T427" t="s">
        <v>76</v>
      </c>
      <c r="U427" t="s">
        <v>77</v>
      </c>
      <c r="V427" t="s">
        <v>644</v>
      </c>
      <c r="W427" t="s">
        <v>79</v>
      </c>
      <c r="Z427" t="s">
        <v>81</v>
      </c>
      <c r="AA427" t="s">
        <v>62</v>
      </c>
      <c r="AB427">
        <v>1</v>
      </c>
      <c r="AD427" t="s">
        <v>54</v>
      </c>
      <c r="AE427" t="s">
        <v>54</v>
      </c>
      <c r="AG427" t="s">
        <v>54</v>
      </c>
      <c r="AH427" t="s">
        <v>215</v>
      </c>
      <c r="AI427" t="s">
        <v>76</v>
      </c>
      <c r="AJ427" t="s">
        <v>54</v>
      </c>
      <c r="AK427" t="s">
        <v>3195</v>
      </c>
      <c r="AL427" t="s">
        <v>3196</v>
      </c>
      <c r="AN427" s="19">
        <f>IF(ISBLANK(Mentors[[#This Row],[Onboarded Date]]),"",Mentors[[#This Row],[Onboarded Date]]-WEEKDAY(Mentors[[#This Row],[Onboarded Date]],2)+1)</f>
        <v>45656</v>
      </c>
    </row>
    <row r="428" spans="1:40" ht="19.2" customHeight="1" x14ac:dyDescent="0.3">
      <c r="A428" t="s">
        <v>3197</v>
      </c>
      <c r="B428" t="s">
        <v>396</v>
      </c>
      <c r="C428" t="s">
        <v>3198</v>
      </c>
      <c r="D428" s="24" t="s">
        <v>3199</v>
      </c>
      <c r="E428" t="s">
        <v>3200</v>
      </c>
      <c r="F428">
        <v>1995</v>
      </c>
      <c r="G428">
        <f>IF(OR(Mentors[[#This Row],[Career Start Year]]="NA",ISBLANK(Mentors[[#This Row],[Career Start Year]])),"",2026 - Mentors[[#This Row],[Career Start Year]])</f>
        <v>31</v>
      </c>
      <c r="H42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28" t="s">
        <v>51</v>
      </c>
      <c r="J428" t="s">
        <v>196</v>
      </c>
      <c r="K428" t="s">
        <v>3201</v>
      </c>
      <c r="L428" s="17">
        <v>9886768026</v>
      </c>
      <c r="M428" s="19">
        <v>45658</v>
      </c>
      <c r="O428" t="s">
        <v>0</v>
      </c>
      <c r="Q428" t="s">
        <v>54</v>
      </c>
      <c r="R428" t="s">
        <v>63</v>
      </c>
      <c r="S428" t="s">
        <v>63</v>
      </c>
      <c r="T428" t="s">
        <v>77</v>
      </c>
      <c r="U428" t="s">
        <v>65</v>
      </c>
      <c r="V428" t="s">
        <v>57</v>
      </c>
      <c r="W428" t="s">
        <v>65</v>
      </c>
      <c r="X428" t="s">
        <v>59</v>
      </c>
      <c r="Y428" t="s">
        <v>60</v>
      </c>
      <c r="Z428" t="s">
        <v>81</v>
      </c>
      <c r="AA428" t="s">
        <v>62</v>
      </c>
      <c r="AB428">
        <v>1</v>
      </c>
      <c r="AD428" t="s">
        <v>54</v>
      </c>
      <c r="AE428" t="s">
        <v>63</v>
      </c>
      <c r="AG428" t="s">
        <v>54</v>
      </c>
      <c r="AH428" t="s">
        <v>152</v>
      </c>
      <c r="AI428" t="s">
        <v>412</v>
      </c>
      <c r="AJ428" t="s">
        <v>54</v>
      </c>
      <c r="AK428" t="s">
        <v>3202</v>
      </c>
      <c r="AL428" t="s">
        <v>3203</v>
      </c>
      <c r="AN428" s="19">
        <f>IF(ISBLANK(Mentors[[#This Row],[Onboarded Date]]),"",Mentors[[#This Row],[Onboarded Date]]-WEEKDAY(Mentors[[#This Row],[Onboarded Date]],2)+1)</f>
        <v>45656</v>
      </c>
    </row>
    <row r="429" spans="1:40" ht="19.2" customHeight="1" x14ac:dyDescent="0.3">
      <c r="A429" t="s">
        <v>3204</v>
      </c>
      <c r="B429" t="s">
        <v>3205</v>
      </c>
      <c r="C429" t="s">
        <v>3206</v>
      </c>
      <c r="D429" s="24" t="s">
        <v>3207</v>
      </c>
      <c r="E429" t="s">
        <v>3208</v>
      </c>
      <c r="F429">
        <v>2012</v>
      </c>
      <c r="G429">
        <f>IF(OR(Mentors[[#This Row],[Career Start Year]]="NA",ISBLANK(Mentors[[#This Row],[Career Start Year]])),"",2026 - Mentors[[#This Row],[Career Start Year]])</f>
        <v>14</v>
      </c>
      <c r="H42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29" t="s">
        <v>51</v>
      </c>
      <c r="J429" t="s">
        <v>196</v>
      </c>
      <c r="K429" t="s">
        <v>3209</v>
      </c>
      <c r="L429" s="17">
        <v>9425464031</v>
      </c>
      <c r="M429" s="19">
        <v>45658</v>
      </c>
      <c r="N429" t="s">
        <v>4</v>
      </c>
      <c r="O429" t="s">
        <v>0</v>
      </c>
      <c r="Q429" t="s">
        <v>54</v>
      </c>
      <c r="R429" t="s">
        <v>54</v>
      </c>
      <c r="S429" t="s">
        <v>54</v>
      </c>
      <c r="T429" t="s">
        <v>265</v>
      </c>
      <c r="U429" t="s">
        <v>65</v>
      </c>
      <c r="V429" t="s">
        <v>306</v>
      </c>
      <c r="W429" t="s">
        <v>79</v>
      </c>
      <c r="Z429" t="s">
        <v>61</v>
      </c>
      <c r="AA429" t="s">
        <v>62</v>
      </c>
      <c r="AB429">
        <v>1</v>
      </c>
      <c r="AD429" t="s">
        <v>54</v>
      </c>
      <c r="AE429" t="s">
        <v>54</v>
      </c>
      <c r="AG429" t="s">
        <v>54</v>
      </c>
      <c r="AH429" t="s">
        <v>65</v>
      </c>
      <c r="AI429" t="s">
        <v>122</v>
      </c>
      <c r="AJ429" t="s">
        <v>54</v>
      </c>
      <c r="AK429" t="s">
        <v>3210</v>
      </c>
      <c r="AL429" t="s">
        <v>3211</v>
      </c>
      <c r="AN429" s="19">
        <f>IF(ISBLANK(Mentors[[#This Row],[Onboarded Date]]),"",Mentors[[#This Row],[Onboarded Date]]-WEEKDAY(Mentors[[#This Row],[Onboarded Date]],2)+1)</f>
        <v>45656</v>
      </c>
    </row>
    <row r="430" spans="1:40" ht="19.2" customHeight="1" x14ac:dyDescent="0.3">
      <c r="A430" t="s">
        <v>3212</v>
      </c>
      <c r="B430" t="s">
        <v>3213</v>
      </c>
      <c r="C430" t="s">
        <v>3214</v>
      </c>
      <c r="D430" s="24" t="s">
        <v>3215</v>
      </c>
      <c r="E430" t="s">
        <v>3216</v>
      </c>
      <c r="F430">
        <v>2015</v>
      </c>
      <c r="G430">
        <f>IF(OR(Mentors[[#This Row],[Career Start Year]]="NA",ISBLANK(Mentors[[#This Row],[Career Start Year]])),"",2026 - Mentors[[#This Row],[Career Start Year]])</f>
        <v>11</v>
      </c>
      <c r="H43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30" t="s">
        <v>51</v>
      </c>
      <c r="J430" t="s">
        <v>52</v>
      </c>
      <c r="K430" t="s">
        <v>3217</v>
      </c>
      <c r="L430" s="17">
        <v>9823570542</v>
      </c>
      <c r="M430" s="19">
        <v>45658</v>
      </c>
      <c r="O430" t="s">
        <v>0</v>
      </c>
      <c r="Q430" t="s">
        <v>54</v>
      </c>
      <c r="R430" t="s">
        <v>54</v>
      </c>
      <c r="S430" t="s">
        <v>54</v>
      </c>
      <c r="T430" t="s">
        <v>77</v>
      </c>
      <c r="U430" t="s">
        <v>99</v>
      </c>
      <c r="V430" t="s">
        <v>58</v>
      </c>
      <c r="W430" t="s">
        <v>198</v>
      </c>
      <c r="X430" t="s">
        <v>59</v>
      </c>
      <c r="Z430" t="s">
        <v>61</v>
      </c>
      <c r="AA430" t="s">
        <v>62</v>
      </c>
      <c r="AB430">
        <v>1</v>
      </c>
      <c r="AD430" t="s">
        <v>54</v>
      </c>
      <c r="AE430" t="s">
        <v>54</v>
      </c>
      <c r="AG430" t="s">
        <v>54</v>
      </c>
      <c r="AH430" t="s">
        <v>65</v>
      </c>
      <c r="AI430" t="s">
        <v>248</v>
      </c>
      <c r="AJ430" t="s">
        <v>54</v>
      </c>
      <c r="AK430" t="s">
        <v>3218</v>
      </c>
      <c r="AL430" t="s">
        <v>3219</v>
      </c>
      <c r="AN430" s="19">
        <f>IF(ISBLANK(Mentors[[#This Row],[Onboarded Date]]),"",Mentors[[#This Row],[Onboarded Date]]-WEEKDAY(Mentors[[#This Row],[Onboarded Date]],2)+1)</f>
        <v>45656</v>
      </c>
    </row>
    <row r="431" spans="1:40" ht="19.2" customHeight="1" x14ac:dyDescent="0.3">
      <c r="A431" t="s">
        <v>3220</v>
      </c>
      <c r="B431" t="s">
        <v>3221</v>
      </c>
      <c r="C431" t="s">
        <v>3222</v>
      </c>
      <c r="D431" s="24" t="s">
        <v>3223</v>
      </c>
      <c r="E431" t="s">
        <v>3224</v>
      </c>
      <c r="F431">
        <v>2004</v>
      </c>
      <c r="G431">
        <f>IF(OR(Mentors[[#This Row],[Career Start Year]]="NA",ISBLANK(Mentors[[#This Row],[Career Start Year]])),"",2026 - Mentors[[#This Row],[Career Start Year]])</f>
        <v>22</v>
      </c>
      <c r="H43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31" t="s">
        <v>51</v>
      </c>
      <c r="J431" t="s">
        <v>1828</v>
      </c>
      <c r="K431" t="s">
        <v>3225</v>
      </c>
      <c r="L431" s="17">
        <v>7735030077</v>
      </c>
      <c r="M431" s="19">
        <v>45658</v>
      </c>
      <c r="O431" t="s">
        <v>0</v>
      </c>
      <c r="Q431" t="s">
        <v>54</v>
      </c>
      <c r="R431" t="s">
        <v>63</v>
      </c>
      <c r="S431" t="s">
        <v>63</v>
      </c>
      <c r="T431" s="4" t="s">
        <v>756</v>
      </c>
      <c r="U431" t="s">
        <v>77</v>
      </c>
      <c r="V431" t="s">
        <v>481</v>
      </c>
      <c r="W431" t="s">
        <v>78</v>
      </c>
      <c r="X431" t="s">
        <v>59</v>
      </c>
      <c r="Z431" t="s">
        <v>61</v>
      </c>
      <c r="AA431" t="s">
        <v>62</v>
      </c>
      <c r="AB431">
        <v>1</v>
      </c>
      <c r="AD431" t="s">
        <v>63</v>
      </c>
      <c r="AE431" t="s">
        <v>54</v>
      </c>
      <c r="AF431" t="s">
        <v>64</v>
      </c>
      <c r="AG431" t="s">
        <v>54</v>
      </c>
      <c r="AH431" t="s">
        <v>65</v>
      </c>
      <c r="AI431" t="s">
        <v>412</v>
      </c>
      <c r="AJ431" t="s">
        <v>54</v>
      </c>
      <c r="AK431" t="s">
        <v>3226</v>
      </c>
      <c r="AL431" t="s">
        <v>3227</v>
      </c>
      <c r="AN431" s="19">
        <f>IF(ISBLANK(Mentors[[#This Row],[Onboarded Date]]),"",Mentors[[#This Row],[Onboarded Date]]-WEEKDAY(Mentors[[#This Row],[Onboarded Date]],2)+1)</f>
        <v>45656</v>
      </c>
    </row>
    <row r="432" spans="1:40" ht="19.2" customHeight="1" x14ac:dyDescent="0.3">
      <c r="A432" t="s">
        <v>3228</v>
      </c>
      <c r="B432" t="s">
        <v>3229</v>
      </c>
      <c r="C432" t="s">
        <v>3230</v>
      </c>
      <c r="D432" s="24" t="s">
        <v>3231</v>
      </c>
      <c r="E432" t="s">
        <v>3232</v>
      </c>
      <c r="F432">
        <v>2004</v>
      </c>
      <c r="G432">
        <f>IF(OR(Mentors[[#This Row],[Career Start Year]]="NA",ISBLANK(Mentors[[#This Row],[Career Start Year]])),"",2026 - Mentors[[#This Row],[Career Start Year]])</f>
        <v>22</v>
      </c>
      <c r="H43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32" t="s">
        <v>51</v>
      </c>
      <c r="J432" t="s">
        <v>196</v>
      </c>
      <c r="K432" t="s">
        <v>3233</v>
      </c>
      <c r="L432" s="17">
        <v>9008011911</v>
      </c>
      <c r="M432" s="19">
        <v>45658</v>
      </c>
      <c r="O432" t="s">
        <v>0</v>
      </c>
      <c r="Q432" t="s">
        <v>54</v>
      </c>
      <c r="R432" t="s">
        <v>63</v>
      </c>
      <c r="S432" t="s">
        <v>63</v>
      </c>
      <c r="T432" t="s">
        <v>110</v>
      </c>
      <c r="U432" t="s">
        <v>265</v>
      </c>
      <c r="V432" t="s">
        <v>78</v>
      </c>
      <c r="W432" t="s">
        <v>79</v>
      </c>
      <c r="Z432" t="s">
        <v>61</v>
      </c>
      <c r="AA432" t="s">
        <v>62</v>
      </c>
      <c r="AB432">
        <v>1</v>
      </c>
      <c r="AD432" t="s">
        <v>54</v>
      </c>
      <c r="AE432" t="s">
        <v>63</v>
      </c>
      <c r="AG432" t="s">
        <v>54</v>
      </c>
      <c r="AH432" t="s">
        <v>152</v>
      </c>
      <c r="AI432" t="s">
        <v>122</v>
      </c>
      <c r="AJ432" t="s">
        <v>54</v>
      </c>
      <c r="AK432" t="s">
        <v>3234</v>
      </c>
      <c r="AL432" t="s">
        <v>3235</v>
      </c>
      <c r="AN432" s="19">
        <f>IF(ISBLANK(Mentors[[#This Row],[Onboarded Date]]),"",Mentors[[#This Row],[Onboarded Date]]-WEEKDAY(Mentors[[#This Row],[Onboarded Date]],2)+1)</f>
        <v>45656</v>
      </c>
    </row>
    <row r="433" spans="1:40" ht="19.2" customHeight="1" x14ac:dyDescent="0.3">
      <c r="A433" t="s">
        <v>3236</v>
      </c>
      <c r="B433" t="s">
        <v>3237</v>
      </c>
      <c r="C433" t="s">
        <v>85</v>
      </c>
      <c r="D433" s="24" t="s">
        <v>3238</v>
      </c>
      <c r="E433" t="s">
        <v>3239</v>
      </c>
      <c r="F433">
        <v>2004</v>
      </c>
      <c r="G433">
        <f>IF(OR(Mentors[[#This Row],[Career Start Year]]="NA",ISBLANK(Mentors[[#This Row],[Career Start Year]])),"",2026 - Mentors[[#This Row],[Career Start Year]])</f>
        <v>22</v>
      </c>
      <c r="H43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33" t="s">
        <v>51</v>
      </c>
      <c r="J433" t="s">
        <v>118</v>
      </c>
      <c r="K433" t="s">
        <v>3240</v>
      </c>
      <c r="L433" s="17">
        <v>9819010084</v>
      </c>
      <c r="M433" s="19">
        <v>45658</v>
      </c>
      <c r="N433" t="s">
        <v>10</v>
      </c>
      <c r="O433" t="s">
        <v>0</v>
      </c>
      <c r="Q433" t="s">
        <v>54</v>
      </c>
      <c r="R433" t="s">
        <v>63</v>
      </c>
      <c r="S433" t="s">
        <v>63</v>
      </c>
      <c r="T433" s="13" t="s">
        <v>381</v>
      </c>
      <c r="U433" t="s">
        <v>100</v>
      </c>
      <c r="V433" t="s">
        <v>57</v>
      </c>
      <c r="W433" t="s">
        <v>79</v>
      </c>
      <c r="X433" t="s">
        <v>60</v>
      </c>
      <c r="Z433" t="s">
        <v>61</v>
      </c>
      <c r="AA433" t="s">
        <v>62</v>
      </c>
      <c r="AB433">
        <v>1</v>
      </c>
      <c r="AD433" t="s">
        <v>54</v>
      </c>
      <c r="AE433" t="s">
        <v>63</v>
      </c>
      <c r="AG433" t="s">
        <v>54</v>
      </c>
      <c r="AH433" t="s">
        <v>65</v>
      </c>
      <c r="AI433" t="s">
        <v>132</v>
      </c>
      <c r="AJ433" t="s">
        <v>54</v>
      </c>
      <c r="AK433" t="s">
        <v>3241</v>
      </c>
      <c r="AL433" t="s">
        <v>3242</v>
      </c>
      <c r="AN433" s="19">
        <f>IF(ISBLANK(Mentors[[#This Row],[Onboarded Date]]),"",Mentors[[#This Row],[Onboarded Date]]-WEEKDAY(Mentors[[#This Row],[Onboarded Date]],2)+1)</f>
        <v>45656</v>
      </c>
    </row>
    <row r="434" spans="1:40" ht="19.2" customHeight="1" x14ac:dyDescent="0.3">
      <c r="A434" t="s">
        <v>3243</v>
      </c>
      <c r="B434" t="s">
        <v>152</v>
      </c>
      <c r="C434" t="s">
        <v>3244</v>
      </c>
      <c r="D434" s="24" t="s">
        <v>3245</v>
      </c>
      <c r="E434" t="s">
        <v>3246</v>
      </c>
      <c r="F434">
        <v>2017</v>
      </c>
      <c r="G434">
        <f>IF(OR(Mentors[[#This Row],[Career Start Year]]="NA",ISBLANK(Mentors[[#This Row],[Career Start Year]])),"",2026 - Mentors[[#This Row],[Career Start Year]])</f>
        <v>9</v>
      </c>
      <c r="H43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434" t="s">
        <v>51</v>
      </c>
      <c r="J434" t="s">
        <v>280</v>
      </c>
      <c r="K434" t="s">
        <v>3247</v>
      </c>
      <c r="L434" s="17">
        <v>9173457840</v>
      </c>
      <c r="M434" s="19">
        <v>45658</v>
      </c>
      <c r="O434" t="s">
        <v>0</v>
      </c>
      <c r="Q434" t="s">
        <v>54</v>
      </c>
      <c r="R434" t="s">
        <v>63</v>
      </c>
      <c r="S434" t="s">
        <v>63</v>
      </c>
      <c r="T434" s="4" t="s">
        <v>756</v>
      </c>
      <c r="U434" t="s">
        <v>100</v>
      </c>
      <c r="V434" t="s">
        <v>57</v>
      </c>
      <c r="W434" t="s">
        <v>79</v>
      </c>
      <c r="X434" t="s">
        <v>59</v>
      </c>
      <c r="Y434" t="s">
        <v>60</v>
      </c>
      <c r="Z434" t="s">
        <v>101</v>
      </c>
      <c r="AA434" t="s">
        <v>62</v>
      </c>
      <c r="AB434">
        <v>1</v>
      </c>
      <c r="AD434" t="s">
        <v>54</v>
      </c>
      <c r="AE434" t="s">
        <v>63</v>
      </c>
      <c r="AG434" t="s">
        <v>54</v>
      </c>
      <c r="AH434" t="s">
        <v>152</v>
      </c>
      <c r="AI434" t="s">
        <v>412</v>
      </c>
      <c r="AJ434" t="s">
        <v>54</v>
      </c>
      <c r="AK434" t="s">
        <v>3248</v>
      </c>
      <c r="AL434" t="s">
        <v>3249</v>
      </c>
      <c r="AN434" s="19">
        <f>IF(ISBLANK(Mentors[[#This Row],[Onboarded Date]]),"",Mentors[[#This Row],[Onboarded Date]]-WEEKDAY(Mentors[[#This Row],[Onboarded Date]],2)+1)</f>
        <v>45656</v>
      </c>
    </row>
    <row r="435" spans="1:40" ht="19.2" customHeight="1" x14ac:dyDescent="0.3">
      <c r="A435" t="s">
        <v>3250</v>
      </c>
      <c r="B435" t="s">
        <v>3251</v>
      </c>
      <c r="C435" t="s">
        <v>3252</v>
      </c>
      <c r="D435" s="9" t="s">
        <v>3253</v>
      </c>
      <c r="E435" t="s">
        <v>3254</v>
      </c>
      <c r="F435">
        <v>2008</v>
      </c>
      <c r="G435">
        <f>IF(OR(Mentors[[#This Row],[Career Start Year]]="NA",ISBLANK(Mentors[[#This Row],[Career Start Year]])),"",2026 - Mentors[[#This Row],[Career Start Year]])</f>
        <v>18</v>
      </c>
      <c r="H43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435" t="s">
        <v>51</v>
      </c>
      <c r="J435" t="s">
        <v>118</v>
      </c>
      <c r="K435" t="s">
        <v>3255</v>
      </c>
      <c r="L435" s="17">
        <v>8169631790</v>
      </c>
      <c r="M435" s="19">
        <v>45658</v>
      </c>
      <c r="O435" t="s">
        <v>0</v>
      </c>
      <c r="Q435" t="s">
        <v>63</v>
      </c>
      <c r="R435" t="s">
        <v>63</v>
      </c>
      <c r="S435" t="s">
        <v>54</v>
      </c>
      <c r="T435" t="s">
        <v>445</v>
      </c>
      <c r="U435" t="s">
        <v>77</v>
      </c>
      <c r="V435" t="s">
        <v>57</v>
      </c>
      <c r="W435" t="s">
        <v>79</v>
      </c>
      <c r="Z435" t="s">
        <v>81</v>
      </c>
      <c r="AA435" t="s">
        <v>62</v>
      </c>
      <c r="AB435">
        <v>1</v>
      </c>
      <c r="AD435" t="s">
        <v>54</v>
      </c>
      <c r="AE435" t="s">
        <v>54</v>
      </c>
      <c r="AG435" t="s">
        <v>54</v>
      </c>
      <c r="AH435" t="s">
        <v>65</v>
      </c>
      <c r="AI435" t="s">
        <v>132</v>
      </c>
      <c r="AJ435" t="s">
        <v>54</v>
      </c>
      <c r="AK435" t="s">
        <v>3256</v>
      </c>
      <c r="AL435" t="s">
        <v>638</v>
      </c>
      <c r="AN435" s="19">
        <f>IF(ISBLANK(Mentors[[#This Row],[Onboarded Date]]),"",Mentors[[#This Row],[Onboarded Date]]-WEEKDAY(Mentors[[#This Row],[Onboarded Date]],2)+1)</f>
        <v>45656</v>
      </c>
    </row>
    <row r="436" spans="1:40" ht="19.2" customHeight="1" x14ac:dyDescent="0.3">
      <c r="A436" t="s">
        <v>3257</v>
      </c>
      <c r="B436" t="s">
        <v>234</v>
      </c>
      <c r="C436" t="s">
        <v>3258</v>
      </c>
      <c r="D436" s="24" t="s">
        <v>3259</v>
      </c>
      <c r="E436" t="s">
        <v>3260</v>
      </c>
      <c r="F436">
        <v>2011</v>
      </c>
      <c r="G436">
        <f>IF(OR(Mentors[[#This Row],[Career Start Year]]="NA",ISBLANK(Mentors[[#This Row],[Career Start Year]])),"",2026 - Mentors[[#This Row],[Career Start Year]])</f>
        <v>15</v>
      </c>
      <c r="H43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36" t="s">
        <v>51</v>
      </c>
      <c r="J436" t="s">
        <v>196</v>
      </c>
      <c r="K436" t="s">
        <v>3261</v>
      </c>
      <c r="L436" s="17">
        <v>9619550559</v>
      </c>
      <c r="M436" s="19">
        <v>45658</v>
      </c>
      <c r="O436" t="s">
        <v>0</v>
      </c>
      <c r="Q436" t="s">
        <v>54</v>
      </c>
      <c r="R436" t="s">
        <v>63</v>
      </c>
      <c r="S436" t="s">
        <v>63</v>
      </c>
      <c r="T436" t="s">
        <v>499</v>
      </c>
      <c r="U436" t="s">
        <v>77</v>
      </c>
      <c r="V436" t="s">
        <v>57</v>
      </c>
      <c r="W436" t="s">
        <v>79</v>
      </c>
      <c r="Z436" t="s">
        <v>81</v>
      </c>
      <c r="AA436" t="s">
        <v>62</v>
      </c>
      <c r="AB436">
        <v>1</v>
      </c>
      <c r="AD436" t="s">
        <v>54</v>
      </c>
      <c r="AE436" t="s">
        <v>63</v>
      </c>
      <c r="AG436" t="s">
        <v>54</v>
      </c>
      <c r="AH436" t="s">
        <v>152</v>
      </c>
      <c r="AI436" t="s">
        <v>77</v>
      </c>
      <c r="AJ436" t="s">
        <v>54</v>
      </c>
      <c r="AK436" t="s">
        <v>3262</v>
      </c>
      <c r="AL436" t="s">
        <v>3263</v>
      </c>
      <c r="AN436" s="19">
        <f>IF(ISBLANK(Mentors[[#This Row],[Onboarded Date]]),"",Mentors[[#This Row],[Onboarded Date]]-WEEKDAY(Mentors[[#This Row],[Onboarded Date]],2)+1)</f>
        <v>45656</v>
      </c>
    </row>
    <row r="437" spans="1:40" ht="19.2" customHeight="1" x14ac:dyDescent="0.3">
      <c r="A437" t="s">
        <v>3264</v>
      </c>
      <c r="B437" t="s">
        <v>3265</v>
      </c>
      <c r="C437" t="s">
        <v>3266</v>
      </c>
      <c r="D437" s="24" t="s">
        <v>3267</v>
      </c>
      <c r="E437" t="s">
        <v>3268</v>
      </c>
      <c r="F437">
        <v>2013</v>
      </c>
      <c r="G437">
        <f>IF(OR(Mentors[[#This Row],[Career Start Year]]="NA",ISBLANK(Mentors[[#This Row],[Career Start Year]])),"",2026 - Mentors[[#This Row],[Career Start Year]])</f>
        <v>13</v>
      </c>
      <c r="H43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37" t="s">
        <v>51</v>
      </c>
      <c r="J437" t="s">
        <v>118</v>
      </c>
      <c r="K437" t="s">
        <v>3269</v>
      </c>
      <c r="L437" s="17">
        <v>9870429659</v>
      </c>
      <c r="M437" s="19">
        <v>45658</v>
      </c>
      <c r="O437" t="s">
        <v>0</v>
      </c>
      <c r="Q437" t="s">
        <v>54</v>
      </c>
      <c r="R437" t="s">
        <v>54</v>
      </c>
      <c r="S437" t="s">
        <v>54</v>
      </c>
      <c r="T437" t="s">
        <v>499</v>
      </c>
      <c r="U437" t="s">
        <v>445</v>
      </c>
      <c r="V437" t="s">
        <v>120</v>
      </c>
      <c r="W437" t="s">
        <v>168</v>
      </c>
      <c r="X437" t="s">
        <v>80</v>
      </c>
      <c r="Y437" t="s">
        <v>60</v>
      </c>
      <c r="Z437" t="s">
        <v>81</v>
      </c>
      <c r="AA437" t="s">
        <v>62</v>
      </c>
      <c r="AB437">
        <v>1</v>
      </c>
      <c r="AD437" t="s">
        <v>54</v>
      </c>
      <c r="AE437" t="s">
        <v>54</v>
      </c>
      <c r="AG437" t="s">
        <v>54</v>
      </c>
      <c r="AH437" t="s">
        <v>65</v>
      </c>
      <c r="AI437" t="s">
        <v>66</v>
      </c>
      <c r="AJ437" t="s">
        <v>54</v>
      </c>
      <c r="AK437" t="s">
        <v>3270</v>
      </c>
      <c r="AL437" t="s">
        <v>3271</v>
      </c>
      <c r="AN437" s="19">
        <f>IF(ISBLANK(Mentors[[#This Row],[Onboarded Date]]),"",Mentors[[#This Row],[Onboarded Date]]-WEEKDAY(Mentors[[#This Row],[Onboarded Date]],2)+1)</f>
        <v>45656</v>
      </c>
    </row>
    <row r="438" spans="1:40" ht="19.2" customHeight="1" x14ac:dyDescent="0.3">
      <c r="A438" t="s">
        <v>3272</v>
      </c>
      <c r="B438" t="s">
        <v>3273</v>
      </c>
      <c r="C438" t="s">
        <v>3274</v>
      </c>
      <c r="D438" s="24" t="s">
        <v>3275</v>
      </c>
      <c r="E438" t="s">
        <v>3276</v>
      </c>
      <c r="F438">
        <v>2009</v>
      </c>
      <c r="G438">
        <f>IF(OR(Mentors[[#This Row],[Career Start Year]]="NA",ISBLANK(Mentors[[#This Row],[Career Start Year]])),"",2026 - Mentors[[#This Row],[Career Start Year]])</f>
        <v>17</v>
      </c>
      <c r="H43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438" t="s">
        <v>51</v>
      </c>
      <c r="J438" t="s">
        <v>140</v>
      </c>
      <c r="K438" t="s">
        <v>3277</v>
      </c>
      <c r="L438" s="17">
        <v>9990917001</v>
      </c>
      <c r="M438" s="19">
        <v>45658</v>
      </c>
      <c r="O438" t="s">
        <v>0</v>
      </c>
      <c r="Q438" t="s">
        <v>63</v>
      </c>
      <c r="R438" t="s">
        <v>63</v>
      </c>
      <c r="S438" t="s">
        <v>54</v>
      </c>
      <c r="T438" t="s">
        <v>77</v>
      </c>
      <c r="U438" t="s">
        <v>65</v>
      </c>
      <c r="V438" t="s">
        <v>57</v>
      </c>
      <c r="W438" t="s">
        <v>79</v>
      </c>
      <c r="Z438" t="s">
        <v>81</v>
      </c>
      <c r="AA438" t="s">
        <v>62</v>
      </c>
      <c r="AB438">
        <v>1</v>
      </c>
      <c r="AD438" t="s">
        <v>54</v>
      </c>
      <c r="AE438" t="s">
        <v>54</v>
      </c>
      <c r="AG438" t="s">
        <v>54</v>
      </c>
      <c r="AH438" t="s">
        <v>65</v>
      </c>
      <c r="AI438" t="s">
        <v>248</v>
      </c>
      <c r="AJ438" t="s">
        <v>54</v>
      </c>
      <c r="AK438" t="s">
        <v>3278</v>
      </c>
      <c r="AL438" t="s">
        <v>3279</v>
      </c>
      <c r="AN438" s="19">
        <f>IF(ISBLANK(Mentors[[#This Row],[Onboarded Date]]),"",Mentors[[#This Row],[Onboarded Date]]-WEEKDAY(Mentors[[#This Row],[Onboarded Date]],2)+1)</f>
        <v>45656</v>
      </c>
    </row>
    <row r="439" spans="1:40" ht="19.2" customHeight="1" x14ac:dyDescent="0.3">
      <c r="A439" t="s">
        <v>3280</v>
      </c>
      <c r="B439" t="s">
        <v>152</v>
      </c>
      <c r="C439" t="s">
        <v>3281</v>
      </c>
      <c r="D439" s="24" t="s">
        <v>3282</v>
      </c>
      <c r="E439" t="s">
        <v>3283</v>
      </c>
      <c r="F439">
        <v>2010</v>
      </c>
      <c r="G439">
        <f>IF(OR(Mentors[[#This Row],[Career Start Year]]="NA",ISBLANK(Mentors[[#This Row],[Career Start Year]])),"",2026 - Mentors[[#This Row],[Career Start Year]])</f>
        <v>16</v>
      </c>
      <c r="H43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439" t="s">
        <v>51</v>
      </c>
      <c r="J439" t="s">
        <v>196</v>
      </c>
      <c r="K439" t="s">
        <v>3284</v>
      </c>
      <c r="L439" s="17">
        <v>9873774753</v>
      </c>
      <c r="M439" s="19">
        <v>45658</v>
      </c>
      <c r="O439" t="s">
        <v>0</v>
      </c>
      <c r="Q439" t="s">
        <v>54</v>
      </c>
      <c r="R439" t="s">
        <v>63</v>
      </c>
      <c r="S439" t="s">
        <v>63</v>
      </c>
      <c r="T439" t="s">
        <v>77</v>
      </c>
      <c r="U439" t="s">
        <v>100</v>
      </c>
      <c r="V439" t="s">
        <v>78</v>
      </c>
      <c r="W439" t="s">
        <v>79</v>
      </c>
      <c r="Z439" t="s">
        <v>81</v>
      </c>
      <c r="AA439" t="s">
        <v>62</v>
      </c>
      <c r="AB439">
        <v>1</v>
      </c>
      <c r="AD439" t="s">
        <v>54</v>
      </c>
      <c r="AE439" t="s">
        <v>63</v>
      </c>
      <c r="AG439" t="s">
        <v>54</v>
      </c>
      <c r="AH439" t="s">
        <v>152</v>
      </c>
      <c r="AI439" t="s">
        <v>132</v>
      </c>
      <c r="AJ439" t="s">
        <v>54</v>
      </c>
      <c r="AK439" t="s">
        <v>3285</v>
      </c>
      <c r="AL439" t="s">
        <v>3286</v>
      </c>
      <c r="AN439" s="19">
        <f>IF(ISBLANK(Mentors[[#This Row],[Onboarded Date]]),"",Mentors[[#This Row],[Onboarded Date]]-WEEKDAY(Mentors[[#This Row],[Onboarded Date]],2)+1)</f>
        <v>45656</v>
      </c>
    </row>
    <row r="440" spans="1:40" ht="19.2" customHeight="1" x14ac:dyDescent="0.3">
      <c r="A440" t="s">
        <v>3287</v>
      </c>
      <c r="B440" t="s">
        <v>404</v>
      </c>
      <c r="C440" t="s">
        <v>3288</v>
      </c>
      <c r="D440" s="24" t="s">
        <v>3289</v>
      </c>
      <c r="E440" t="s">
        <v>3290</v>
      </c>
      <c r="F440">
        <v>1999</v>
      </c>
      <c r="G440">
        <f>IF(OR(Mentors[[#This Row],[Career Start Year]]="NA",ISBLANK(Mentors[[#This Row],[Career Start Year]])),"",2026 - Mentors[[#This Row],[Career Start Year]])</f>
        <v>27</v>
      </c>
      <c r="H44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40" t="s">
        <v>51</v>
      </c>
      <c r="J440" t="s">
        <v>3291</v>
      </c>
      <c r="K440" t="s">
        <v>3292</v>
      </c>
      <c r="L440" s="17">
        <v>9898661507</v>
      </c>
      <c r="M440" s="19">
        <v>45658</v>
      </c>
      <c r="N440" t="s">
        <v>10</v>
      </c>
      <c r="O440" t="s">
        <v>0</v>
      </c>
      <c r="Q440" t="s">
        <v>54</v>
      </c>
      <c r="R440" t="s">
        <v>54</v>
      </c>
      <c r="S440" t="s">
        <v>54</v>
      </c>
      <c r="T440" s="11" t="s">
        <v>247</v>
      </c>
      <c r="U440" t="s">
        <v>65</v>
      </c>
      <c r="V440" s="14" t="s">
        <v>78</v>
      </c>
      <c r="W440" t="s">
        <v>79</v>
      </c>
      <c r="X440" t="s">
        <v>60</v>
      </c>
      <c r="Z440" t="s">
        <v>101</v>
      </c>
      <c r="AA440" t="s">
        <v>62</v>
      </c>
      <c r="AB440">
        <v>1</v>
      </c>
      <c r="AD440" t="s">
        <v>54</v>
      </c>
      <c r="AE440" t="s">
        <v>54</v>
      </c>
      <c r="AG440" t="s">
        <v>54</v>
      </c>
      <c r="AH440" t="s">
        <v>65</v>
      </c>
      <c r="AI440" t="s">
        <v>248</v>
      </c>
      <c r="AJ440" t="s">
        <v>54</v>
      </c>
      <c r="AK440" t="s">
        <v>3293</v>
      </c>
      <c r="AL440" t="s">
        <v>414</v>
      </c>
      <c r="AN440" s="19">
        <f>IF(ISBLANK(Mentors[[#This Row],[Onboarded Date]]),"",Mentors[[#This Row],[Onboarded Date]]-WEEKDAY(Mentors[[#This Row],[Onboarded Date]],2)+1)</f>
        <v>45656</v>
      </c>
    </row>
    <row r="441" spans="1:40" ht="19.2" customHeight="1" x14ac:dyDescent="0.3">
      <c r="A441" t="s">
        <v>3294</v>
      </c>
      <c r="B441" t="s">
        <v>152</v>
      </c>
      <c r="C441" t="s">
        <v>3295</v>
      </c>
      <c r="D441" s="24" t="s">
        <v>3296</v>
      </c>
      <c r="E441" t="s">
        <v>3297</v>
      </c>
      <c r="F441">
        <v>2017</v>
      </c>
      <c r="G441">
        <f>IF(OR(Mentors[[#This Row],[Career Start Year]]="NA",ISBLANK(Mentors[[#This Row],[Career Start Year]])),"",2026 - Mentors[[#This Row],[Career Start Year]])</f>
        <v>9</v>
      </c>
      <c r="H44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441" t="s">
        <v>51</v>
      </c>
      <c r="J441" t="s">
        <v>917</v>
      </c>
      <c r="K441" t="s">
        <v>3298</v>
      </c>
      <c r="L441" s="17">
        <v>9810560598</v>
      </c>
      <c r="M441" s="19">
        <v>45658</v>
      </c>
      <c r="O441" t="s">
        <v>0</v>
      </c>
      <c r="Q441" t="s">
        <v>54</v>
      </c>
      <c r="R441" t="s">
        <v>63</v>
      </c>
      <c r="S441" t="s">
        <v>63</v>
      </c>
      <c r="T441" t="s">
        <v>77</v>
      </c>
      <c r="U441" t="s">
        <v>65</v>
      </c>
      <c r="V441" t="s">
        <v>198</v>
      </c>
      <c r="W441" s="4" t="s">
        <v>282</v>
      </c>
      <c r="X441" s="4" t="s">
        <v>59</v>
      </c>
      <c r="Y441" s="4"/>
      <c r="Z441" t="s">
        <v>101</v>
      </c>
      <c r="AA441" t="s">
        <v>62</v>
      </c>
      <c r="AB441">
        <v>1</v>
      </c>
      <c r="AD441" t="s">
        <v>54</v>
      </c>
      <c r="AE441" t="s">
        <v>63</v>
      </c>
      <c r="AG441" t="s">
        <v>54</v>
      </c>
      <c r="AH441" t="s">
        <v>152</v>
      </c>
      <c r="AI441" t="s">
        <v>412</v>
      </c>
      <c r="AJ441" t="s">
        <v>54</v>
      </c>
      <c r="AK441" t="s">
        <v>3299</v>
      </c>
      <c r="AL441" t="s">
        <v>3300</v>
      </c>
      <c r="AN441" s="19">
        <f>IF(ISBLANK(Mentors[[#This Row],[Onboarded Date]]),"",Mentors[[#This Row],[Onboarded Date]]-WEEKDAY(Mentors[[#This Row],[Onboarded Date]],2)+1)</f>
        <v>45656</v>
      </c>
    </row>
    <row r="442" spans="1:40" ht="19.2" customHeight="1" x14ac:dyDescent="0.3">
      <c r="A442" t="s">
        <v>3301</v>
      </c>
      <c r="B442" t="s">
        <v>3302</v>
      </c>
      <c r="C442" t="s">
        <v>3303</v>
      </c>
      <c r="D442" s="24" t="s">
        <v>3304</v>
      </c>
      <c r="E442" t="s">
        <v>3305</v>
      </c>
      <c r="F442">
        <v>1993</v>
      </c>
      <c r="G442">
        <f>IF(OR(Mentors[[#This Row],[Career Start Year]]="NA",ISBLANK(Mentors[[#This Row],[Career Start Year]])),"",2026 - Mentors[[#This Row],[Career Start Year]])</f>
        <v>33</v>
      </c>
      <c r="H44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42" t="s">
        <v>51</v>
      </c>
      <c r="J442" t="s">
        <v>140</v>
      </c>
      <c r="K442" t="s">
        <v>3306</v>
      </c>
      <c r="L442" s="17">
        <v>9811377963</v>
      </c>
      <c r="M442" s="19">
        <v>45658</v>
      </c>
      <c r="O442" t="s">
        <v>0</v>
      </c>
      <c r="Q442" t="s">
        <v>54</v>
      </c>
      <c r="R442" t="s">
        <v>63</v>
      </c>
      <c r="S442" t="s">
        <v>63</v>
      </c>
      <c r="T442" t="s">
        <v>110</v>
      </c>
      <c r="U442" t="s">
        <v>65</v>
      </c>
      <c r="V442" t="s">
        <v>78</v>
      </c>
      <c r="W442" t="s">
        <v>79</v>
      </c>
      <c r="Z442" t="s">
        <v>81</v>
      </c>
      <c r="AA442" t="s">
        <v>62</v>
      </c>
      <c r="AB442">
        <v>1</v>
      </c>
      <c r="AD442" t="s">
        <v>54</v>
      </c>
      <c r="AE442" t="s">
        <v>54</v>
      </c>
      <c r="AF442" t="s">
        <v>63</v>
      </c>
      <c r="AG442" t="s">
        <v>54</v>
      </c>
      <c r="AH442" t="s">
        <v>65</v>
      </c>
      <c r="AI442" t="s">
        <v>122</v>
      </c>
      <c r="AJ442" t="s">
        <v>54</v>
      </c>
      <c r="AK442" t="s">
        <v>3307</v>
      </c>
      <c r="AL442" t="s">
        <v>3308</v>
      </c>
      <c r="AN442" s="19">
        <f>IF(ISBLANK(Mentors[[#This Row],[Onboarded Date]]),"",Mentors[[#This Row],[Onboarded Date]]-WEEKDAY(Mentors[[#This Row],[Onboarded Date]],2)+1)</f>
        <v>45656</v>
      </c>
    </row>
    <row r="443" spans="1:40" ht="19.2" customHeight="1" x14ac:dyDescent="0.3">
      <c r="A443" t="s">
        <v>3309</v>
      </c>
      <c r="B443" t="s">
        <v>3310</v>
      </c>
      <c r="C443" t="s">
        <v>3311</v>
      </c>
      <c r="D443" s="24" t="s">
        <v>3312</v>
      </c>
      <c r="E443" t="s">
        <v>3313</v>
      </c>
      <c r="F443">
        <v>2007</v>
      </c>
      <c r="G443">
        <f>IF(OR(Mentors[[#This Row],[Career Start Year]]="NA",ISBLANK(Mentors[[#This Row],[Career Start Year]])),"",2026 - Mentors[[#This Row],[Career Start Year]])</f>
        <v>19</v>
      </c>
      <c r="H44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443" t="s">
        <v>51</v>
      </c>
      <c r="J443" t="s">
        <v>280</v>
      </c>
      <c r="K443" t="s">
        <v>3314</v>
      </c>
      <c r="L443" s="17">
        <v>9824896856</v>
      </c>
      <c r="M443" s="19">
        <v>45658</v>
      </c>
      <c r="O443" t="s">
        <v>0</v>
      </c>
      <c r="Q443" t="s">
        <v>54</v>
      </c>
      <c r="R443" t="s">
        <v>54</v>
      </c>
      <c r="S443" t="s">
        <v>54</v>
      </c>
      <c r="T443" t="s">
        <v>77</v>
      </c>
      <c r="U443" t="s">
        <v>65</v>
      </c>
      <c r="V443" t="s">
        <v>57</v>
      </c>
      <c r="W443" t="s">
        <v>79</v>
      </c>
      <c r="X443" t="s">
        <v>59</v>
      </c>
      <c r="Z443" t="s">
        <v>101</v>
      </c>
      <c r="AA443" t="s">
        <v>62</v>
      </c>
      <c r="AB443">
        <v>1</v>
      </c>
      <c r="AD443" t="s">
        <v>54</v>
      </c>
      <c r="AE443" t="s">
        <v>54</v>
      </c>
      <c r="AG443" t="s">
        <v>54</v>
      </c>
      <c r="AH443" t="s">
        <v>65</v>
      </c>
      <c r="AI443" t="s">
        <v>1064</v>
      </c>
      <c r="AJ443" t="s">
        <v>54</v>
      </c>
      <c r="AK443" t="s">
        <v>3315</v>
      </c>
      <c r="AL443" t="s">
        <v>3316</v>
      </c>
      <c r="AN443" s="19">
        <f>IF(ISBLANK(Mentors[[#This Row],[Onboarded Date]]),"",Mentors[[#This Row],[Onboarded Date]]-WEEKDAY(Mentors[[#This Row],[Onboarded Date]],2)+1)</f>
        <v>45656</v>
      </c>
    </row>
    <row r="444" spans="1:40" ht="19.2" customHeight="1" x14ac:dyDescent="0.3">
      <c r="A444" t="s">
        <v>3317</v>
      </c>
      <c r="B444" t="s">
        <v>219</v>
      </c>
      <c r="C444" t="s">
        <v>85</v>
      </c>
      <c r="D444" s="24" t="s">
        <v>3318</v>
      </c>
      <c r="E444" t="s">
        <v>3319</v>
      </c>
      <c r="F444">
        <v>2007</v>
      </c>
      <c r="G444">
        <f>IF(OR(Mentors[[#This Row],[Career Start Year]]="NA",ISBLANK(Mentors[[#This Row],[Career Start Year]])),"",2026 - Mentors[[#This Row],[Career Start Year]])</f>
        <v>19</v>
      </c>
      <c r="H44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444" t="s">
        <v>51</v>
      </c>
      <c r="J444" t="s">
        <v>118</v>
      </c>
      <c r="K444" t="s">
        <v>3320</v>
      </c>
      <c r="L444" s="17">
        <v>9920767600</v>
      </c>
      <c r="M444" s="19">
        <v>45658</v>
      </c>
      <c r="N444" t="s">
        <v>10</v>
      </c>
      <c r="O444" t="s">
        <v>0</v>
      </c>
      <c r="Q444" t="s">
        <v>54</v>
      </c>
      <c r="R444" t="s">
        <v>63</v>
      </c>
      <c r="S444" t="s">
        <v>54</v>
      </c>
      <c r="T444" t="s">
        <v>411</v>
      </c>
      <c r="U444" t="s">
        <v>187</v>
      </c>
      <c r="V444" t="s">
        <v>78</v>
      </c>
      <c r="W444" t="s">
        <v>79</v>
      </c>
      <c r="X444" t="s">
        <v>59</v>
      </c>
      <c r="Z444" t="s">
        <v>61</v>
      </c>
      <c r="AA444" t="s">
        <v>62</v>
      </c>
      <c r="AB444">
        <v>1</v>
      </c>
      <c r="AD444" t="s">
        <v>54</v>
      </c>
      <c r="AE444" t="s">
        <v>54</v>
      </c>
      <c r="AG444" t="s">
        <v>54</v>
      </c>
      <c r="AH444" t="s">
        <v>65</v>
      </c>
      <c r="AI444" t="s">
        <v>412</v>
      </c>
      <c r="AJ444" t="s">
        <v>54</v>
      </c>
      <c r="AK444" t="s">
        <v>3321</v>
      </c>
      <c r="AL444" t="s">
        <v>3322</v>
      </c>
      <c r="AN444" s="19">
        <f>IF(ISBLANK(Mentors[[#This Row],[Onboarded Date]]),"",Mentors[[#This Row],[Onboarded Date]]-WEEKDAY(Mentors[[#This Row],[Onboarded Date]],2)+1)</f>
        <v>45656</v>
      </c>
    </row>
    <row r="445" spans="1:40" ht="19.2" customHeight="1" x14ac:dyDescent="0.3">
      <c r="A445" t="s">
        <v>3323</v>
      </c>
      <c r="B445" t="s">
        <v>152</v>
      </c>
      <c r="C445" t="s">
        <v>3324</v>
      </c>
      <c r="D445" s="24" t="s">
        <v>3325</v>
      </c>
      <c r="E445" t="s">
        <v>3326</v>
      </c>
      <c r="F445">
        <v>2004</v>
      </c>
      <c r="G445">
        <f>IF(OR(Mentors[[#This Row],[Career Start Year]]="NA",ISBLANK(Mentors[[#This Row],[Career Start Year]])),"",2026 - Mentors[[#This Row],[Career Start Year]])</f>
        <v>22</v>
      </c>
      <c r="H44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45" t="s">
        <v>51</v>
      </c>
      <c r="J445" t="s">
        <v>995</v>
      </c>
      <c r="K445" t="s">
        <v>3327</v>
      </c>
      <c r="L445" s="17">
        <v>9823018722</v>
      </c>
      <c r="M445" s="19">
        <v>45658</v>
      </c>
      <c r="O445" t="s">
        <v>0</v>
      </c>
      <c r="Q445" t="s">
        <v>63</v>
      </c>
      <c r="R445" t="s">
        <v>63</v>
      </c>
      <c r="S445" t="s">
        <v>63</v>
      </c>
      <c r="T445" s="4" t="s">
        <v>756</v>
      </c>
      <c r="U445" t="s">
        <v>919</v>
      </c>
      <c r="V445" t="s">
        <v>58</v>
      </c>
      <c r="W445" s="4" t="s">
        <v>421</v>
      </c>
      <c r="X445" s="4" t="s">
        <v>80</v>
      </c>
      <c r="Y445" s="4" t="s">
        <v>59</v>
      </c>
      <c r="Z445" t="s">
        <v>61</v>
      </c>
      <c r="AA445" t="s">
        <v>62</v>
      </c>
      <c r="AB445">
        <v>1</v>
      </c>
      <c r="AD445" t="s">
        <v>63</v>
      </c>
      <c r="AE445" t="s">
        <v>63</v>
      </c>
      <c r="AG445" t="s">
        <v>54</v>
      </c>
      <c r="AH445" t="s">
        <v>152</v>
      </c>
      <c r="AI445" t="s">
        <v>412</v>
      </c>
      <c r="AJ445" t="s">
        <v>54</v>
      </c>
      <c r="AK445" t="s">
        <v>3328</v>
      </c>
      <c r="AL445" t="s">
        <v>3329</v>
      </c>
      <c r="AN445" s="19">
        <f>IF(ISBLANK(Mentors[[#This Row],[Onboarded Date]]),"",Mentors[[#This Row],[Onboarded Date]]-WEEKDAY(Mentors[[#This Row],[Onboarded Date]],2)+1)</f>
        <v>45656</v>
      </c>
    </row>
    <row r="446" spans="1:40" ht="19.2" customHeight="1" x14ac:dyDescent="0.3">
      <c r="A446" t="s">
        <v>3330</v>
      </c>
      <c r="B446" t="s">
        <v>152</v>
      </c>
      <c r="C446" t="s">
        <v>3331</v>
      </c>
      <c r="D446" s="24" t="s">
        <v>3332</v>
      </c>
      <c r="E446" t="s">
        <v>3333</v>
      </c>
      <c r="F446">
        <v>1987</v>
      </c>
      <c r="G446">
        <f>IF(OR(Mentors[[#This Row],[Career Start Year]]="NA",ISBLANK(Mentors[[#This Row],[Career Start Year]])),"",2026 - Mentors[[#This Row],[Career Start Year]])</f>
        <v>39</v>
      </c>
      <c r="H44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46" t="s">
        <v>51</v>
      </c>
      <c r="J446" t="s">
        <v>118</v>
      </c>
      <c r="K446" t="s">
        <v>3334</v>
      </c>
      <c r="M446" s="19">
        <v>45658</v>
      </c>
      <c r="N446" t="s">
        <v>10</v>
      </c>
      <c r="O446" t="s">
        <v>0</v>
      </c>
      <c r="Q446" t="s">
        <v>54</v>
      </c>
      <c r="R446" t="s">
        <v>63</v>
      </c>
      <c r="S446" t="s">
        <v>63</v>
      </c>
      <c r="T446" t="s">
        <v>1143</v>
      </c>
      <c r="U446" t="s">
        <v>77</v>
      </c>
      <c r="V446" t="s">
        <v>78</v>
      </c>
      <c r="W446" t="s">
        <v>79</v>
      </c>
      <c r="X446" t="s">
        <v>59</v>
      </c>
      <c r="Z446" t="s">
        <v>61</v>
      </c>
      <c r="AA446" t="s">
        <v>62</v>
      </c>
      <c r="AB446">
        <v>1</v>
      </c>
      <c r="AD446" t="s">
        <v>63</v>
      </c>
      <c r="AE446" t="s">
        <v>63</v>
      </c>
      <c r="AG446" t="s">
        <v>54</v>
      </c>
      <c r="AH446" t="s">
        <v>152</v>
      </c>
      <c r="AI446" t="s">
        <v>1064</v>
      </c>
      <c r="AJ446" t="s">
        <v>54</v>
      </c>
      <c r="AK446" t="s">
        <v>3335</v>
      </c>
      <c r="AL446" t="s">
        <v>3336</v>
      </c>
      <c r="AN446" s="19">
        <f>IF(ISBLANK(Mentors[[#This Row],[Onboarded Date]]),"",Mentors[[#This Row],[Onboarded Date]]-WEEKDAY(Mentors[[#This Row],[Onboarded Date]],2)+1)</f>
        <v>45656</v>
      </c>
    </row>
    <row r="447" spans="1:40" ht="19.2" customHeight="1" x14ac:dyDescent="0.3">
      <c r="A447" t="s">
        <v>3337</v>
      </c>
      <c r="B447" t="s">
        <v>503</v>
      </c>
      <c r="C447" t="s">
        <v>3338</v>
      </c>
      <c r="D447" s="24" t="s">
        <v>3339</v>
      </c>
      <c r="E447" t="s">
        <v>3340</v>
      </c>
      <c r="F447">
        <v>1995</v>
      </c>
      <c r="G447">
        <f>IF(OR(Mentors[[#This Row],[Career Start Year]]="NA",ISBLANK(Mentors[[#This Row],[Career Start Year]])),"",2026 - Mentors[[#This Row],[Career Start Year]])</f>
        <v>31</v>
      </c>
      <c r="H44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47" t="s">
        <v>51</v>
      </c>
      <c r="J447" t="s">
        <v>196</v>
      </c>
      <c r="K447" t="s">
        <v>3341</v>
      </c>
      <c r="L447" s="17">
        <v>9448070081</v>
      </c>
      <c r="M447" s="19">
        <v>45658</v>
      </c>
      <c r="O447" t="s">
        <v>0</v>
      </c>
      <c r="Q447" t="s">
        <v>54</v>
      </c>
      <c r="R447" t="s">
        <v>63</v>
      </c>
      <c r="S447" t="s">
        <v>54</v>
      </c>
      <c r="T447" t="s">
        <v>77</v>
      </c>
      <c r="U447" t="s">
        <v>65</v>
      </c>
      <c r="V447" t="s">
        <v>58</v>
      </c>
      <c r="W447" s="4" t="s">
        <v>58</v>
      </c>
      <c r="X447" s="4" t="s">
        <v>59</v>
      </c>
      <c r="Y447" s="4"/>
      <c r="Z447" t="s">
        <v>61</v>
      </c>
      <c r="AA447" t="s">
        <v>62</v>
      </c>
      <c r="AB447">
        <v>1</v>
      </c>
      <c r="AD447" t="s">
        <v>63</v>
      </c>
      <c r="AE447" t="s">
        <v>54</v>
      </c>
      <c r="AG447" t="s">
        <v>54</v>
      </c>
      <c r="AH447" t="s">
        <v>65</v>
      </c>
      <c r="AI447" t="s">
        <v>66</v>
      </c>
      <c r="AJ447" t="s">
        <v>54</v>
      </c>
      <c r="AK447" t="s">
        <v>3342</v>
      </c>
      <c r="AL447" t="s">
        <v>3343</v>
      </c>
      <c r="AN447" s="19">
        <f>IF(ISBLANK(Mentors[[#This Row],[Onboarded Date]]),"",Mentors[[#This Row],[Onboarded Date]]-WEEKDAY(Mentors[[#This Row],[Onboarded Date]],2)+1)</f>
        <v>45656</v>
      </c>
    </row>
    <row r="448" spans="1:40" ht="19.2" customHeight="1" x14ac:dyDescent="0.3">
      <c r="A448" t="s">
        <v>3344</v>
      </c>
      <c r="B448" t="s">
        <v>152</v>
      </c>
      <c r="C448" t="s">
        <v>3345</v>
      </c>
      <c r="D448" s="24" t="s">
        <v>3346</v>
      </c>
      <c r="E448" s="7" t="s">
        <v>3347</v>
      </c>
      <c r="F448">
        <v>1997</v>
      </c>
      <c r="G448">
        <f>IF(OR(Mentors[[#This Row],[Career Start Year]]="NA",ISBLANK(Mentors[[#This Row],[Career Start Year]])),"",2026 - Mentors[[#This Row],[Career Start Year]])</f>
        <v>29</v>
      </c>
      <c r="H44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48" t="s">
        <v>51</v>
      </c>
      <c r="J448" t="s">
        <v>196</v>
      </c>
      <c r="K448" s="7" t="s">
        <v>3348</v>
      </c>
      <c r="L448" s="17">
        <v>9945234247</v>
      </c>
      <c r="M448" s="19">
        <v>45658</v>
      </c>
      <c r="O448" t="s">
        <v>0</v>
      </c>
      <c r="Q448" t="s">
        <v>54</v>
      </c>
      <c r="R448" t="s">
        <v>54</v>
      </c>
      <c r="S448" t="s">
        <v>63</v>
      </c>
      <c r="T448" t="s">
        <v>77</v>
      </c>
      <c r="U448" t="s">
        <v>100</v>
      </c>
      <c r="V448" t="s">
        <v>78</v>
      </c>
      <c r="W448" t="s">
        <v>79</v>
      </c>
      <c r="X448" t="s">
        <v>60</v>
      </c>
      <c r="Z448" t="s">
        <v>61</v>
      </c>
      <c r="AA448" t="s">
        <v>62</v>
      </c>
      <c r="AB448">
        <v>1</v>
      </c>
      <c r="AD448" t="s">
        <v>54</v>
      </c>
      <c r="AE448" t="s">
        <v>63</v>
      </c>
      <c r="AG448" t="s">
        <v>54</v>
      </c>
      <c r="AH448" t="s">
        <v>65</v>
      </c>
      <c r="AI448" t="s">
        <v>122</v>
      </c>
      <c r="AJ448" t="s">
        <v>54</v>
      </c>
      <c r="AK448" t="s">
        <v>3349</v>
      </c>
      <c r="AL448" t="s">
        <v>3350</v>
      </c>
      <c r="AN448" s="19">
        <f>IF(ISBLANK(Mentors[[#This Row],[Onboarded Date]]),"",Mentors[[#This Row],[Onboarded Date]]-WEEKDAY(Mentors[[#This Row],[Onboarded Date]],2)+1)</f>
        <v>45656</v>
      </c>
    </row>
    <row r="449" spans="1:40" ht="19.2" customHeight="1" x14ac:dyDescent="0.3">
      <c r="A449" t="s">
        <v>3351</v>
      </c>
      <c r="B449" t="s">
        <v>3352</v>
      </c>
      <c r="C449" t="s">
        <v>3353</v>
      </c>
      <c r="D449" s="24" t="s">
        <v>3354</v>
      </c>
      <c r="E449" t="s">
        <v>3355</v>
      </c>
      <c r="F449">
        <v>2004</v>
      </c>
      <c r="G449">
        <f>IF(OR(Mentors[[#This Row],[Career Start Year]]="NA",ISBLANK(Mentors[[#This Row],[Career Start Year]])),"",2026 - Mentors[[#This Row],[Career Start Year]])</f>
        <v>22</v>
      </c>
      <c r="H44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49" t="s">
        <v>51</v>
      </c>
      <c r="J449" t="s">
        <v>196</v>
      </c>
      <c r="K449" t="s">
        <v>3356</v>
      </c>
      <c r="L449" s="17">
        <v>9880212593</v>
      </c>
      <c r="M449" s="19">
        <v>45658</v>
      </c>
      <c r="O449" t="s">
        <v>0</v>
      </c>
      <c r="Q449" t="s">
        <v>54</v>
      </c>
      <c r="R449" t="s">
        <v>54</v>
      </c>
      <c r="S449" t="s">
        <v>54</v>
      </c>
      <c r="T449" t="s">
        <v>499</v>
      </c>
      <c r="U449" t="s">
        <v>76</v>
      </c>
      <c r="V449" t="s">
        <v>120</v>
      </c>
      <c r="W449" t="s">
        <v>168</v>
      </c>
      <c r="X449" t="s">
        <v>60</v>
      </c>
      <c r="Z449" t="s">
        <v>81</v>
      </c>
      <c r="AA449" t="s">
        <v>62</v>
      </c>
      <c r="AB449">
        <v>1</v>
      </c>
      <c r="AD449" t="s">
        <v>54</v>
      </c>
      <c r="AE449" t="s">
        <v>54</v>
      </c>
      <c r="AG449" t="s">
        <v>54</v>
      </c>
      <c r="AH449" t="s">
        <v>65</v>
      </c>
      <c r="AI449" t="s">
        <v>1064</v>
      </c>
      <c r="AJ449" t="s">
        <v>54</v>
      </c>
      <c r="AK449" t="s">
        <v>3357</v>
      </c>
      <c r="AL449" t="s">
        <v>3358</v>
      </c>
      <c r="AN449" s="19">
        <f>IF(ISBLANK(Mentors[[#This Row],[Onboarded Date]]),"",Mentors[[#This Row],[Onboarded Date]]-WEEKDAY(Mentors[[#This Row],[Onboarded Date]],2)+1)</f>
        <v>45656</v>
      </c>
    </row>
    <row r="450" spans="1:40" ht="19.2" customHeight="1" x14ac:dyDescent="0.3">
      <c r="A450" t="s">
        <v>3359</v>
      </c>
      <c r="B450" t="s">
        <v>3360</v>
      </c>
      <c r="C450" t="s">
        <v>3361</v>
      </c>
      <c r="D450" s="24" t="s">
        <v>3362</v>
      </c>
      <c r="E450" t="s">
        <v>3363</v>
      </c>
      <c r="F450">
        <v>2018</v>
      </c>
      <c r="G450">
        <f>IF(OR(Mentors[[#This Row],[Career Start Year]]="NA",ISBLANK(Mentors[[#This Row],[Career Start Year]])),"",2026 - Mentors[[#This Row],[Career Start Year]])</f>
        <v>8</v>
      </c>
      <c r="H45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450" t="s">
        <v>51</v>
      </c>
      <c r="J450" t="s">
        <v>570</v>
      </c>
      <c r="K450" t="s">
        <v>3364</v>
      </c>
      <c r="L450" s="17">
        <v>9462302922</v>
      </c>
      <c r="M450" s="19">
        <v>45658</v>
      </c>
      <c r="O450" t="s">
        <v>0</v>
      </c>
      <c r="Q450" t="s">
        <v>63</v>
      </c>
      <c r="R450" t="s">
        <v>63</v>
      </c>
      <c r="S450" t="s">
        <v>54</v>
      </c>
      <c r="T450" t="s">
        <v>99</v>
      </c>
      <c r="U450" t="s">
        <v>76</v>
      </c>
      <c r="V450" t="s">
        <v>78</v>
      </c>
      <c r="W450" t="s">
        <v>57</v>
      </c>
      <c r="Z450" t="s">
        <v>81</v>
      </c>
      <c r="AA450" t="s">
        <v>62</v>
      </c>
      <c r="AB450">
        <v>1</v>
      </c>
      <c r="AD450" t="s">
        <v>54</v>
      </c>
      <c r="AE450" t="s">
        <v>54</v>
      </c>
      <c r="AG450" t="s">
        <v>54</v>
      </c>
      <c r="AH450" t="s">
        <v>65</v>
      </c>
      <c r="AI450" t="s">
        <v>1168</v>
      </c>
      <c r="AJ450" t="s">
        <v>63</v>
      </c>
      <c r="AK450" t="s">
        <v>3365</v>
      </c>
      <c r="AL450" t="s">
        <v>3366</v>
      </c>
      <c r="AN450" s="19">
        <f>IF(ISBLANK(Mentors[[#This Row],[Onboarded Date]]),"",Mentors[[#This Row],[Onboarded Date]]-WEEKDAY(Mentors[[#This Row],[Onboarded Date]],2)+1)</f>
        <v>45656</v>
      </c>
    </row>
    <row r="451" spans="1:40" ht="19.2" customHeight="1" x14ac:dyDescent="0.3">
      <c r="A451" t="s">
        <v>3367</v>
      </c>
      <c r="B451" t="s">
        <v>152</v>
      </c>
      <c r="C451" t="s">
        <v>3368</v>
      </c>
      <c r="D451" s="24" t="s">
        <v>3369</v>
      </c>
      <c r="E451" t="s">
        <v>3370</v>
      </c>
      <c r="F451">
        <v>2022</v>
      </c>
      <c r="G451">
        <f>IF(OR(Mentors[[#This Row],[Career Start Year]]="NA",ISBLANK(Mentors[[#This Row],[Career Start Year]])),"",2026 - Mentors[[#This Row],[Career Start Year]])</f>
        <v>4</v>
      </c>
      <c r="H45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451" t="s">
        <v>51</v>
      </c>
      <c r="J451" t="s">
        <v>297</v>
      </c>
      <c r="K451" t="s">
        <v>3371</v>
      </c>
      <c r="L451" s="17">
        <v>8956490723</v>
      </c>
      <c r="M451" s="19">
        <v>45658</v>
      </c>
      <c r="O451" t="s">
        <v>0</v>
      </c>
      <c r="Q451" t="s">
        <v>54</v>
      </c>
      <c r="R451" t="s">
        <v>63</v>
      </c>
      <c r="S451" t="s">
        <v>63</v>
      </c>
      <c r="T451" t="s">
        <v>919</v>
      </c>
      <c r="U451" t="s">
        <v>79</v>
      </c>
      <c r="V451" t="s">
        <v>78</v>
      </c>
      <c r="W451" t="s">
        <v>79</v>
      </c>
      <c r="X451" t="s">
        <v>80</v>
      </c>
      <c r="Y451" t="s">
        <v>59</v>
      </c>
      <c r="Z451" t="s">
        <v>81</v>
      </c>
      <c r="AA451" t="s">
        <v>62</v>
      </c>
      <c r="AB451">
        <v>1</v>
      </c>
      <c r="AD451" t="s">
        <v>54</v>
      </c>
      <c r="AE451" t="s">
        <v>63</v>
      </c>
      <c r="AG451" t="s">
        <v>54</v>
      </c>
      <c r="AH451" t="s">
        <v>152</v>
      </c>
      <c r="AI451" t="s">
        <v>122</v>
      </c>
      <c r="AJ451" t="s">
        <v>54</v>
      </c>
      <c r="AK451" t="s">
        <v>3372</v>
      </c>
      <c r="AL451" t="s">
        <v>3373</v>
      </c>
      <c r="AN451" s="19">
        <f>IF(ISBLANK(Mentors[[#This Row],[Onboarded Date]]),"",Mentors[[#This Row],[Onboarded Date]]-WEEKDAY(Mentors[[#This Row],[Onboarded Date]],2)+1)</f>
        <v>45656</v>
      </c>
    </row>
    <row r="452" spans="1:40" ht="19.2" customHeight="1" x14ac:dyDescent="0.3">
      <c r="A452" t="s">
        <v>3374</v>
      </c>
      <c r="B452" t="s">
        <v>152</v>
      </c>
      <c r="C452" t="s">
        <v>3375</v>
      </c>
      <c r="D452" s="24" t="s">
        <v>3376</v>
      </c>
      <c r="E452" s="7" t="s">
        <v>3377</v>
      </c>
      <c r="F452">
        <v>2015</v>
      </c>
      <c r="G452">
        <f>IF(OR(Mentors[[#This Row],[Career Start Year]]="NA",ISBLANK(Mentors[[#This Row],[Career Start Year]])),"",2026 - Mentors[[#This Row],[Career Start Year]])</f>
        <v>11</v>
      </c>
      <c r="H45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52" t="s">
        <v>51</v>
      </c>
      <c r="J452" t="s">
        <v>88</v>
      </c>
      <c r="K452" t="s">
        <v>3378</v>
      </c>
      <c r="L452" s="17">
        <v>8498815551</v>
      </c>
      <c r="M452" s="19">
        <v>45658</v>
      </c>
      <c r="N452" t="s">
        <v>10</v>
      </c>
      <c r="O452" t="s">
        <v>0</v>
      </c>
      <c r="Q452" t="s">
        <v>54</v>
      </c>
      <c r="R452" t="s">
        <v>63</v>
      </c>
      <c r="S452" t="s">
        <v>63</v>
      </c>
      <c r="T452" t="s">
        <v>1638</v>
      </c>
      <c r="U452" t="s">
        <v>79</v>
      </c>
      <c r="V452" t="s">
        <v>78</v>
      </c>
      <c r="W452" t="s">
        <v>79</v>
      </c>
      <c r="Z452" t="s">
        <v>81</v>
      </c>
      <c r="AA452" t="s">
        <v>62</v>
      </c>
      <c r="AB452">
        <v>1</v>
      </c>
      <c r="AD452" t="s">
        <v>54</v>
      </c>
      <c r="AE452" t="s">
        <v>63</v>
      </c>
      <c r="AG452" t="s">
        <v>54</v>
      </c>
      <c r="AH452" t="s">
        <v>152</v>
      </c>
      <c r="AI452" t="s">
        <v>1177</v>
      </c>
      <c r="AJ452" t="s">
        <v>54</v>
      </c>
      <c r="AK452" t="s">
        <v>3379</v>
      </c>
      <c r="AL452" t="s">
        <v>3380</v>
      </c>
      <c r="AN452" s="19">
        <f>IF(ISBLANK(Mentors[[#This Row],[Onboarded Date]]),"",Mentors[[#This Row],[Onboarded Date]]-WEEKDAY(Mentors[[#This Row],[Onboarded Date]],2)+1)</f>
        <v>45656</v>
      </c>
    </row>
    <row r="453" spans="1:40" ht="19.2" customHeight="1" x14ac:dyDescent="0.3">
      <c r="A453" s="4" t="s">
        <v>3381</v>
      </c>
      <c r="B453" t="s">
        <v>3382</v>
      </c>
      <c r="C453" t="s">
        <v>3383</v>
      </c>
      <c r="D453" s="24" t="s">
        <v>3384</v>
      </c>
      <c r="E453" t="s">
        <v>3385</v>
      </c>
      <c r="F453">
        <v>2006</v>
      </c>
      <c r="G453">
        <f>IF(OR(Mentors[[#This Row],[Career Start Year]]="NA",ISBLANK(Mentors[[#This Row],[Career Start Year]])),"",2026 - Mentors[[#This Row],[Career Start Year]])</f>
        <v>20</v>
      </c>
      <c r="H45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453" t="s">
        <v>1185</v>
      </c>
      <c r="J453" t="s">
        <v>3386</v>
      </c>
      <c r="K453" t="s">
        <v>3387</v>
      </c>
      <c r="L453" s="17">
        <v>6127704486</v>
      </c>
      <c r="M453" s="19">
        <v>45658</v>
      </c>
      <c r="O453" t="s">
        <v>0</v>
      </c>
      <c r="Q453" t="s">
        <v>54</v>
      </c>
      <c r="R453" t="s">
        <v>54</v>
      </c>
      <c r="S453" t="s">
        <v>54</v>
      </c>
      <c r="T453" t="s">
        <v>77</v>
      </c>
      <c r="U453" t="s">
        <v>79</v>
      </c>
      <c r="V453" t="s">
        <v>198</v>
      </c>
      <c r="W453" t="s">
        <v>57</v>
      </c>
      <c r="Z453" t="s">
        <v>81</v>
      </c>
      <c r="AA453" t="s">
        <v>62</v>
      </c>
      <c r="AB453">
        <v>1</v>
      </c>
      <c r="AD453" t="s">
        <v>54</v>
      </c>
      <c r="AE453" t="s">
        <v>54</v>
      </c>
      <c r="AG453" t="s">
        <v>54</v>
      </c>
      <c r="AH453" t="s">
        <v>65</v>
      </c>
      <c r="AI453" t="s">
        <v>1064</v>
      </c>
      <c r="AJ453" t="s">
        <v>54</v>
      </c>
      <c r="AK453" t="s">
        <v>3388</v>
      </c>
      <c r="AL453" t="s">
        <v>3389</v>
      </c>
      <c r="AN453" s="19">
        <f>IF(ISBLANK(Mentors[[#This Row],[Onboarded Date]]),"",Mentors[[#This Row],[Onboarded Date]]-WEEKDAY(Mentors[[#This Row],[Onboarded Date]],2)+1)</f>
        <v>45656</v>
      </c>
    </row>
    <row r="454" spans="1:40" ht="19.2" customHeight="1" x14ac:dyDescent="0.3">
      <c r="A454" t="s">
        <v>3390</v>
      </c>
      <c r="B454" t="s">
        <v>152</v>
      </c>
      <c r="C454" t="s">
        <v>3391</v>
      </c>
      <c r="D454" s="24" t="s">
        <v>3392</v>
      </c>
      <c r="E454" t="s">
        <v>3393</v>
      </c>
      <c r="F454">
        <v>2010</v>
      </c>
      <c r="G454">
        <f>IF(OR(Mentors[[#This Row],[Career Start Year]]="NA",ISBLANK(Mentors[[#This Row],[Career Start Year]])),"",2026 - Mentors[[#This Row],[Career Start Year]])</f>
        <v>16</v>
      </c>
      <c r="H45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454" t="s">
        <v>51</v>
      </c>
      <c r="J454" t="s">
        <v>196</v>
      </c>
      <c r="K454" s="7" t="s">
        <v>3394</v>
      </c>
      <c r="L454" s="17">
        <v>9560585479</v>
      </c>
      <c r="M454" s="19">
        <v>45658</v>
      </c>
      <c r="O454" t="s">
        <v>0</v>
      </c>
      <c r="Q454" t="s">
        <v>54</v>
      </c>
      <c r="R454" t="s">
        <v>63</v>
      </c>
      <c r="S454" t="s">
        <v>63</v>
      </c>
      <c r="T454" t="s">
        <v>56</v>
      </c>
      <c r="U454" t="s">
        <v>187</v>
      </c>
      <c r="V454" t="s">
        <v>78</v>
      </c>
      <c r="W454" t="s">
        <v>57</v>
      </c>
      <c r="Z454" t="s">
        <v>81</v>
      </c>
      <c r="AA454" t="s">
        <v>62</v>
      </c>
      <c r="AB454">
        <v>1</v>
      </c>
      <c r="AD454" t="s">
        <v>54</v>
      </c>
      <c r="AE454" t="s">
        <v>63</v>
      </c>
      <c r="AG454" t="s">
        <v>54</v>
      </c>
      <c r="AH454" t="s">
        <v>152</v>
      </c>
      <c r="AI454" t="s">
        <v>132</v>
      </c>
      <c r="AJ454" t="s">
        <v>54</v>
      </c>
      <c r="AK454" t="s">
        <v>3395</v>
      </c>
      <c r="AL454" t="s">
        <v>3396</v>
      </c>
      <c r="AN454" s="19">
        <f>IF(ISBLANK(Mentors[[#This Row],[Onboarded Date]]),"",Mentors[[#This Row],[Onboarded Date]]-WEEKDAY(Mentors[[#This Row],[Onboarded Date]],2)+1)</f>
        <v>45656</v>
      </c>
    </row>
    <row r="455" spans="1:40" ht="19.2" customHeight="1" x14ac:dyDescent="0.3">
      <c r="A455" t="s">
        <v>3397</v>
      </c>
      <c r="B455" t="s">
        <v>152</v>
      </c>
      <c r="C455" t="s">
        <v>3398</v>
      </c>
      <c r="D455" s="24" t="s">
        <v>3399</v>
      </c>
      <c r="E455" t="s">
        <v>3400</v>
      </c>
      <c r="F455">
        <v>1987</v>
      </c>
      <c r="G455">
        <f>IF(OR(Mentors[[#This Row],[Career Start Year]]="NA",ISBLANK(Mentors[[#This Row],[Career Start Year]])),"",2026 - Mentors[[#This Row],[Career Start Year]])</f>
        <v>39</v>
      </c>
      <c r="H45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55" t="s">
        <v>51</v>
      </c>
      <c r="J455" t="s">
        <v>118</v>
      </c>
      <c r="K455" t="s">
        <v>3401</v>
      </c>
      <c r="L455" s="17">
        <v>9820602911</v>
      </c>
      <c r="M455" s="19">
        <v>45658</v>
      </c>
      <c r="N455" t="s">
        <v>10</v>
      </c>
      <c r="O455" t="s">
        <v>0</v>
      </c>
      <c r="Q455" t="s">
        <v>63</v>
      </c>
      <c r="R455" t="s">
        <v>63</v>
      </c>
      <c r="S455" t="s">
        <v>63</v>
      </c>
      <c r="T455" t="s">
        <v>1151</v>
      </c>
      <c r="U455" t="s">
        <v>79</v>
      </c>
      <c r="V455" t="s">
        <v>306</v>
      </c>
      <c r="W455" t="s">
        <v>79</v>
      </c>
      <c r="X455" t="s">
        <v>59</v>
      </c>
      <c r="Z455" t="s">
        <v>81</v>
      </c>
      <c r="AA455" t="s">
        <v>62</v>
      </c>
      <c r="AB455">
        <v>1</v>
      </c>
      <c r="AD455" t="s">
        <v>54</v>
      </c>
      <c r="AE455" t="s">
        <v>63</v>
      </c>
      <c r="AG455" t="s">
        <v>54</v>
      </c>
      <c r="AH455" t="s">
        <v>152</v>
      </c>
      <c r="AI455" t="s">
        <v>122</v>
      </c>
      <c r="AJ455" t="s">
        <v>54</v>
      </c>
      <c r="AK455" t="s">
        <v>3402</v>
      </c>
      <c r="AL455" t="s">
        <v>3403</v>
      </c>
      <c r="AN455" s="19">
        <f>IF(ISBLANK(Mentors[[#This Row],[Onboarded Date]]),"",Mentors[[#This Row],[Onboarded Date]]-WEEKDAY(Mentors[[#This Row],[Onboarded Date]],2)+1)</f>
        <v>45656</v>
      </c>
    </row>
    <row r="456" spans="1:40" ht="19.2" customHeight="1" x14ac:dyDescent="0.3">
      <c r="A456" t="s">
        <v>3404</v>
      </c>
      <c r="B456" t="s">
        <v>3405</v>
      </c>
      <c r="C456" t="s">
        <v>3406</v>
      </c>
      <c r="D456" s="24" t="s">
        <v>3407</v>
      </c>
      <c r="E456" t="s">
        <v>3408</v>
      </c>
      <c r="F456">
        <v>2011</v>
      </c>
      <c r="G456">
        <f>IF(OR(Mentors[[#This Row],[Career Start Year]]="NA",ISBLANK(Mentors[[#This Row],[Career Start Year]])),"",2026 - Mentors[[#This Row],[Career Start Year]])</f>
        <v>15</v>
      </c>
      <c r="H45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56" t="s">
        <v>51</v>
      </c>
      <c r="J456" t="s">
        <v>297</v>
      </c>
      <c r="K456" s="7" t="s">
        <v>3409</v>
      </c>
      <c r="L456" s="17">
        <v>8905216458</v>
      </c>
      <c r="M456" s="19">
        <v>45658</v>
      </c>
      <c r="O456" t="s">
        <v>0</v>
      </c>
      <c r="Q456" t="s">
        <v>54</v>
      </c>
      <c r="R456" t="s">
        <v>63</v>
      </c>
      <c r="S456" t="s">
        <v>54</v>
      </c>
      <c r="T456" s="4" t="s">
        <v>756</v>
      </c>
      <c r="U456" t="s">
        <v>445</v>
      </c>
      <c r="V456" t="s">
        <v>78</v>
      </c>
      <c r="W456" t="s">
        <v>57</v>
      </c>
      <c r="X456" t="s">
        <v>59</v>
      </c>
      <c r="Y456" t="s">
        <v>60</v>
      </c>
      <c r="Z456" t="s">
        <v>81</v>
      </c>
      <c r="AA456" t="s">
        <v>62</v>
      </c>
      <c r="AB456">
        <v>1</v>
      </c>
      <c r="AD456" t="s">
        <v>54</v>
      </c>
      <c r="AE456" t="s">
        <v>54</v>
      </c>
      <c r="AF456" t="s">
        <v>64</v>
      </c>
      <c r="AG456" t="s">
        <v>54</v>
      </c>
      <c r="AH456" t="s">
        <v>65</v>
      </c>
      <c r="AI456" t="s">
        <v>412</v>
      </c>
      <c r="AJ456" t="s">
        <v>54</v>
      </c>
      <c r="AK456" t="s">
        <v>3410</v>
      </c>
      <c r="AL456" t="s">
        <v>3411</v>
      </c>
      <c r="AN456" s="19">
        <f>IF(ISBLANK(Mentors[[#This Row],[Onboarded Date]]),"",Mentors[[#This Row],[Onboarded Date]]-WEEKDAY(Mentors[[#This Row],[Onboarded Date]],2)+1)</f>
        <v>45656</v>
      </c>
    </row>
    <row r="457" spans="1:40" ht="19.2" customHeight="1" x14ac:dyDescent="0.3">
      <c r="A457" t="s">
        <v>3412</v>
      </c>
      <c r="B457" t="s">
        <v>152</v>
      </c>
      <c r="C457" t="s">
        <v>3413</v>
      </c>
      <c r="D457" s="9" t="s">
        <v>3414</v>
      </c>
      <c r="E457" s="7" t="s">
        <v>3415</v>
      </c>
      <c r="F457">
        <v>2015</v>
      </c>
      <c r="G457">
        <f>IF(OR(Mentors[[#This Row],[Career Start Year]]="NA",ISBLANK(Mentors[[#This Row],[Career Start Year]])),"",2026 - Mentors[[#This Row],[Career Start Year]])</f>
        <v>11</v>
      </c>
      <c r="H45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57" t="s">
        <v>51</v>
      </c>
      <c r="J457" t="s">
        <v>297</v>
      </c>
      <c r="K457" t="s">
        <v>3416</v>
      </c>
      <c r="L457" s="17">
        <v>8130656526</v>
      </c>
      <c r="M457" s="19">
        <v>45658</v>
      </c>
      <c r="O457" t="s">
        <v>0</v>
      </c>
      <c r="Q457" t="s">
        <v>63</v>
      </c>
      <c r="R457" t="s">
        <v>63</v>
      </c>
      <c r="S457" t="s">
        <v>63</v>
      </c>
      <c r="T457" t="s">
        <v>167</v>
      </c>
      <c r="U457" t="s">
        <v>166</v>
      </c>
      <c r="V457" t="s">
        <v>78</v>
      </c>
      <c r="W457" t="s">
        <v>120</v>
      </c>
      <c r="Z457" t="s">
        <v>61</v>
      </c>
      <c r="AA457" t="s">
        <v>62</v>
      </c>
      <c r="AB457">
        <v>1</v>
      </c>
      <c r="AD457" t="s">
        <v>54</v>
      </c>
      <c r="AE457" t="s">
        <v>63</v>
      </c>
      <c r="AG457" t="s">
        <v>54</v>
      </c>
      <c r="AH457" t="s">
        <v>152</v>
      </c>
      <c r="AI457" t="s">
        <v>132</v>
      </c>
      <c r="AJ457" t="s">
        <v>54</v>
      </c>
      <c r="AK457" t="s">
        <v>3417</v>
      </c>
      <c r="AL457" t="s">
        <v>3418</v>
      </c>
      <c r="AN457" s="19">
        <f>IF(ISBLANK(Mentors[[#This Row],[Onboarded Date]]),"",Mentors[[#This Row],[Onboarded Date]]-WEEKDAY(Mentors[[#This Row],[Onboarded Date]],2)+1)</f>
        <v>45656</v>
      </c>
    </row>
    <row r="458" spans="1:40" ht="19.2" customHeight="1" x14ac:dyDescent="0.3">
      <c r="A458" t="s">
        <v>3419</v>
      </c>
      <c r="B458" t="s">
        <v>3420</v>
      </c>
      <c r="C458" t="s">
        <v>85</v>
      </c>
      <c r="D458" s="24" t="s">
        <v>3421</v>
      </c>
      <c r="E458" t="s">
        <v>3422</v>
      </c>
      <c r="F458">
        <v>2002</v>
      </c>
      <c r="G458">
        <f>IF(OR(Mentors[[#This Row],[Career Start Year]]="NA",ISBLANK(Mentors[[#This Row],[Career Start Year]])),"",2026 - Mentors[[#This Row],[Career Start Year]])</f>
        <v>24</v>
      </c>
      <c r="H45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58" t="s">
        <v>3423</v>
      </c>
      <c r="J458" t="s">
        <v>3424</v>
      </c>
      <c r="K458" t="s">
        <v>3425</v>
      </c>
      <c r="L458" s="17" t="s">
        <v>3426</v>
      </c>
      <c r="M458" s="19">
        <v>45658</v>
      </c>
      <c r="N458" t="s">
        <v>10</v>
      </c>
      <c r="O458" t="s">
        <v>0</v>
      </c>
      <c r="Q458" t="s">
        <v>54</v>
      </c>
      <c r="R458" t="s">
        <v>63</v>
      </c>
      <c r="S458" t="s">
        <v>63</v>
      </c>
      <c r="T458" t="s">
        <v>1151</v>
      </c>
      <c r="U458" t="s">
        <v>79</v>
      </c>
      <c r="V458" t="s">
        <v>306</v>
      </c>
      <c r="W458" t="s">
        <v>79</v>
      </c>
      <c r="X458" t="s">
        <v>80</v>
      </c>
      <c r="Y458" t="s">
        <v>59</v>
      </c>
      <c r="Z458" t="s">
        <v>101</v>
      </c>
      <c r="AA458" t="s">
        <v>62</v>
      </c>
      <c r="AB458">
        <v>1</v>
      </c>
      <c r="AD458" t="s">
        <v>54</v>
      </c>
      <c r="AE458" t="s">
        <v>63</v>
      </c>
      <c r="AF458" t="s">
        <v>54</v>
      </c>
      <c r="AG458" t="s">
        <v>54</v>
      </c>
      <c r="AH458" t="s">
        <v>65</v>
      </c>
      <c r="AI458" t="s">
        <v>122</v>
      </c>
      <c r="AJ458" t="s">
        <v>54</v>
      </c>
      <c r="AK458" t="s">
        <v>3427</v>
      </c>
      <c r="AL458" t="s">
        <v>3428</v>
      </c>
      <c r="AN458" s="19">
        <f>IF(ISBLANK(Mentors[[#This Row],[Onboarded Date]]),"",Mentors[[#This Row],[Onboarded Date]]-WEEKDAY(Mentors[[#This Row],[Onboarded Date]],2)+1)</f>
        <v>45656</v>
      </c>
    </row>
    <row r="459" spans="1:40" ht="19.2" customHeight="1" x14ac:dyDescent="0.3">
      <c r="A459" t="s">
        <v>3429</v>
      </c>
      <c r="B459" t="s">
        <v>3430</v>
      </c>
      <c r="C459" t="s">
        <v>3431</v>
      </c>
      <c r="D459" s="24" t="s">
        <v>3432</v>
      </c>
      <c r="E459" t="s">
        <v>3433</v>
      </c>
      <c r="F459">
        <v>2010</v>
      </c>
      <c r="G459">
        <f>IF(OR(Mentors[[#This Row],[Career Start Year]]="NA",ISBLANK(Mentors[[#This Row],[Career Start Year]])),"",2026 - Mentors[[#This Row],[Career Start Year]])</f>
        <v>16</v>
      </c>
      <c r="H45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459" t="s">
        <v>51</v>
      </c>
      <c r="J459" t="s">
        <v>1828</v>
      </c>
      <c r="K459" t="s">
        <v>3434</v>
      </c>
      <c r="L459" s="17" t="s">
        <v>3435</v>
      </c>
      <c r="M459" s="19">
        <v>45658</v>
      </c>
      <c r="N459" t="s">
        <v>10</v>
      </c>
      <c r="O459" t="s">
        <v>0</v>
      </c>
      <c r="Q459" t="s">
        <v>54</v>
      </c>
      <c r="R459" t="s">
        <v>54</v>
      </c>
      <c r="S459" t="s">
        <v>54</v>
      </c>
      <c r="T459" s="11" t="s">
        <v>247</v>
      </c>
      <c r="U459" t="s">
        <v>79</v>
      </c>
      <c r="V459" t="s">
        <v>306</v>
      </c>
      <c r="W459" t="s">
        <v>79</v>
      </c>
      <c r="Z459" t="s">
        <v>101</v>
      </c>
      <c r="AA459" t="s">
        <v>62</v>
      </c>
      <c r="AB459">
        <v>1</v>
      </c>
      <c r="AD459" t="s">
        <v>54</v>
      </c>
      <c r="AE459" t="s">
        <v>54</v>
      </c>
      <c r="AF459" t="s">
        <v>54</v>
      </c>
      <c r="AG459" t="s">
        <v>54</v>
      </c>
      <c r="AH459" t="s">
        <v>65</v>
      </c>
      <c r="AI459" t="s">
        <v>248</v>
      </c>
      <c r="AJ459" t="s">
        <v>54</v>
      </c>
      <c r="AK459" t="s">
        <v>3436</v>
      </c>
      <c r="AL459" t="s">
        <v>3437</v>
      </c>
      <c r="AN459" s="19">
        <f>IF(ISBLANK(Mentors[[#This Row],[Onboarded Date]]),"",Mentors[[#This Row],[Onboarded Date]]-WEEKDAY(Mentors[[#This Row],[Onboarded Date]],2)+1)</f>
        <v>45656</v>
      </c>
    </row>
    <row r="460" spans="1:40" ht="19.2" customHeight="1" x14ac:dyDescent="0.3">
      <c r="A460" t="s">
        <v>3438</v>
      </c>
      <c r="B460" t="s">
        <v>152</v>
      </c>
      <c r="C460" t="s">
        <v>3439</v>
      </c>
      <c r="D460" s="24" t="s">
        <v>3440</v>
      </c>
      <c r="E460" t="s">
        <v>3441</v>
      </c>
      <c r="F460">
        <v>2006</v>
      </c>
      <c r="G460">
        <f>IF(OR(Mentors[[#This Row],[Career Start Year]]="NA",ISBLANK(Mentors[[#This Row],[Career Start Year]])),"",2026 - Mentors[[#This Row],[Career Start Year]])</f>
        <v>20</v>
      </c>
      <c r="H46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460" t="s">
        <v>51</v>
      </c>
      <c r="J460" t="s">
        <v>196</v>
      </c>
      <c r="K460" t="s">
        <v>3442</v>
      </c>
      <c r="L460" s="17">
        <v>9619357222</v>
      </c>
      <c r="M460" s="19">
        <v>45658</v>
      </c>
      <c r="O460" t="s">
        <v>0</v>
      </c>
      <c r="Q460" t="s">
        <v>63</v>
      </c>
      <c r="R460" t="s">
        <v>63</v>
      </c>
      <c r="S460" t="s">
        <v>63</v>
      </c>
      <c r="T460" t="s">
        <v>56</v>
      </c>
      <c r="U460" t="s">
        <v>100</v>
      </c>
      <c r="V460" t="s">
        <v>78</v>
      </c>
      <c r="W460" t="s">
        <v>79</v>
      </c>
      <c r="Z460" t="s">
        <v>61</v>
      </c>
      <c r="AA460" t="s">
        <v>62</v>
      </c>
      <c r="AB460">
        <v>1</v>
      </c>
      <c r="AD460" t="s">
        <v>54</v>
      </c>
      <c r="AE460" t="s">
        <v>63</v>
      </c>
      <c r="AF460" t="s">
        <v>54</v>
      </c>
      <c r="AG460" t="s">
        <v>54</v>
      </c>
      <c r="AH460" t="s">
        <v>152</v>
      </c>
      <c r="AI460" t="s">
        <v>132</v>
      </c>
      <c r="AJ460" t="s">
        <v>54</v>
      </c>
      <c r="AK460" t="s">
        <v>3443</v>
      </c>
      <c r="AL460" t="s">
        <v>3444</v>
      </c>
      <c r="AN460" s="19">
        <f>IF(ISBLANK(Mentors[[#This Row],[Onboarded Date]]),"",Mentors[[#This Row],[Onboarded Date]]-WEEKDAY(Mentors[[#This Row],[Onboarded Date]],2)+1)</f>
        <v>45656</v>
      </c>
    </row>
    <row r="461" spans="1:40" ht="19.2" customHeight="1" x14ac:dyDescent="0.3">
      <c r="A461" t="s">
        <v>3445</v>
      </c>
      <c r="B461" t="s">
        <v>152</v>
      </c>
      <c r="C461" t="s">
        <v>3446</v>
      </c>
      <c r="D461" s="24" t="s">
        <v>3447</v>
      </c>
      <c r="E461" t="s">
        <v>3448</v>
      </c>
      <c r="F461">
        <v>2014</v>
      </c>
      <c r="G461">
        <f>IF(OR(Mentors[[#This Row],[Career Start Year]]="NA",ISBLANK(Mentors[[#This Row],[Career Start Year]])),"",2026 - Mentors[[#This Row],[Career Start Year]])</f>
        <v>12</v>
      </c>
      <c r="H46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61" t="s">
        <v>51</v>
      </c>
      <c r="J461" t="s">
        <v>88</v>
      </c>
      <c r="K461" t="s">
        <v>3449</v>
      </c>
      <c r="L461" s="17">
        <v>9100674510</v>
      </c>
      <c r="M461" s="19">
        <v>45658</v>
      </c>
      <c r="N461" t="s">
        <v>10</v>
      </c>
      <c r="O461" t="s">
        <v>0</v>
      </c>
      <c r="Q461" t="s">
        <v>54</v>
      </c>
      <c r="R461" t="s">
        <v>63</v>
      </c>
      <c r="S461" t="s">
        <v>63</v>
      </c>
      <c r="T461" s="11" t="s">
        <v>247</v>
      </c>
      <c r="U461" t="s">
        <v>77</v>
      </c>
      <c r="V461" t="s">
        <v>306</v>
      </c>
      <c r="W461" t="s">
        <v>79</v>
      </c>
      <c r="X461" t="s">
        <v>80</v>
      </c>
      <c r="Y461" t="s">
        <v>59</v>
      </c>
      <c r="Z461" t="s">
        <v>61</v>
      </c>
      <c r="AA461" t="s">
        <v>62</v>
      </c>
      <c r="AB461">
        <v>1</v>
      </c>
      <c r="AD461" t="s">
        <v>54</v>
      </c>
      <c r="AE461" t="s">
        <v>63</v>
      </c>
      <c r="AF461" t="s">
        <v>54</v>
      </c>
      <c r="AG461" t="s">
        <v>54</v>
      </c>
      <c r="AH461" t="s">
        <v>152</v>
      </c>
      <c r="AI461" t="s">
        <v>412</v>
      </c>
      <c r="AJ461" t="s">
        <v>54</v>
      </c>
      <c r="AK461" t="s">
        <v>3450</v>
      </c>
      <c r="AL461" t="s">
        <v>3451</v>
      </c>
      <c r="AN461" s="19">
        <f>IF(ISBLANK(Mentors[[#This Row],[Onboarded Date]]),"",Mentors[[#This Row],[Onboarded Date]]-WEEKDAY(Mentors[[#This Row],[Onboarded Date]],2)+1)</f>
        <v>45656</v>
      </c>
    </row>
    <row r="462" spans="1:40" ht="19.2" customHeight="1" x14ac:dyDescent="0.3">
      <c r="A462" s="4" t="s">
        <v>3452</v>
      </c>
      <c r="B462" t="s">
        <v>3453</v>
      </c>
      <c r="C462" t="s">
        <v>3454</v>
      </c>
      <c r="D462" s="24" t="s">
        <v>3455</v>
      </c>
      <c r="E462" t="s">
        <v>3456</v>
      </c>
      <c r="F462">
        <v>1990</v>
      </c>
      <c r="G462">
        <f>IF(OR(Mentors[[#This Row],[Career Start Year]]="NA",ISBLANK(Mentors[[#This Row],[Career Start Year]])),"",2026 - Mentors[[#This Row],[Career Start Year]])</f>
        <v>36</v>
      </c>
      <c r="H46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62" t="s">
        <v>51</v>
      </c>
      <c r="J462" t="s">
        <v>1828</v>
      </c>
      <c r="K462" t="s">
        <v>3457</v>
      </c>
      <c r="L462" s="17">
        <v>9000883515</v>
      </c>
      <c r="M462" s="19">
        <v>45658</v>
      </c>
      <c r="N462" t="s">
        <v>10</v>
      </c>
      <c r="O462" t="s">
        <v>0</v>
      </c>
      <c r="Q462" t="s">
        <v>54</v>
      </c>
      <c r="R462" t="s">
        <v>63</v>
      </c>
      <c r="S462" t="s">
        <v>63</v>
      </c>
      <c r="T462" s="11" t="s">
        <v>247</v>
      </c>
      <c r="U462" t="s">
        <v>77</v>
      </c>
      <c r="V462" t="s">
        <v>306</v>
      </c>
      <c r="W462" t="s">
        <v>79</v>
      </c>
      <c r="X462" t="s">
        <v>59</v>
      </c>
      <c r="Z462" t="s">
        <v>61</v>
      </c>
      <c r="AA462" t="s">
        <v>62</v>
      </c>
      <c r="AB462">
        <v>1</v>
      </c>
      <c r="AD462" t="s">
        <v>54</v>
      </c>
      <c r="AE462" t="s">
        <v>54</v>
      </c>
      <c r="AF462" t="s">
        <v>63</v>
      </c>
      <c r="AG462" t="s">
        <v>54</v>
      </c>
      <c r="AH462" t="s">
        <v>65</v>
      </c>
      <c r="AI462" t="s">
        <v>248</v>
      </c>
      <c r="AJ462" t="s">
        <v>54</v>
      </c>
      <c r="AK462" t="s">
        <v>3458</v>
      </c>
      <c r="AL462" t="s">
        <v>3459</v>
      </c>
      <c r="AN462" s="19">
        <f>IF(ISBLANK(Mentors[[#This Row],[Onboarded Date]]),"",Mentors[[#This Row],[Onboarded Date]]-WEEKDAY(Mentors[[#This Row],[Onboarded Date]],2)+1)</f>
        <v>45656</v>
      </c>
    </row>
    <row r="463" spans="1:40" ht="19.2" customHeight="1" x14ac:dyDescent="0.3">
      <c r="A463" t="s">
        <v>3460</v>
      </c>
      <c r="B463" t="s">
        <v>3190</v>
      </c>
      <c r="C463" t="s">
        <v>3461</v>
      </c>
      <c r="D463" s="24" t="s">
        <v>3462</v>
      </c>
      <c r="E463" s="7" t="s">
        <v>3463</v>
      </c>
      <c r="F463">
        <v>1994</v>
      </c>
      <c r="G463">
        <f>IF(OR(Mentors[[#This Row],[Career Start Year]]="NA",ISBLANK(Mentors[[#This Row],[Career Start Year]])),"",2026 - Mentors[[#This Row],[Career Start Year]])</f>
        <v>32</v>
      </c>
      <c r="H46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63" t="s">
        <v>51</v>
      </c>
      <c r="J463" t="s">
        <v>88</v>
      </c>
      <c r="K463" s="7" t="s">
        <v>3464</v>
      </c>
      <c r="L463" s="17">
        <v>7892457173</v>
      </c>
      <c r="M463" s="19">
        <v>45658</v>
      </c>
      <c r="O463" t="s">
        <v>0</v>
      </c>
      <c r="Q463" t="s">
        <v>63</v>
      </c>
      <c r="R463" t="s">
        <v>63</v>
      </c>
      <c r="S463" t="s">
        <v>63</v>
      </c>
      <c r="T463" t="s">
        <v>76</v>
      </c>
      <c r="U463" t="s">
        <v>99</v>
      </c>
      <c r="V463" t="s">
        <v>78</v>
      </c>
      <c r="W463" t="s">
        <v>79</v>
      </c>
      <c r="X463" t="s">
        <v>60</v>
      </c>
      <c r="Z463" t="s">
        <v>81</v>
      </c>
      <c r="AA463" t="s">
        <v>62</v>
      </c>
      <c r="AB463">
        <v>1</v>
      </c>
      <c r="AD463" t="s">
        <v>54</v>
      </c>
      <c r="AE463" t="s">
        <v>63</v>
      </c>
      <c r="AF463" t="s">
        <v>54</v>
      </c>
      <c r="AG463" t="s">
        <v>54</v>
      </c>
      <c r="AH463" t="s">
        <v>215</v>
      </c>
      <c r="AI463" t="s">
        <v>76</v>
      </c>
      <c r="AJ463" t="s">
        <v>54</v>
      </c>
      <c r="AK463" t="s">
        <v>3465</v>
      </c>
      <c r="AL463" t="s">
        <v>3466</v>
      </c>
      <c r="AN463" s="19">
        <f>IF(ISBLANK(Mentors[[#This Row],[Onboarded Date]]),"",Mentors[[#This Row],[Onboarded Date]]-WEEKDAY(Mentors[[#This Row],[Onboarded Date]],2)+1)</f>
        <v>45656</v>
      </c>
    </row>
    <row r="464" spans="1:40" ht="19.2" customHeight="1" x14ac:dyDescent="0.3">
      <c r="A464" t="s">
        <v>3467</v>
      </c>
      <c r="B464" t="s">
        <v>152</v>
      </c>
      <c r="C464" t="s">
        <v>3468</v>
      </c>
      <c r="D464" s="24" t="s">
        <v>3469</v>
      </c>
      <c r="E464" s="7" t="s">
        <v>3470</v>
      </c>
      <c r="F464">
        <v>1999</v>
      </c>
      <c r="G464">
        <f>IF(OR(Mentors[[#This Row],[Career Start Year]]="NA",ISBLANK(Mentors[[#This Row],[Career Start Year]])),"",2026 - Mentors[[#This Row],[Career Start Year]])</f>
        <v>27</v>
      </c>
      <c r="H46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64" t="s">
        <v>51</v>
      </c>
      <c r="J464" t="s">
        <v>314</v>
      </c>
      <c r="K464" t="s">
        <v>3471</v>
      </c>
      <c r="L464" s="17">
        <v>9940392753</v>
      </c>
      <c r="M464" s="19">
        <v>45658</v>
      </c>
      <c r="O464" t="s">
        <v>0</v>
      </c>
      <c r="Q464" t="s">
        <v>54</v>
      </c>
      <c r="R464" t="s">
        <v>63</v>
      </c>
      <c r="S464" t="s">
        <v>63</v>
      </c>
      <c r="T464" t="s">
        <v>76</v>
      </c>
      <c r="U464" t="s">
        <v>99</v>
      </c>
      <c r="V464" t="s">
        <v>78</v>
      </c>
      <c r="W464" t="s">
        <v>79</v>
      </c>
      <c r="X464" t="s">
        <v>80</v>
      </c>
      <c r="Z464" t="s">
        <v>81</v>
      </c>
      <c r="AA464" t="s">
        <v>62</v>
      </c>
      <c r="AB464">
        <v>1</v>
      </c>
      <c r="AD464" t="s">
        <v>54</v>
      </c>
      <c r="AE464" t="s">
        <v>63</v>
      </c>
      <c r="AF464" t="s">
        <v>54</v>
      </c>
      <c r="AG464" t="s">
        <v>54</v>
      </c>
      <c r="AH464" t="s">
        <v>152</v>
      </c>
      <c r="AI464" t="s">
        <v>412</v>
      </c>
      <c r="AJ464" t="s">
        <v>54</v>
      </c>
      <c r="AK464" t="s">
        <v>3472</v>
      </c>
      <c r="AL464" t="s">
        <v>3473</v>
      </c>
      <c r="AN464" s="19">
        <f>IF(ISBLANK(Mentors[[#This Row],[Onboarded Date]]),"",Mentors[[#This Row],[Onboarded Date]]-WEEKDAY(Mentors[[#This Row],[Onboarded Date]],2)+1)</f>
        <v>45656</v>
      </c>
    </row>
    <row r="465" spans="1:40" ht="19.2" customHeight="1" x14ac:dyDescent="0.3">
      <c r="A465" t="s">
        <v>3474</v>
      </c>
      <c r="B465" t="s">
        <v>1780</v>
      </c>
      <c r="C465" t="s">
        <v>3475</v>
      </c>
      <c r="D465" s="24" t="s">
        <v>3476</v>
      </c>
      <c r="E465" t="s">
        <v>3477</v>
      </c>
      <c r="F465">
        <v>1990</v>
      </c>
      <c r="G465">
        <f>IF(OR(Mentors[[#This Row],[Career Start Year]]="NA",ISBLANK(Mentors[[#This Row],[Career Start Year]])),"",2026 - Mentors[[#This Row],[Career Start Year]])</f>
        <v>36</v>
      </c>
      <c r="H46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65" t="s">
        <v>51</v>
      </c>
      <c r="J465" t="s">
        <v>1001</v>
      </c>
      <c r="K465" t="s">
        <v>3478</v>
      </c>
      <c r="L465" s="17">
        <v>8420030369</v>
      </c>
      <c r="M465" s="19">
        <v>45658</v>
      </c>
      <c r="O465" t="s">
        <v>0</v>
      </c>
      <c r="Q465" t="s">
        <v>54</v>
      </c>
      <c r="R465" t="s">
        <v>63</v>
      </c>
      <c r="S465" t="s">
        <v>63</v>
      </c>
      <c r="T465" t="s">
        <v>77</v>
      </c>
      <c r="U465" t="s">
        <v>100</v>
      </c>
      <c r="V465" t="s">
        <v>78</v>
      </c>
      <c r="W465" t="s">
        <v>79</v>
      </c>
      <c r="X465" t="s">
        <v>80</v>
      </c>
      <c r="Z465" t="s">
        <v>81</v>
      </c>
      <c r="AA465" t="s">
        <v>62</v>
      </c>
      <c r="AB465">
        <v>1</v>
      </c>
      <c r="AD465" t="s">
        <v>63</v>
      </c>
      <c r="AE465" t="s">
        <v>63</v>
      </c>
      <c r="AF465" t="s">
        <v>63</v>
      </c>
      <c r="AG465" t="s">
        <v>54</v>
      </c>
      <c r="AH465" t="s">
        <v>215</v>
      </c>
      <c r="AI465" t="s">
        <v>132</v>
      </c>
      <c r="AJ465" t="s">
        <v>54</v>
      </c>
      <c r="AK465" t="s">
        <v>3479</v>
      </c>
      <c r="AL465" t="s">
        <v>3480</v>
      </c>
      <c r="AN465" s="19">
        <f>IF(ISBLANK(Mentors[[#This Row],[Onboarded Date]]),"",Mentors[[#This Row],[Onboarded Date]]-WEEKDAY(Mentors[[#This Row],[Onboarded Date]],2)+1)</f>
        <v>45656</v>
      </c>
    </row>
    <row r="466" spans="1:40" ht="19.2" customHeight="1" x14ac:dyDescent="0.3">
      <c r="A466" t="s">
        <v>3481</v>
      </c>
      <c r="B466" t="s">
        <v>3482</v>
      </c>
      <c r="C466" t="s">
        <v>3483</v>
      </c>
      <c r="D466" s="24" t="s">
        <v>3484</v>
      </c>
      <c r="E466" t="s">
        <v>3485</v>
      </c>
      <c r="F466">
        <v>2010</v>
      </c>
      <c r="G466">
        <f>IF(OR(Mentors[[#This Row],[Career Start Year]]="NA",ISBLANK(Mentors[[#This Row],[Career Start Year]])),"",2026 - Mentors[[#This Row],[Career Start Year]])</f>
        <v>16</v>
      </c>
      <c r="H46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466" t="s">
        <v>51</v>
      </c>
      <c r="J466" t="s">
        <v>419</v>
      </c>
      <c r="K466" t="s">
        <v>3486</v>
      </c>
      <c r="L466" s="17">
        <v>9826361765</v>
      </c>
      <c r="M466" s="19">
        <v>45658</v>
      </c>
      <c r="O466" t="s">
        <v>0</v>
      </c>
      <c r="Q466" t="s">
        <v>54</v>
      </c>
      <c r="R466" t="s">
        <v>63</v>
      </c>
      <c r="S466" t="s">
        <v>63</v>
      </c>
      <c r="T466" s="4" t="s">
        <v>756</v>
      </c>
      <c r="U466" t="s">
        <v>77</v>
      </c>
      <c r="V466" t="s">
        <v>58</v>
      </c>
      <c r="W466" s="4" t="s">
        <v>282</v>
      </c>
      <c r="X466" s="4" t="s">
        <v>59</v>
      </c>
      <c r="Y466" s="4"/>
      <c r="Z466" t="s">
        <v>61</v>
      </c>
      <c r="AA466" t="s">
        <v>62</v>
      </c>
      <c r="AB466">
        <v>1</v>
      </c>
      <c r="AD466" t="s">
        <v>54</v>
      </c>
      <c r="AE466" t="s">
        <v>63</v>
      </c>
      <c r="AF466" t="s">
        <v>1188</v>
      </c>
      <c r="AG466" t="s">
        <v>54</v>
      </c>
      <c r="AH466" t="s">
        <v>152</v>
      </c>
      <c r="AI466" t="s">
        <v>412</v>
      </c>
      <c r="AJ466" t="s">
        <v>54</v>
      </c>
      <c r="AK466" t="s">
        <v>3487</v>
      </c>
      <c r="AL466" t="s">
        <v>3488</v>
      </c>
      <c r="AN466" s="19">
        <f>IF(ISBLANK(Mentors[[#This Row],[Onboarded Date]]),"",Mentors[[#This Row],[Onboarded Date]]-WEEKDAY(Mentors[[#This Row],[Onboarded Date]],2)+1)</f>
        <v>45656</v>
      </c>
    </row>
    <row r="467" spans="1:40" ht="19.2" customHeight="1" x14ac:dyDescent="0.3">
      <c r="A467" t="s">
        <v>3489</v>
      </c>
      <c r="B467" t="s">
        <v>3490</v>
      </c>
      <c r="C467" t="s">
        <v>3491</v>
      </c>
      <c r="D467" s="24" t="s">
        <v>3492</v>
      </c>
      <c r="E467" t="s">
        <v>3493</v>
      </c>
      <c r="F467">
        <v>1996</v>
      </c>
      <c r="G467">
        <f>IF(OR(Mentors[[#This Row],[Career Start Year]]="NA",ISBLANK(Mentors[[#This Row],[Career Start Year]])),"",2026 - Mentors[[#This Row],[Career Start Year]])</f>
        <v>30</v>
      </c>
      <c r="H46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67" t="s">
        <v>51</v>
      </c>
      <c r="J467" t="s">
        <v>196</v>
      </c>
      <c r="K467" t="s">
        <v>3494</v>
      </c>
      <c r="L467" s="17">
        <v>9591975131</v>
      </c>
      <c r="M467" s="19">
        <v>45658</v>
      </c>
      <c r="O467" t="s">
        <v>0</v>
      </c>
      <c r="Q467" t="s">
        <v>63</v>
      </c>
      <c r="R467" t="s">
        <v>63</v>
      </c>
      <c r="S467" t="s">
        <v>63</v>
      </c>
      <c r="T467" s="4" t="s">
        <v>756</v>
      </c>
      <c r="U467" t="s">
        <v>77</v>
      </c>
      <c r="V467" t="s">
        <v>57</v>
      </c>
      <c r="W467" t="s">
        <v>79</v>
      </c>
      <c r="X467" t="s">
        <v>60</v>
      </c>
      <c r="Z467" t="s">
        <v>61</v>
      </c>
      <c r="AA467" t="s">
        <v>62</v>
      </c>
      <c r="AB467">
        <v>1</v>
      </c>
      <c r="AD467" t="s">
        <v>54</v>
      </c>
      <c r="AE467" t="s">
        <v>63</v>
      </c>
      <c r="AF467" t="s">
        <v>54</v>
      </c>
      <c r="AG467" t="s">
        <v>54</v>
      </c>
      <c r="AH467" t="s">
        <v>131</v>
      </c>
      <c r="AI467" t="s">
        <v>412</v>
      </c>
      <c r="AJ467" t="s">
        <v>54</v>
      </c>
      <c r="AK467" t="s">
        <v>3495</v>
      </c>
      <c r="AL467" t="s">
        <v>3496</v>
      </c>
      <c r="AN467" s="19">
        <f>IF(ISBLANK(Mentors[[#This Row],[Onboarded Date]]),"",Mentors[[#This Row],[Onboarded Date]]-WEEKDAY(Mentors[[#This Row],[Onboarded Date]],2)+1)</f>
        <v>45656</v>
      </c>
    </row>
    <row r="468" spans="1:40" ht="19.2" customHeight="1" x14ac:dyDescent="0.3">
      <c r="A468" t="s">
        <v>3497</v>
      </c>
      <c r="B468" t="s">
        <v>1681</v>
      </c>
      <c r="C468" t="s">
        <v>3498</v>
      </c>
      <c r="D468" s="24" t="s">
        <v>3499</v>
      </c>
      <c r="E468" t="s">
        <v>3500</v>
      </c>
      <c r="F468">
        <v>1993</v>
      </c>
      <c r="G468">
        <f>IF(OR(Mentors[[#This Row],[Career Start Year]]="NA",ISBLANK(Mentors[[#This Row],[Career Start Year]])),"",2026 - Mentors[[#This Row],[Career Start Year]])</f>
        <v>33</v>
      </c>
      <c r="H46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68" t="s">
        <v>51</v>
      </c>
      <c r="J468" t="s">
        <v>3501</v>
      </c>
      <c r="K468" t="s">
        <v>3502</v>
      </c>
      <c r="L468" s="17">
        <v>7639831196</v>
      </c>
      <c r="M468" s="19">
        <v>45658</v>
      </c>
      <c r="N468" t="s">
        <v>10</v>
      </c>
      <c r="O468" t="s">
        <v>0</v>
      </c>
      <c r="Q468" t="s">
        <v>54</v>
      </c>
      <c r="R468" t="s">
        <v>63</v>
      </c>
      <c r="S468" t="s">
        <v>54</v>
      </c>
      <c r="T468" t="s">
        <v>187</v>
      </c>
      <c r="U468" t="s">
        <v>100</v>
      </c>
      <c r="V468" t="s">
        <v>78</v>
      </c>
      <c r="W468" t="s">
        <v>79</v>
      </c>
      <c r="Z468" t="s">
        <v>101</v>
      </c>
      <c r="AA468" t="s">
        <v>62</v>
      </c>
      <c r="AB468">
        <v>1</v>
      </c>
      <c r="AD468" t="s">
        <v>54</v>
      </c>
      <c r="AE468" t="s">
        <v>54</v>
      </c>
      <c r="AF468" t="s">
        <v>54</v>
      </c>
      <c r="AG468" t="s">
        <v>54</v>
      </c>
      <c r="AH468" t="s">
        <v>65</v>
      </c>
      <c r="AI468" t="s">
        <v>132</v>
      </c>
      <c r="AJ468" t="s">
        <v>54</v>
      </c>
      <c r="AK468" t="s">
        <v>3503</v>
      </c>
      <c r="AL468" t="s">
        <v>3504</v>
      </c>
      <c r="AN468" s="19">
        <f>IF(ISBLANK(Mentors[[#This Row],[Onboarded Date]]),"",Mentors[[#This Row],[Onboarded Date]]-WEEKDAY(Mentors[[#This Row],[Onboarded Date]],2)+1)</f>
        <v>45656</v>
      </c>
    </row>
    <row r="469" spans="1:40" ht="19.2" customHeight="1" x14ac:dyDescent="0.3">
      <c r="A469" t="s">
        <v>3505</v>
      </c>
      <c r="B469" t="s">
        <v>3506</v>
      </c>
      <c r="C469" t="s">
        <v>3507</v>
      </c>
      <c r="D469" s="24" t="s">
        <v>3508</v>
      </c>
      <c r="E469" t="s">
        <v>3509</v>
      </c>
      <c r="F469">
        <v>2012</v>
      </c>
      <c r="G469">
        <f>IF(OR(Mentors[[#This Row],[Career Start Year]]="NA",ISBLANK(Mentors[[#This Row],[Career Start Year]])),"",2026 - Mentors[[#This Row],[Career Start Year]])</f>
        <v>14</v>
      </c>
      <c r="H46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69" t="s">
        <v>51</v>
      </c>
      <c r="J469" t="s">
        <v>297</v>
      </c>
      <c r="K469" s="7" t="s">
        <v>3510</v>
      </c>
      <c r="L469" s="17">
        <v>9910555730</v>
      </c>
      <c r="M469" s="19">
        <v>45658</v>
      </c>
      <c r="O469" t="s">
        <v>0</v>
      </c>
      <c r="Q469" t="s">
        <v>63</v>
      </c>
      <c r="R469" t="s">
        <v>63</v>
      </c>
      <c r="S469" t="s">
        <v>63</v>
      </c>
      <c r="T469" s="4" t="s">
        <v>756</v>
      </c>
      <c r="U469" t="s">
        <v>99</v>
      </c>
      <c r="V469" t="s">
        <v>198</v>
      </c>
      <c r="W469" t="s">
        <v>57</v>
      </c>
      <c r="X469" t="s">
        <v>59</v>
      </c>
      <c r="Z469" t="s">
        <v>81</v>
      </c>
      <c r="AA469" t="s">
        <v>62</v>
      </c>
      <c r="AB469">
        <v>1</v>
      </c>
      <c r="AD469" t="s">
        <v>54</v>
      </c>
      <c r="AE469" t="s">
        <v>63</v>
      </c>
      <c r="AF469" t="s">
        <v>54</v>
      </c>
      <c r="AG469" t="s">
        <v>54</v>
      </c>
      <c r="AH469" t="s">
        <v>152</v>
      </c>
      <c r="AI469" t="s">
        <v>412</v>
      </c>
      <c r="AJ469" t="s">
        <v>54</v>
      </c>
      <c r="AK469" t="s">
        <v>3511</v>
      </c>
      <c r="AL469" t="s">
        <v>3512</v>
      </c>
      <c r="AN469" s="19">
        <f>IF(ISBLANK(Mentors[[#This Row],[Onboarded Date]]),"",Mentors[[#This Row],[Onboarded Date]]-WEEKDAY(Mentors[[#This Row],[Onboarded Date]],2)+1)</f>
        <v>45656</v>
      </c>
    </row>
    <row r="470" spans="1:40" ht="19.2" customHeight="1" x14ac:dyDescent="0.3">
      <c r="A470" t="s">
        <v>3513</v>
      </c>
      <c r="B470" t="s">
        <v>624</v>
      </c>
      <c r="C470" t="s">
        <v>3514</v>
      </c>
      <c r="D470" s="24" t="s">
        <v>3515</v>
      </c>
      <c r="E470" t="s">
        <v>3516</v>
      </c>
      <c r="F470">
        <v>2013</v>
      </c>
      <c r="G470">
        <f>IF(OR(Mentors[[#This Row],[Career Start Year]]="NA",ISBLANK(Mentors[[#This Row],[Career Start Year]])),"",2026 - Mentors[[#This Row],[Career Start Year]])</f>
        <v>13</v>
      </c>
      <c r="H47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70" t="s">
        <v>3517</v>
      </c>
      <c r="J470" t="s">
        <v>3518</v>
      </c>
      <c r="K470" s="21" t="s">
        <v>3519</v>
      </c>
      <c r="L470" s="17">
        <v>8509931517</v>
      </c>
      <c r="M470" s="19">
        <v>45658</v>
      </c>
      <c r="N470" t="s">
        <v>10</v>
      </c>
      <c r="O470" t="s">
        <v>0</v>
      </c>
      <c r="Q470" t="s">
        <v>63</v>
      </c>
      <c r="R470" t="s">
        <v>63</v>
      </c>
      <c r="S470" t="s">
        <v>63</v>
      </c>
      <c r="T470" t="s">
        <v>1103</v>
      </c>
      <c r="U470" t="s">
        <v>76</v>
      </c>
      <c r="V470" t="s">
        <v>65</v>
      </c>
      <c r="W470" t="s">
        <v>65</v>
      </c>
      <c r="Z470" t="s">
        <v>61</v>
      </c>
      <c r="AA470" t="s">
        <v>62</v>
      </c>
      <c r="AB470">
        <v>1</v>
      </c>
      <c r="AD470" t="s">
        <v>54</v>
      </c>
      <c r="AE470" t="s">
        <v>63</v>
      </c>
      <c r="AF470" t="s">
        <v>54</v>
      </c>
      <c r="AG470" t="s">
        <v>54</v>
      </c>
      <c r="AH470" t="s">
        <v>65</v>
      </c>
      <c r="AI470" t="s">
        <v>132</v>
      </c>
      <c r="AJ470" t="s">
        <v>54</v>
      </c>
      <c r="AK470" t="s">
        <v>3520</v>
      </c>
      <c r="AL470" t="s">
        <v>3521</v>
      </c>
      <c r="AN470" s="19">
        <f>IF(ISBLANK(Mentors[[#This Row],[Onboarded Date]]),"",Mentors[[#This Row],[Onboarded Date]]-WEEKDAY(Mentors[[#This Row],[Onboarded Date]],2)+1)</f>
        <v>45656</v>
      </c>
    </row>
    <row r="471" spans="1:40" ht="19.2" customHeight="1" x14ac:dyDescent="0.3">
      <c r="A471" t="s">
        <v>3522</v>
      </c>
      <c r="B471" t="s">
        <v>404</v>
      </c>
      <c r="C471" t="s">
        <v>3523</v>
      </c>
      <c r="D471" s="24" t="s">
        <v>3524</v>
      </c>
      <c r="E471" t="s">
        <v>3525</v>
      </c>
      <c r="F471">
        <v>2000</v>
      </c>
      <c r="G471">
        <f>IF(OR(Mentors[[#This Row],[Career Start Year]]="NA",ISBLANK(Mentors[[#This Row],[Career Start Year]])),"",2026 - Mentors[[#This Row],[Career Start Year]])</f>
        <v>26</v>
      </c>
      <c r="H47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71" t="s">
        <v>51</v>
      </c>
      <c r="J471" t="s">
        <v>118</v>
      </c>
      <c r="K471" t="s">
        <v>3526</v>
      </c>
      <c r="L471" s="17">
        <v>9870436023</v>
      </c>
      <c r="M471" s="19">
        <v>45658</v>
      </c>
      <c r="O471" t="s">
        <v>0</v>
      </c>
      <c r="Q471" t="s">
        <v>54</v>
      </c>
      <c r="R471" t="s">
        <v>54</v>
      </c>
      <c r="S471" t="s">
        <v>54</v>
      </c>
      <c r="T471" t="s">
        <v>77</v>
      </c>
      <c r="U471" t="s">
        <v>65</v>
      </c>
      <c r="V471" t="s">
        <v>120</v>
      </c>
      <c r="W471" t="s">
        <v>65</v>
      </c>
      <c r="Z471" t="s">
        <v>101</v>
      </c>
      <c r="AA471" t="s">
        <v>62</v>
      </c>
      <c r="AB471">
        <v>1</v>
      </c>
      <c r="AD471" t="s">
        <v>54</v>
      </c>
      <c r="AE471" t="s">
        <v>54</v>
      </c>
      <c r="AF471" t="s">
        <v>54</v>
      </c>
      <c r="AG471" t="s">
        <v>54</v>
      </c>
      <c r="AH471" t="s">
        <v>65</v>
      </c>
      <c r="AI471" t="s">
        <v>412</v>
      </c>
      <c r="AJ471" t="s">
        <v>54</v>
      </c>
      <c r="AK471" t="s">
        <v>3527</v>
      </c>
      <c r="AL471" t="s">
        <v>3528</v>
      </c>
      <c r="AN471" s="19">
        <f>IF(ISBLANK(Mentors[[#This Row],[Onboarded Date]]),"",Mentors[[#This Row],[Onboarded Date]]-WEEKDAY(Mentors[[#This Row],[Onboarded Date]],2)+1)</f>
        <v>45656</v>
      </c>
    </row>
    <row r="472" spans="1:40" ht="19.2" customHeight="1" x14ac:dyDescent="0.3">
      <c r="A472" t="s">
        <v>3529</v>
      </c>
      <c r="B472" t="s">
        <v>152</v>
      </c>
      <c r="C472" t="s">
        <v>3530</v>
      </c>
      <c r="D472" s="24" t="s">
        <v>3531</v>
      </c>
      <c r="E472" t="s">
        <v>3532</v>
      </c>
      <c r="F472">
        <v>2000</v>
      </c>
      <c r="G472">
        <f>IF(OR(Mentors[[#This Row],[Career Start Year]]="NA",ISBLANK(Mentors[[#This Row],[Career Start Year]])),"",2026 - Mentors[[#This Row],[Career Start Year]])</f>
        <v>26</v>
      </c>
      <c r="H47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72" t="s">
        <v>51</v>
      </c>
      <c r="J472" t="s">
        <v>118</v>
      </c>
      <c r="K472" t="s">
        <v>3533</v>
      </c>
      <c r="L472" s="17">
        <v>9987392509</v>
      </c>
      <c r="M472" s="19">
        <v>45658</v>
      </c>
      <c r="N472" t="s">
        <v>10</v>
      </c>
      <c r="O472" t="s">
        <v>0</v>
      </c>
      <c r="Q472" t="s">
        <v>63</v>
      </c>
      <c r="R472" t="s">
        <v>63</v>
      </c>
      <c r="S472" t="s">
        <v>63</v>
      </c>
      <c r="T472" s="4" t="s">
        <v>90</v>
      </c>
      <c r="U472" t="s">
        <v>79</v>
      </c>
      <c r="V472" t="s">
        <v>2772</v>
      </c>
      <c r="W472" t="s">
        <v>65</v>
      </c>
      <c r="X472" t="s">
        <v>60</v>
      </c>
      <c r="Y472" t="s">
        <v>80</v>
      </c>
      <c r="Z472" t="s">
        <v>81</v>
      </c>
      <c r="AA472" t="s">
        <v>62</v>
      </c>
      <c r="AB472">
        <v>1</v>
      </c>
      <c r="AD472" t="s">
        <v>54</v>
      </c>
      <c r="AE472" t="s">
        <v>63</v>
      </c>
      <c r="AF472" t="s">
        <v>54</v>
      </c>
      <c r="AG472" t="s">
        <v>54</v>
      </c>
      <c r="AH472" t="s">
        <v>152</v>
      </c>
      <c r="AI472" t="s">
        <v>132</v>
      </c>
      <c r="AJ472" t="s">
        <v>54</v>
      </c>
      <c r="AK472" t="s">
        <v>3534</v>
      </c>
      <c r="AL472" t="s">
        <v>3535</v>
      </c>
      <c r="AN472" s="19">
        <f>IF(ISBLANK(Mentors[[#This Row],[Onboarded Date]]),"",Mentors[[#This Row],[Onboarded Date]]-WEEKDAY(Mentors[[#This Row],[Onboarded Date]],2)+1)</f>
        <v>45656</v>
      </c>
    </row>
    <row r="473" spans="1:40" ht="19.2" customHeight="1" x14ac:dyDescent="0.3">
      <c r="A473" t="s">
        <v>3536</v>
      </c>
      <c r="B473" t="s">
        <v>152</v>
      </c>
      <c r="C473" t="s">
        <v>3537</v>
      </c>
      <c r="D473" s="24" t="s">
        <v>3538</v>
      </c>
      <c r="E473" t="s">
        <v>3539</v>
      </c>
      <c r="F473">
        <v>1998</v>
      </c>
      <c r="G473">
        <f>IF(OR(Mentors[[#This Row],[Career Start Year]]="NA",ISBLANK(Mentors[[#This Row],[Career Start Year]])),"",2026 - Mentors[[#This Row],[Career Start Year]])</f>
        <v>28</v>
      </c>
      <c r="H47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73" t="s">
        <v>51</v>
      </c>
      <c r="J473" t="s">
        <v>140</v>
      </c>
      <c r="K473" t="s">
        <v>3540</v>
      </c>
      <c r="L473" s="17">
        <v>9545522848</v>
      </c>
      <c r="M473" s="19">
        <v>45658</v>
      </c>
      <c r="O473" t="s">
        <v>0</v>
      </c>
      <c r="Q473" t="s">
        <v>63</v>
      </c>
      <c r="R473" t="s">
        <v>63</v>
      </c>
      <c r="S473" t="s">
        <v>63</v>
      </c>
      <c r="T473" t="s">
        <v>77</v>
      </c>
      <c r="U473" t="s">
        <v>100</v>
      </c>
      <c r="V473" t="s">
        <v>57</v>
      </c>
      <c r="W473" t="s">
        <v>65</v>
      </c>
      <c r="Z473" t="s">
        <v>169</v>
      </c>
      <c r="AA473" t="s">
        <v>170</v>
      </c>
      <c r="AB473">
        <v>1</v>
      </c>
      <c r="AD473" t="s">
        <v>54</v>
      </c>
      <c r="AE473" t="s">
        <v>63</v>
      </c>
      <c r="AF473" t="s">
        <v>54</v>
      </c>
      <c r="AG473" t="s">
        <v>54</v>
      </c>
      <c r="AH473" t="s">
        <v>152</v>
      </c>
      <c r="AI473" t="s">
        <v>1064</v>
      </c>
      <c r="AJ473" t="s">
        <v>54</v>
      </c>
      <c r="AK473" t="s">
        <v>3541</v>
      </c>
      <c r="AL473" t="s">
        <v>3542</v>
      </c>
      <c r="AN473" s="19">
        <f>IF(ISBLANK(Mentors[[#This Row],[Onboarded Date]]),"",Mentors[[#This Row],[Onboarded Date]]-WEEKDAY(Mentors[[#This Row],[Onboarded Date]],2)+1)</f>
        <v>45656</v>
      </c>
    </row>
    <row r="474" spans="1:40" ht="19.2" customHeight="1" x14ac:dyDescent="0.3">
      <c r="A474" t="s">
        <v>3543</v>
      </c>
      <c r="B474" t="s">
        <v>94</v>
      </c>
      <c r="C474" t="s">
        <v>3544</v>
      </c>
      <c r="D474" s="24" t="s">
        <v>3545</v>
      </c>
      <c r="E474" t="s">
        <v>3546</v>
      </c>
      <c r="F474">
        <v>2015</v>
      </c>
      <c r="G474">
        <f>IF(OR(Mentors[[#This Row],[Career Start Year]]="NA",ISBLANK(Mentors[[#This Row],[Career Start Year]])),"",2026 - Mentors[[#This Row],[Career Start Year]])</f>
        <v>11</v>
      </c>
      <c r="H47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74" t="s">
        <v>51</v>
      </c>
      <c r="J474" t="s">
        <v>88</v>
      </c>
      <c r="K474" t="s">
        <v>3547</v>
      </c>
      <c r="L474" s="17">
        <v>8797578039</v>
      </c>
      <c r="M474" s="19">
        <v>45658</v>
      </c>
      <c r="O474" t="s">
        <v>0</v>
      </c>
      <c r="Q474" t="s">
        <v>54</v>
      </c>
      <c r="R474" t="s">
        <v>54</v>
      </c>
      <c r="S474" t="s">
        <v>54</v>
      </c>
      <c r="T474" t="s">
        <v>77</v>
      </c>
      <c r="U474" t="s">
        <v>99</v>
      </c>
      <c r="V474" t="s">
        <v>78</v>
      </c>
      <c r="W474" t="s">
        <v>79</v>
      </c>
      <c r="X474" t="s">
        <v>59</v>
      </c>
      <c r="Z474" t="s">
        <v>61</v>
      </c>
      <c r="AA474" t="s">
        <v>62</v>
      </c>
      <c r="AB474">
        <v>1</v>
      </c>
      <c r="AD474" t="s">
        <v>54</v>
      </c>
      <c r="AE474" t="s">
        <v>54</v>
      </c>
      <c r="AF474" t="s">
        <v>54</v>
      </c>
      <c r="AG474" t="s">
        <v>63</v>
      </c>
      <c r="AH474" t="s">
        <v>94</v>
      </c>
      <c r="AI474" t="s">
        <v>248</v>
      </c>
      <c r="AJ474" t="s">
        <v>54</v>
      </c>
      <c r="AK474" t="s">
        <v>3548</v>
      </c>
      <c r="AL474" t="s">
        <v>1845</v>
      </c>
      <c r="AN474" s="19">
        <f>IF(ISBLANK(Mentors[[#This Row],[Onboarded Date]]),"",Mentors[[#This Row],[Onboarded Date]]-WEEKDAY(Mentors[[#This Row],[Onboarded Date]],2)+1)</f>
        <v>45656</v>
      </c>
    </row>
    <row r="475" spans="1:40" ht="19.2" customHeight="1" x14ac:dyDescent="0.3">
      <c r="A475" t="s">
        <v>3549</v>
      </c>
      <c r="B475" t="s">
        <v>152</v>
      </c>
      <c r="C475" t="s">
        <v>3550</v>
      </c>
      <c r="D475" s="24" t="s">
        <v>3551</v>
      </c>
      <c r="E475" t="s">
        <v>3552</v>
      </c>
      <c r="F475">
        <v>2004</v>
      </c>
      <c r="G475">
        <f>IF(OR(Mentors[[#This Row],[Career Start Year]]="NA",ISBLANK(Mentors[[#This Row],[Career Start Year]])),"",2026 - Mentors[[#This Row],[Career Start Year]])</f>
        <v>22</v>
      </c>
      <c r="H47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75" t="s">
        <v>51</v>
      </c>
      <c r="J475" t="s">
        <v>280</v>
      </c>
      <c r="K475" t="s">
        <v>3553</v>
      </c>
      <c r="L475" s="17">
        <v>9688629858</v>
      </c>
      <c r="M475" s="19">
        <v>45658</v>
      </c>
      <c r="O475" t="s">
        <v>0</v>
      </c>
      <c r="Q475" t="s">
        <v>54</v>
      </c>
      <c r="R475" t="s">
        <v>63</v>
      </c>
      <c r="S475" t="s">
        <v>63</v>
      </c>
      <c r="T475" t="s">
        <v>110</v>
      </c>
      <c r="U475" t="s">
        <v>65</v>
      </c>
      <c r="V475" t="s">
        <v>57</v>
      </c>
      <c r="W475" t="s">
        <v>79</v>
      </c>
      <c r="Z475" t="s">
        <v>81</v>
      </c>
      <c r="AA475" t="s">
        <v>62</v>
      </c>
      <c r="AB475">
        <v>1</v>
      </c>
      <c r="AD475" t="s">
        <v>54</v>
      </c>
      <c r="AE475" t="s">
        <v>63</v>
      </c>
      <c r="AF475" t="s">
        <v>54</v>
      </c>
      <c r="AG475" t="s">
        <v>54</v>
      </c>
      <c r="AH475" t="s">
        <v>152</v>
      </c>
      <c r="AI475" t="s">
        <v>122</v>
      </c>
      <c r="AJ475" t="s">
        <v>54</v>
      </c>
      <c r="AK475" t="s">
        <v>3554</v>
      </c>
      <c r="AL475" t="s">
        <v>3555</v>
      </c>
      <c r="AN475" s="19">
        <f>IF(ISBLANK(Mentors[[#This Row],[Onboarded Date]]),"",Mentors[[#This Row],[Onboarded Date]]-WEEKDAY(Mentors[[#This Row],[Onboarded Date]],2)+1)</f>
        <v>45656</v>
      </c>
    </row>
    <row r="476" spans="1:40" ht="19.2" customHeight="1" x14ac:dyDescent="0.3">
      <c r="A476" t="s">
        <v>3556</v>
      </c>
      <c r="B476" t="s">
        <v>152</v>
      </c>
      <c r="C476" t="s">
        <v>3557</v>
      </c>
      <c r="D476" s="24" t="s">
        <v>3558</v>
      </c>
      <c r="E476" t="s">
        <v>3559</v>
      </c>
      <c r="F476">
        <v>2015</v>
      </c>
      <c r="G476">
        <f>IF(OR(Mentors[[#This Row],[Career Start Year]]="NA",ISBLANK(Mentors[[#This Row],[Career Start Year]])),"",2026 - Mentors[[#This Row],[Career Start Year]])</f>
        <v>11</v>
      </c>
      <c r="H47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76" t="s">
        <v>51</v>
      </c>
      <c r="J476" t="s">
        <v>3501</v>
      </c>
      <c r="K476" t="s">
        <v>3560</v>
      </c>
      <c r="L476" s="17">
        <v>8072375909</v>
      </c>
      <c r="M476" s="19">
        <v>45658</v>
      </c>
      <c r="O476" t="s">
        <v>0</v>
      </c>
      <c r="Q476" t="s">
        <v>63</v>
      </c>
      <c r="R476" t="s">
        <v>63</v>
      </c>
      <c r="S476" t="s">
        <v>63</v>
      </c>
      <c r="T476" t="s">
        <v>77</v>
      </c>
      <c r="U476" t="s">
        <v>99</v>
      </c>
      <c r="V476" t="s">
        <v>120</v>
      </c>
      <c r="W476" t="s">
        <v>79</v>
      </c>
      <c r="X476" t="s">
        <v>59</v>
      </c>
      <c r="Z476" t="s">
        <v>101</v>
      </c>
      <c r="AA476" t="s">
        <v>62</v>
      </c>
      <c r="AB476">
        <v>1</v>
      </c>
      <c r="AD476" t="s">
        <v>54</v>
      </c>
      <c r="AE476" t="s">
        <v>63</v>
      </c>
      <c r="AF476" t="s">
        <v>54</v>
      </c>
      <c r="AG476" t="s">
        <v>54</v>
      </c>
      <c r="AH476" t="s">
        <v>152</v>
      </c>
      <c r="AI476" t="s">
        <v>412</v>
      </c>
      <c r="AJ476" t="s">
        <v>54</v>
      </c>
      <c r="AK476" t="s">
        <v>3561</v>
      </c>
      <c r="AL476" t="s">
        <v>3562</v>
      </c>
      <c r="AN476" s="19">
        <f>IF(ISBLANK(Mentors[[#This Row],[Onboarded Date]]),"",Mentors[[#This Row],[Onboarded Date]]-WEEKDAY(Mentors[[#This Row],[Onboarded Date]],2)+1)</f>
        <v>45656</v>
      </c>
    </row>
    <row r="477" spans="1:40" ht="19.2" customHeight="1" x14ac:dyDescent="0.3">
      <c r="A477" t="s">
        <v>3563</v>
      </c>
      <c r="B477" t="s">
        <v>152</v>
      </c>
      <c r="D477" s="24" t="s">
        <v>3564</v>
      </c>
      <c r="E477" t="s">
        <v>3565</v>
      </c>
      <c r="F477">
        <v>2021</v>
      </c>
      <c r="G477">
        <f>IF(OR(Mentors[[#This Row],[Career Start Year]]="NA",ISBLANK(Mentors[[#This Row],[Career Start Year]])),"",2026 - Mentors[[#This Row],[Career Start Year]])</f>
        <v>5</v>
      </c>
      <c r="H47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477" t="s">
        <v>51</v>
      </c>
      <c r="J477" t="s">
        <v>196</v>
      </c>
      <c r="K477" t="s">
        <v>3566</v>
      </c>
      <c r="L477" s="17">
        <v>6377405196</v>
      </c>
      <c r="M477" s="19">
        <v>45658</v>
      </c>
      <c r="O477" t="s">
        <v>0</v>
      </c>
      <c r="Q477" t="s">
        <v>54</v>
      </c>
      <c r="R477" t="s">
        <v>54</v>
      </c>
      <c r="S477" t="s">
        <v>63</v>
      </c>
      <c r="T477" s="4" t="s">
        <v>756</v>
      </c>
      <c r="U477" t="s">
        <v>99</v>
      </c>
      <c r="V477" t="s">
        <v>57</v>
      </c>
      <c r="W477" t="s">
        <v>79</v>
      </c>
      <c r="X477" t="s">
        <v>59</v>
      </c>
      <c r="Y477" t="s">
        <v>60</v>
      </c>
      <c r="Z477" t="s">
        <v>101</v>
      </c>
      <c r="AA477" t="s">
        <v>62</v>
      </c>
      <c r="AB477">
        <v>1</v>
      </c>
      <c r="AD477" t="s">
        <v>54</v>
      </c>
      <c r="AE477" t="s">
        <v>63</v>
      </c>
      <c r="AF477" t="s">
        <v>54</v>
      </c>
      <c r="AG477" t="s">
        <v>54</v>
      </c>
      <c r="AH477" t="s">
        <v>152</v>
      </c>
      <c r="AI477" t="s">
        <v>412</v>
      </c>
      <c r="AJ477" t="s">
        <v>54</v>
      </c>
      <c r="AK477" t="s">
        <v>3567</v>
      </c>
      <c r="AL477" t="s">
        <v>3568</v>
      </c>
      <c r="AN477" s="19">
        <f>IF(ISBLANK(Mentors[[#This Row],[Onboarded Date]]),"",Mentors[[#This Row],[Onboarded Date]]-WEEKDAY(Mentors[[#This Row],[Onboarded Date]],2)+1)</f>
        <v>45656</v>
      </c>
    </row>
    <row r="478" spans="1:40" ht="19.2" customHeight="1" x14ac:dyDescent="0.3">
      <c r="A478" t="s">
        <v>3569</v>
      </c>
      <c r="B478" t="s">
        <v>152</v>
      </c>
      <c r="C478" t="s">
        <v>3570</v>
      </c>
      <c r="D478" s="24" t="s">
        <v>3571</v>
      </c>
      <c r="E478" t="s">
        <v>3572</v>
      </c>
      <c r="F478">
        <v>1998</v>
      </c>
      <c r="G478">
        <f>IF(OR(Mentors[[#This Row],[Career Start Year]]="NA",ISBLANK(Mentors[[#This Row],[Career Start Year]])),"",2026 - Mentors[[#This Row],[Career Start Year]])</f>
        <v>28</v>
      </c>
      <c r="H47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78" t="s">
        <v>51</v>
      </c>
      <c r="J478" t="s">
        <v>297</v>
      </c>
      <c r="K478" t="s">
        <v>3573</v>
      </c>
      <c r="L478" s="17">
        <v>82310720711</v>
      </c>
      <c r="M478" s="19">
        <v>45658</v>
      </c>
      <c r="O478" t="s">
        <v>0</v>
      </c>
      <c r="Q478" t="s">
        <v>54</v>
      </c>
      <c r="R478" t="s">
        <v>63</v>
      </c>
      <c r="S478" t="s">
        <v>63</v>
      </c>
      <c r="T478" t="s">
        <v>77</v>
      </c>
      <c r="U478" t="s">
        <v>110</v>
      </c>
      <c r="V478" t="s">
        <v>57</v>
      </c>
      <c r="W478" t="s">
        <v>79</v>
      </c>
      <c r="X478" t="s">
        <v>80</v>
      </c>
      <c r="Y478" t="s">
        <v>59</v>
      </c>
      <c r="Z478" t="s">
        <v>81</v>
      </c>
      <c r="AA478" t="s">
        <v>62</v>
      </c>
      <c r="AB478">
        <v>1</v>
      </c>
      <c r="AD478" t="s">
        <v>54</v>
      </c>
      <c r="AE478" t="s">
        <v>63</v>
      </c>
      <c r="AF478" t="s">
        <v>63</v>
      </c>
      <c r="AG478" t="s">
        <v>54</v>
      </c>
      <c r="AH478" t="s">
        <v>152</v>
      </c>
      <c r="AI478" t="s">
        <v>412</v>
      </c>
      <c r="AJ478" t="s">
        <v>54</v>
      </c>
      <c r="AK478" t="s">
        <v>3574</v>
      </c>
      <c r="AL478" t="s">
        <v>3575</v>
      </c>
      <c r="AN478" s="19">
        <f>IF(ISBLANK(Mentors[[#This Row],[Onboarded Date]]),"",Mentors[[#This Row],[Onboarded Date]]-WEEKDAY(Mentors[[#This Row],[Onboarded Date]],2)+1)</f>
        <v>45656</v>
      </c>
    </row>
    <row r="479" spans="1:40" ht="19.2" customHeight="1" x14ac:dyDescent="0.3">
      <c r="A479" t="s">
        <v>3576</v>
      </c>
      <c r="B479" t="s">
        <v>396</v>
      </c>
      <c r="C479" t="s">
        <v>3577</v>
      </c>
      <c r="D479" s="24" t="s">
        <v>3578</v>
      </c>
      <c r="E479" t="s">
        <v>3579</v>
      </c>
      <c r="F479">
        <v>1990</v>
      </c>
      <c r="G479">
        <f>IF(OR(Mentors[[#This Row],[Career Start Year]]="NA",ISBLANK(Mentors[[#This Row],[Career Start Year]])),"",2026 - Mentors[[#This Row],[Career Start Year]])</f>
        <v>36</v>
      </c>
      <c r="H47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79" t="s">
        <v>51</v>
      </c>
      <c r="J479" t="s">
        <v>297</v>
      </c>
      <c r="K479" t="s">
        <v>3580</v>
      </c>
      <c r="L479" s="17">
        <v>9825700006</v>
      </c>
      <c r="M479" s="19">
        <v>45658</v>
      </c>
      <c r="N479" t="s">
        <v>10</v>
      </c>
      <c r="O479" t="s">
        <v>0</v>
      </c>
      <c r="Q479" t="s">
        <v>63</v>
      </c>
      <c r="R479" t="s">
        <v>63</v>
      </c>
      <c r="S479" t="s">
        <v>63</v>
      </c>
      <c r="T479" t="s">
        <v>411</v>
      </c>
      <c r="U479" t="s">
        <v>77</v>
      </c>
      <c r="V479" t="s">
        <v>78</v>
      </c>
      <c r="W479" t="s">
        <v>79</v>
      </c>
      <c r="Z479" t="s">
        <v>81</v>
      </c>
      <c r="AA479" t="s">
        <v>62</v>
      </c>
      <c r="AB479">
        <v>1</v>
      </c>
      <c r="AD479" t="s">
        <v>54</v>
      </c>
      <c r="AE479" t="s">
        <v>63</v>
      </c>
      <c r="AF479" t="s">
        <v>54</v>
      </c>
      <c r="AG479" t="s">
        <v>54</v>
      </c>
      <c r="AH479" t="s">
        <v>152</v>
      </c>
      <c r="AI479" t="s">
        <v>412</v>
      </c>
      <c r="AJ479" t="s">
        <v>54</v>
      </c>
      <c r="AK479" t="s">
        <v>3581</v>
      </c>
      <c r="AL479" t="s">
        <v>3582</v>
      </c>
      <c r="AN479" s="19">
        <f>IF(ISBLANK(Mentors[[#This Row],[Onboarded Date]]),"",Mentors[[#This Row],[Onboarded Date]]-WEEKDAY(Mentors[[#This Row],[Onboarded Date]],2)+1)</f>
        <v>45656</v>
      </c>
    </row>
    <row r="480" spans="1:40" ht="19.2" customHeight="1" x14ac:dyDescent="0.3">
      <c r="A480" t="s">
        <v>3583</v>
      </c>
      <c r="B480" t="s">
        <v>3584</v>
      </c>
      <c r="C480" t="s">
        <v>3585</v>
      </c>
      <c r="D480" s="24" t="s">
        <v>3586</v>
      </c>
      <c r="E480" t="s">
        <v>3587</v>
      </c>
      <c r="F480">
        <v>1996</v>
      </c>
      <c r="G480">
        <f>IF(OR(Mentors[[#This Row],[Career Start Year]]="NA",ISBLANK(Mentors[[#This Row],[Career Start Year]])),"",2026 - Mentors[[#This Row],[Career Start Year]])</f>
        <v>30</v>
      </c>
      <c r="H48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80" t="s">
        <v>51</v>
      </c>
      <c r="J480" t="s">
        <v>297</v>
      </c>
      <c r="K480" t="s">
        <v>3588</v>
      </c>
      <c r="L480" s="17">
        <v>9826022117</v>
      </c>
      <c r="M480" s="19">
        <v>45658</v>
      </c>
      <c r="N480" t="s">
        <v>10</v>
      </c>
      <c r="O480" t="s">
        <v>0</v>
      </c>
      <c r="Q480" t="s">
        <v>63</v>
      </c>
      <c r="R480" t="s">
        <v>63</v>
      </c>
      <c r="S480" t="s">
        <v>63</v>
      </c>
      <c r="T480" s="11" t="s">
        <v>247</v>
      </c>
      <c r="U480" t="s">
        <v>77</v>
      </c>
      <c r="V480" t="s">
        <v>481</v>
      </c>
      <c r="W480" t="s">
        <v>79</v>
      </c>
      <c r="X480" t="s">
        <v>59</v>
      </c>
      <c r="Z480" t="s">
        <v>81</v>
      </c>
      <c r="AA480" t="s">
        <v>62</v>
      </c>
      <c r="AB480">
        <v>1</v>
      </c>
      <c r="AD480" t="s">
        <v>54</v>
      </c>
      <c r="AE480" t="s">
        <v>54</v>
      </c>
      <c r="AF480" t="s">
        <v>54</v>
      </c>
      <c r="AG480" t="s">
        <v>54</v>
      </c>
      <c r="AH480" t="s">
        <v>131</v>
      </c>
      <c r="AI480" t="s">
        <v>77</v>
      </c>
      <c r="AJ480" t="s">
        <v>54</v>
      </c>
      <c r="AK480" t="s">
        <v>3589</v>
      </c>
      <c r="AL480" t="s">
        <v>3590</v>
      </c>
      <c r="AN480" s="19">
        <f>IF(ISBLANK(Mentors[[#This Row],[Onboarded Date]]),"",Mentors[[#This Row],[Onboarded Date]]-WEEKDAY(Mentors[[#This Row],[Onboarded Date]],2)+1)</f>
        <v>45656</v>
      </c>
    </row>
    <row r="481" spans="1:40" ht="19.2" customHeight="1" x14ac:dyDescent="0.3">
      <c r="A481" t="s">
        <v>3591</v>
      </c>
      <c r="B481" t="s">
        <v>3592</v>
      </c>
      <c r="C481" t="s">
        <v>3593</v>
      </c>
      <c r="D481" s="24" t="s">
        <v>3594</v>
      </c>
      <c r="E481" t="s">
        <v>3595</v>
      </c>
      <c r="F481">
        <v>2012</v>
      </c>
      <c r="G481">
        <f>IF(OR(Mentors[[#This Row],[Career Start Year]]="NA",ISBLANK(Mentors[[#This Row],[Career Start Year]])),"",2026 - Mentors[[#This Row],[Career Start Year]])</f>
        <v>14</v>
      </c>
      <c r="H48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81" t="s">
        <v>51</v>
      </c>
      <c r="J481" t="s">
        <v>140</v>
      </c>
      <c r="K481" t="s">
        <v>3596</v>
      </c>
      <c r="L481" s="17">
        <v>9718704240</v>
      </c>
      <c r="M481" s="19">
        <v>45658</v>
      </c>
      <c r="O481" t="s">
        <v>0</v>
      </c>
      <c r="Q481" t="s">
        <v>54</v>
      </c>
      <c r="R481" t="s">
        <v>63</v>
      </c>
      <c r="S481" t="s">
        <v>54</v>
      </c>
      <c r="T481" t="s">
        <v>56</v>
      </c>
      <c r="U481" t="s">
        <v>100</v>
      </c>
      <c r="V481" t="s">
        <v>57</v>
      </c>
      <c r="W481" t="s">
        <v>79</v>
      </c>
      <c r="X481" t="s">
        <v>60</v>
      </c>
      <c r="Z481" t="s">
        <v>81</v>
      </c>
      <c r="AA481" t="s">
        <v>62</v>
      </c>
      <c r="AB481">
        <v>1</v>
      </c>
      <c r="AD481" t="s">
        <v>54</v>
      </c>
      <c r="AE481" t="s">
        <v>54</v>
      </c>
      <c r="AF481" t="s">
        <v>54</v>
      </c>
      <c r="AG481" t="s">
        <v>54</v>
      </c>
      <c r="AH481" t="s">
        <v>131</v>
      </c>
      <c r="AI481" t="s">
        <v>132</v>
      </c>
      <c r="AJ481" t="s">
        <v>54</v>
      </c>
      <c r="AK481" t="s">
        <v>3597</v>
      </c>
      <c r="AL481" t="s">
        <v>3598</v>
      </c>
      <c r="AN481" s="19">
        <f>IF(ISBLANK(Mentors[[#This Row],[Onboarded Date]]),"",Mentors[[#This Row],[Onboarded Date]]-WEEKDAY(Mentors[[#This Row],[Onboarded Date]],2)+1)</f>
        <v>45656</v>
      </c>
    </row>
    <row r="482" spans="1:40" ht="19.2" customHeight="1" x14ac:dyDescent="0.3">
      <c r="A482" t="s">
        <v>3599</v>
      </c>
      <c r="B482" t="s">
        <v>260</v>
      </c>
      <c r="C482" t="s">
        <v>3600</v>
      </c>
      <c r="D482" s="24" t="s">
        <v>3601</v>
      </c>
      <c r="E482" s="7" t="s">
        <v>3602</v>
      </c>
      <c r="F482">
        <v>2011</v>
      </c>
      <c r="G482">
        <f>IF(OR(Mentors[[#This Row],[Career Start Year]]="NA",ISBLANK(Mentors[[#This Row],[Career Start Year]])),"",2026 - Mentors[[#This Row],[Career Start Year]])</f>
        <v>15</v>
      </c>
      <c r="H48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82" t="s">
        <v>51</v>
      </c>
      <c r="J482" t="s">
        <v>140</v>
      </c>
      <c r="K482" t="s">
        <v>3603</v>
      </c>
      <c r="L482" s="17">
        <v>7838683859</v>
      </c>
      <c r="M482" s="19">
        <v>45658</v>
      </c>
      <c r="O482" t="s">
        <v>0</v>
      </c>
      <c r="Q482" t="s">
        <v>54</v>
      </c>
      <c r="R482" t="s">
        <v>63</v>
      </c>
      <c r="S482" t="s">
        <v>63</v>
      </c>
      <c r="T482" s="4" t="s">
        <v>381</v>
      </c>
      <c r="U482" t="s">
        <v>77</v>
      </c>
      <c r="V482" t="s">
        <v>78</v>
      </c>
      <c r="W482" t="s">
        <v>79</v>
      </c>
      <c r="X482" t="s">
        <v>80</v>
      </c>
      <c r="Y482" t="s">
        <v>60</v>
      </c>
      <c r="Z482" t="s">
        <v>81</v>
      </c>
      <c r="AA482" t="s">
        <v>62</v>
      </c>
      <c r="AB482">
        <v>1</v>
      </c>
      <c r="AD482" t="s">
        <v>54</v>
      </c>
      <c r="AE482" t="s">
        <v>63</v>
      </c>
      <c r="AF482" t="s">
        <v>64</v>
      </c>
      <c r="AG482" t="s">
        <v>54</v>
      </c>
      <c r="AH482" t="s">
        <v>152</v>
      </c>
      <c r="AI482" t="s">
        <v>248</v>
      </c>
      <c r="AJ482" t="s">
        <v>54</v>
      </c>
      <c r="AK482" t="s">
        <v>3604</v>
      </c>
      <c r="AL482" t="s">
        <v>3605</v>
      </c>
      <c r="AN482" s="19">
        <f>IF(ISBLANK(Mentors[[#This Row],[Onboarded Date]]),"",Mentors[[#This Row],[Onboarded Date]]-WEEKDAY(Mentors[[#This Row],[Onboarded Date]],2)+1)</f>
        <v>45656</v>
      </c>
    </row>
    <row r="483" spans="1:40" ht="19.2" customHeight="1" x14ac:dyDescent="0.3">
      <c r="A483" t="s">
        <v>3606</v>
      </c>
      <c r="B483" t="s">
        <v>1287</v>
      </c>
      <c r="C483" t="s">
        <v>3607</v>
      </c>
      <c r="D483" s="24" t="s">
        <v>3608</v>
      </c>
      <c r="E483" s="7" t="s">
        <v>3609</v>
      </c>
      <c r="F483">
        <v>1993</v>
      </c>
      <c r="G483">
        <f>IF(OR(Mentors[[#This Row],[Career Start Year]]="NA",ISBLANK(Mentors[[#This Row],[Career Start Year]])),"",2026 - Mentors[[#This Row],[Career Start Year]])</f>
        <v>33</v>
      </c>
      <c r="H48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83" t="s">
        <v>51</v>
      </c>
      <c r="J483" t="s">
        <v>74</v>
      </c>
      <c r="K483" s="7" t="s">
        <v>3610</v>
      </c>
      <c r="L483" s="17">
        <v>8882279758</v>
      </c>
      <c r="M483" s="19">
        <v>45658</v>
      </c>
      <c r="O483" t="s">
        <v>0</v>
      </c>
      <c r="Q483" t="s">
        <v>63</v>
      </c>
      <c r="R483" t="s">
        <v>63</v>
      </c>
      <c r="S483" t="s">
        <v>63</v>
      </c>
      <c r="T483" t="s">
        <v>187</v>
      </c>
      <c r="U483" t="s">
        <v>100</v>
      </c>
      <c r="V483" t="s">
        <v>78</v>
      </c>
      <c r="W483" t="s">
        <v>79</v>
      </c>
      <c r="X483" t="s">
        <v>80</v>
      </c>
      <c r="Z483" t="s">
        <v>81</v>
      </c>
      <c r="AA483" t="s">
        <v>62</v>
      </c>
      <c r="AB483">
        <v>1</v>
      </c>
      <c r="AD483" t="s">
        <v>54</v>
      </c>
      <c r="AE483" t="s">
        <v>54</v>
      </c>
      <c r="AF483" t="s">
        <v>54</v>
      </c>
      <c r="AG483" t="s">
        <v>63</v>
      </c>
      <c r="AH483" t="s">
        <v>94</v>
      </c>
      <c r="AI483" t="s">
        <v>132</v>
      </c>
      <c r="AJ483" t="s">
        <v>54</v>
      </c>
      <c r="AK483" t="s">
        <v>3611</v>
      </c>
      <c r="AL483" t="s">
        <v>3612</v>
      </c>
      <c r="AN483" s="19">
        <f>IF(ISBLANK(Mentors[[#This Row],[Onboarded Date]]),"",Mentors[[#This Row],[Onboarded Date]]-WEEKDAY(Mentors[[#This Row],[Onboarded Date]],2)+1)</f>
        <v>45656</v>
      </c>
    </row>
    <row r="484" spans="1:40" ht="19.2" customHeight="1" x14ac:dyDescent="0.3">
      <c r="A484" t="s">
        <v>3613</v>
      </c>
      <c r="B484" t="s">
        <v>152</v>
      </c>
      <c r="C484" t="s">
        <v>3614</v>
      </c>
      <c r="D484" s="9" t="s">
        <v>3615</v>
      </c>
      <c r="E484" s="22" t="s">
        <v>3616</v>
      </c>
      <c r="F484">
        <v>2007</v>
      </c>
      <c r="G484">
        <f>IF(OR(Mentors[[#This Row],[Career Start Year]]="NA",ISBLANK(Mentors[[#This Row],[Career Start Year]])),"",2026 - Mentors[[#This Row],[Career Start Year]])</f>
        <v>19</v>
      </c>
      <c r="H48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484" t="s">
        <v>51</v>
      </c>
      <c r="J484" t="s">
        <v>389</v>
      </c>
      <c r="K484" t="s">
        <v>3617</v>
      </c>
      <c r="L484" s="17">
        <v>9958732810</v>
      </c>
      <c r="M484" s="19">
        <v>45658</v>
      </c>
      <c r="O484" t="s">
        <v>0</v>
      </c>
      <c r="Q484" t="s">
        <v>54</v>
      </c>
      <c r="R484" t="s">
        <v>63</v>
      </c>
      <c r="S484" t="s">
        <v>63</v>
      </c>
      <c r="T484" t="s">
        <v>56</v>
      </c>
      <c r="U484" s="4" t="s">
        <v>381</v>
      </c>
      <c r="V484" t="s">
        <v>78</v>
      </c>
      <c r="W484" t="s">
        <v>79</v>
      </c>
      <c r="X484" t="s">
        <v>60</v>
      </c>
      <c r="Z484" t="s">
        <v>61</v>
      </c>
      <c r="AA484" t="s">
        <v>62</v>
      </c>
      <c r="AB484">
        <v>1</v>
      </c>
      <c r="AD484" t="s">
        <v>63</v>
      </c>
      <c r="AE484" t="s">
        <v>63</v>
      </c>
      <c r="AF484" t="s">
        <v>54</v>
      </c>
      <c r="AG484" t="s">
        <v>54</v>
      </c>
      <c r="AH484" t="s">
        <v>152</v>
      </c>
      <c r="AI484" t="s">
        <v>66</v>
      </c>
      <c r="AJ484" t="s">
        <v>54</v>
      </c>
      <c r="AK484" t="s">
        <v>3618</v>
      </c>
      <c r="AL484" t="s">
        <v>3619</v>
      </c>
      <c r="AN484" s="19">
        <f>IF(ISBLANK(Mentors[[#This Row],[Onboarded Date]]),"",Mentors[[#This Row],[Onboarded Date]]-WEEKDAY(Mentors[[#This Row],[Onboarded Date]],2)+1)</f>
        <v>45656</v>
      </c>
    </row>
    <row r="485" spans="1:40" ht="19.2" customHeight="1" x14ac:dyDescent="0.3">
      <c r="A485" t="s">
        <v>3620</v>
      </c>
      <c r="B485" t="s">
        <v>396</v>
      </c>
      <c r="C485" t="s">
        <v>3621</v>
      </c>
      <c r="D485" s="24" t="s">
        <v>3622</v>
      </c>
      <c r="E485" s="7" t="s">
        <v>3623</v>
      </c>
      <c r="F485">
        <v>2006</v>
      </c>
      <c r="G485">
        <f>IF(OR(Mentors[[#This Row],[Career Start Year]]="NA",ISBLANK(Mentors[[#This Row],[Career Start Year]])),"",2026 - Mentors[[#This Row],[Career Start Year]])</f>
        <v>20</v>
      </c>
      <c r="H48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485" t="s">
        <v>51</v>
      </c>
      <c r="J485" t="s">
        <v>280</v>
      </c>
      <c r="K485" t="s">
        <v>3624</v>
      </c>
      <c r="L485" s="17">
        <v>8758468850</v>
      </c>
      <c r="M485" s="19">
        <v>45658</v>
      </c>
      <c r="O485" t="s">
        <v>0</v>
      </c>
      <c r="Q485" t="s">
        <v>54</v>
      </c>
      <c r="R485" t="s">
        <v>63</v>
      </c>
      <c r="S485" t="s">
        <v>63</v>
      </c>
      <c r="T485" t="s">
        <v>187</v>
      </c>
      <c r="U485" t="s">
        <v>77</v>
      </c>
      <c r="V485" t="s">
        <v>78</v>
      </c>
      <c r="W485" t="s">
        <v>79</v>
      </c>
      <c r="X485" t="s">
        <v>59</v>
      </c>
      <c r="Y485" t="s">
        <v>60</v>
      </c>
      <c r="Z485" t="s">
        <v>81</v>
      </c>
      <c r="AA485" t="s">
        <v>62</v>
      </c>
      <c r="AB485">
        <v>1</v>
      </c>
      <c r="AD485" t="s">
        <v>54</v>
      </c>
      <c r="AE485" t="s">
        <v>63</v>
      </c>
      <c r="AF485" t="s">
        <v>54</v>
      </c>
      <c r="AG485" t="s">
        <v>63</v>
      </c>
      <c r="AH485" t="s">
        <v>152</v>
      </c>
      <c r="AI485" t="s">
        <v>132</v>
      </c>
      <c r="AJ485" t="s">
        <v>54</v>
      </c>
      <c r="AK485" t="s">
        <v>3625</v>
      </c>
      <c r="AL485" t="s">
        <v>3626</v>
      </c>
      <c r="AN485" s="19">
        <f>IF(ISBLANK(Mentors[[#This Row],[Onboarded Date]]),"",Mentors[[#This Row],[Onboarded Date]]-WEEKDAY(Mentors[[#This Row],[Onboarded Date]],2)+1)</f>
        <v>45656</v>
      </c>
    </row>
    <row r="486" spans="1:40" ht="19.2" customHeight="1" x14ac:dyDescent="0.3">
      <c r="A486" t="s">
        <v>3627</v>
      </c>
      <c r="B486" t="s">
        <v>152</v>
      </c>
      <c r="C486" t="s">
        <v>3628</v>
      </c>
      <c r="D486" s="24" t="s">
        <v>3629</v>
      </c>
      <c r="E486" t="s">
        <v>3630</v>
      </c>
      <c r="F486">
        <v>2015</v>
      </c>
      <c r="G486">
        <f>IF(OR(Mentors[[#This Row],[Career Start Year]]="NA",ISBLANK(Mentors[[#This Row],[Career Start Year]])),"",2026 - Mentors[[#This Row],[Career Start Year]])</f>
        <v>11</v>
      </c>
      <c r="H48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86" t="s">
        <v>51</v>
      </c>
      <c r="J486" t="s">
        <v>297</v>
      </c>
      <c r="K486" t="s">
        <v>3631</v>
      </c>
      <c r="L486" s="17">
        <v>9582033304</v>
      </c>
      <c r="M486" s="19">
        <v>45658</v>
      </c>
      <c r="N486" t="s">
        <v>10</v>
      </c>
      <c r="O486" t="s">
        <v>0</v>
      </c>
      <c r="Q486" t="s">
        <v>63</v>
      </c>
      <c r="R486" t="s">
        <v>63</v>
      </c>
      <c r="S486" t="s">
        <v>63</v>
      </c>
      <c r="T486" t="s">
        <v>166</v>
      </c>
      <c r="U486" t="s">
        <v>100</v>
      </c>
      <c r="V486" t="s">
        <v>78</v>
      </c>
      <c r="W486" t="s">
        <v>79</v>
      </c>
      <c r="X486" t="s">
        <v>59</v>
      </c>
      <c r="Z486" t="s">
        <v>61</v>
      </c>
      <c r="AA486" t="s">
        <v>62</v>
      </c>
      <c r="AB486">
        <v>1</v>
      </c>
      <c r="AD486" t="s">
        <v>54</v>
      </c>
      <c r="AE486" t="s">
        <v>63</v>
      </c>
      <c r="AG486" t="s">
        <v>54</v>
      </c>
      <c r="AH486" t="s">
        <v>152</v>
      </c>
      <c r="AI486" t="s">
        <v>132</v>
      </c>
      <c r="AJ486" t="s">
        <v>54</v>
      </c>
      <c r="AK486" t="s">
        <v>3632</v>
      </c>
      <c r="AL486" t="s">
        <v>3633</v>
      </c>
      <c r="AN486" s="19">
        <f>IF(ISBLANK(Mentors[[#This Row],[Onboarded Date]]),"",Mentors[[#This Row],[Onboarded Date]]-WEEKDAY(Mentors[[#This Row],[Onboarded Date]],2)+1)</f>
        <v>45656</v>
      </c>
    </row>
    <row r="487" spans="1:40" ht="19.2" customHeight="1" x14ac:dyDescent="0.3">
      <c r="A487" t="s">
        <v>3634</v>
      </c>
      <c r="B487" t="s">
        <v>396</v>
      </c>
      <c r="C487" t="s">
        <v>3635</v>
      </c>
      <c r="D487" s="24" t="s">
        <v>3636</v>
      </c>
      <c r="E487" t="s">
        <v>3637</v>
      </c>
      <c r="F487">
        <v>2007</v>
      </c>
      <c r="G487">
        <f>IF(OR(Mentors[[#This Row],[Career Start Year]]="NA",ISBLANK(Mentors[[#This Row],[Career Start Year]])),"",2026 - Mentors[[#This Row],[Career Start Year]])</f>
        <v>19</v>
      </c>
      <c r="H48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487" t="s">
        <v>51</v>
      </c>
      <c r="J487" t="s">
        <v>196</v>
      </c>
      <c r="K487" t="s">
        <v>3638</v>
      </c>
      <c r="L487" s="17">
        <v>9575942900</v>
      </c>
      <c r="M487" s="19">
        <v>45658</v>
      </c>
      <c r="O487" t="s">
        <v>0</v>
      </c>
      <c r="Q487" t="s">
        <v>63</v>
      </c>
      <c r="R487" t="s">
        <v>63</v>
      </c>
      <c r="S487" t="s">
        <v>63</v>
      </c>
      <c r="T487" t="s">
        <v>99</v>
      </c>
      <c r="U487" t="s">
        <v>100</v>
      </c>
      <c r="V487" t="s">
        <v>78</v>
      </c>
      <c r="W487" t="s">
        <v>79</v>
      </c>
      <c r="X487" t="s">
        <v>60</v>
      </c>
      <c r="Z487" t="s">
        <v>61</v>
      </c>
      <c r="AA487" t="s">
        <v>62</v>
      </c>
      <c r="AB487">
        <v>1</v>
      </c>
      <c r="AD487" t="s">
        <v>54</v>
      </c>
      <c r="AE487" t="s">
        <v>63</v>
      </c>
      <c r="AF487" t="s">
        <v>54</v>
      </c>
      <c r="AG487" t="s">
        <v>63</v>
      </c>
      <c r="AH487" t="s">
        <v>152</v>
      </c>
      <c r="AI487" t="s">
        <v>132</v>
      </c>
      <c r="AJ487" t="s">
        <v>54</v>
      </c>
      <c r="AK487" t="s">
        <v>3639</v>
      </c>
      <c r="AL487" t="s">
        <v>3640</v>
      </c>
      <c r="AN487" s="19">
        <f>IF(ISBLANK(Mentors[[#This Row],[Onboarded Date]]),"",Mentors[[#This Row],[Onboarded Date]]-WEEKDAY(Mentors[[#This Row],[Onboarded Date]],2)+1)</f>
        <v>45656</v>
      </c>
    </row>
    <row r="488" spans="1:40" ht="19.2" customHeight="1" x14ac:dyDescent="0.3">
      <c r="A488" t="s">
        <v>3641</v>
      </c>
      <c r="B488" t="s">
        <v>3642</v>
      </c>
      <c r="C488" t="s">
        <v>3643</v>
      </c>
      <c r="D488" s="24" t="s">
        <v>3644</v>
      </c>
      <c r="E488" t="s">
        <v>3645</v>
      </c>
      <c r="F488">
        <v>2015</v>
      </c>
      <c r="G488">
        <f>IF(OR(Mentors[[#This Row],[Career Start Year]]="NA",ISBLANK(Mentors[[#This Row],[Career Start Year]])),"",2026 - Mentors[[#This Row],[Career Start Year]])</f>
        <v>11</v>
      </c>
      <c r="H48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88" t="s">
        <v>51</v>
      </c>
      <c r="J488" t="s">
        <v>118</v>
      </c>
      <c r="K488" t="s">
        <v>3646</v>
      </c>
      <c r="L488" s="17">
        <v>9665568369</v>
      </c>
      <c r="M488" s="19">
        <v>45658</v>
      </c>
      <c r="O488" t="s">
        <v>0</v>
      </c>
      <c r="Q488" t="s">
        <v>63</v>
      </c>
      <c r="R488" t="s">
        <v>63</v>
      </c>
      <c r="S488" t="s">
        <v>54</v>
      </c>
      <c r="T488" t="s">
        <v>99</v>
      </c>
      <c r="U488" t="s">
        <v>65</v>
      </c>
      <c r="V488" t="s">
        <v>57</v>
      </c>
      <c r="W488" t="s">
        <v>79</v>
      </c>
      <c r="X488" t="s">
        <v>1120</v>
      </c>
      <c r="Y488" t="s">
        <v>59</v>
      </c>
      <c r="Z488" t="s">
        <v>61</v>
      </c>
      <c r="AA488" t="s">
        <v>62</v>
      </c>
      <c r="AB488">
        <v>1</v>
      </c>
      <c r="AD488" t="s">
        <v>54</v>
      </c>
      <c r="AE488" t="s">
        <v>54</v>
      </c>
      <c r="AF488" t="s">
        <v>54</v>
      </c>
      <c r="AG488" t="s">
        <v>54</v>
      </c>
      <c r="AH488" t="s">
        <v>131</v>
      </c>
      <c r="AI488" t="s">
        <v>1168</v>
      </c>
      <c r="AJ488" t="s">
        <v>63</v>
      </c>
      <c r="AK488" t="s">
        <v>3647</v>
      </c>
      <c r="AL488" t="s">
        <v>3648</v>
      </c>
      <c r="AN488" s="19">
        <f>IF(ISBLANK(Mentors[[#This Row],[Onboarded Date]]),"",Mentors[[#This Row],[Onboarded Date]]-WEEKDAY(Mentors[[#This Row],[Onboarded Date]],2)+1)</f>
        <v>45656</v>
      </c>
    </row>
    <row r="489" spans="1:40" ht="19.2" customHeight="1" x14ac:dyDescent="0.3">
      <c r="A489" t="s">
        <v>3649</v>
      </c>
      <c r="B489" t="s">
        <v>3650</v>
      </c>
      <c r="C489" t="s">
        <v>3651</v>
      </c>
      <c r="D489" s="24" t="s">
        <v>3652</v>
      </c>
      <c r="E489" t="s">
        <v>3653</v>
      </c>
      <c r="F489">
        <v>1982</v>
      </c>
      <c r="G489">
        <f>IF(OR(Mentors[[#This Row],[Career Start Year]]="NA",ISBLANK(Mentors[[#This Row],[Career Start Year]])),"",2026 - Mentors[[#This Row],[Career Start Year]])</f>
        <v>44</v>
      </c>
      <c r="H48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89" t="s">
        <v>51</v>
      </c>
      <c r="J489" t="s">
        <v>297</v>
      </c>
      <c r="K489" t="s">
        <v>3654</v>
      </c>
      <c r="L489" s="17">
        <v>9810173156</v>
      </c>
      <c r="M489" s="19">
        <v>45658</v>
      </c>
      <c r="N489" t="s">
        <v>10</v>
      </c>
      <c r="O489" t="s">
        <v>0</v>
      </c>
      <c r="Q489" t="s">
        <v>63</v>
      </c>
      <c r="R489" t="s">
        <v>63</v>
      </c>
      <c r="S489" t="s">
        <v>63</v>
      </c>
      <c r="T489" t="s">
        <v>411</v>
      </c>
      <c r="U489" t="s">
        <v>77</v>
      </c>
      <c r="V489" t="s">
        <v>78</v>
      </c>
      <c r="W489" t="s">
        <v>79</v>
      </c>
      <c r="Z489" t="s">
        <v>81</v>
      </c>
      <c r="AA489" t="s">
        <v>62</v>
      </c>
      <c r="AB489">
        <v>1</v>
      </c>
      <c r="AD489" t="s">
        <v>63</v>
      </c>
      <c r="AE489" t="s">
        <v>63</v>
      </c>
      <c r="AF489" t="s">
        <v>54</v>
      </c>
      <c r="AG489" t="s">
        <v>63</v>
      </c>
      <c r="AH489" t="s">
        <v>65</v>
      </c>
      <c r="AI489" t="s">
        <v>412</v>
      </c>
      <c r="AJ489" t="s">
        <v>54</v>
      </c>
      <c r="AK489" t="s">
        <v>3655</v>
      </c>
      <c r="AL489" t="s">
        <v>3656</v>
      </c>
      <c r="AN489" s="19">
        <f>IF(ISBLANK(Mentors[[#This Row],[Onboarded Date]]),"",Mentors[[#This Row],[Onboarded Date]]-WEEKDAY(Mentors[[#This Row],[Onboarded Date]],2)+1)</f>
        <v>45656</v>
      </c>
    </row>
    <row r="490" spans="1:40" ht="19.2" customHeight="1" x14ac:dyDescent="0.3">
      <c r="A490" t="s">
        <v>3657</v>
      </c>
      <c r="B490" t="s">
        <v>3658</v>
      </c>
      <c r="C490" t="s">
        <v>3659</v>
      </c>
      <c r="D490" s="24" t="s">
        <v>3660</v>
      </c>
      <c r="E490" t="s">
        <v>3661</v>
      </c>
      <c r="F490">
        <v>2015</v>
      </c>
      <c r="G490">
        <f>IF(OR(Mentors[[#This Row],[Career Start Year]]="NA",ISBLANK(Mentors[[#This Row],[Career Start Year]])),"",2026 - Mentors[[#This Row],[Career Start Year]])</f>
        <v>11</v>
      </c>
      <c r="H49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90" t="s">
        <v>51</v>
      </c>
      <c r="J490" t="s">
        <v>52</v>
      </c>
      <c r="K490" t="s">
        <v>3662</v>
      </c>
      <c r="L490" s="17">
        <v>8087323146</v>
      </c>
      <c r="M490" s="19">
        <v>45658</v>
      </c>
      <c r="O490" t="s">
        <v>0</v>
      </c>
      <c r="Q490" t="s">
        <v>54</v>
      </c>
      <c r="R490" t="s">
        <v>63</v>
      </c>
      <c r="S490" t="s">
        <v>63</v>
      </c>
      <c r="T490" t="s">
        <v>77</v>
      </c>
      <c r="U490" t="s">
        <v>65</v>
      </c>
      <c r="V490" s="4" t="s">
        <v>256</v>
      </c>
      <c r="W490" t="s">
        <v>79</v>
      </c>
      <c r="X490" t="s">
        <v>59</v>
      </c>
      <c r="Z490" t="s">
        <v>61</v>
      </c>
      <c r="AA490" t="s">
        <v>62</v>
      </c>
      <c r="AB490">
        <v>1</v>
      </c>
      <c r="AD490" t="s">
        <v>63</v>
      </c>
      <c r="AE490" t="s">
        <v>63</v>
      </c>
      <c r="AF490" t="s">
        <v>54</v>
      </c>
      <c r="AG490" t="s">
        <v>63</v>
      </c>
      <c r="AH490" t="s">
        <v>152</v>
      </c>
      <c r="AI490" t="s">
        <v>412</v>
      </c>
      <c r="AJ490" t="s">
        <v>54</v>
      </c>
      <c r="AK490" t="s">
        <v>3663</v>
      </c>
      <c r="AL490" t="s">
        <v>3664</v>
      </c>
      <c r="AN490" s="19">
        <f>IF(ISBLANK(Mentors[[#This Row],[Onboarded Date]]),"",Mentors[[#This Row],[Onboarded Date]]-WEEKDAY(Mentors[[#This Row],[Onboarded Date]],2)+1)</f>
        <v>45656</v>
      </c>
    </row>
    <row r="491" spans="1:40" ht="19.2" customHeight="1" x14ac:dyDescent="0.3">
      <c r="A491" t="s">
        <v>3665</v>
      </c>
      <c r="B491" t="s">
        <v>396</v>
      </c>
      <c r="C491" t="s">
        <v>3666</v>
      </c>
      <c r="D491" s="24" t="s">
        <v>3667</v>
      </c>
      <c r="E491" s="7" t="s">
        <v>3668</v>
      </c>
      <c r="F491">
        <v>2009</v>
      </c>
      <c r="G491">
        <f>IF(OR(Mentors[[#This Row],[Career Start Year]]="NA",ISBLANK(Mentors[[#This Row],[Career Start Year]])),"",2026 - Mentors[[#This Row],[Career Start Year]])</f>
        <v>17</v>
      </c>
      <c r="H49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491" t="s">
        <v>51</v>
      </c>
      <c r="J491" t="s">
        <v>88</v>
      </c>
      <c r="K491" t="s">
        <v>3669</v>
      </c>
      <c r="L491" s="17">
        <v>8886665003</v>
      </c>
      <c r="M491" s="19">
        <v>45658</v>
      </c>
      <c r="O491" t="s">
        <v>0</v>
      </c>
      <c r="Q491" t="s">
        <v>54</v>
      </c>
      <c r="R491" t="s">
        <v>63</v>
      </c>
      <c r="S491" t="s">
        <v>63</v>
      </c>
      <c r="T491" t="s">
        <v>110</v>
      </c>
      <c r="U491" t="s">
        <v>77</v>
      </c>
      <c r="V491" t="s">
        <v>78</v>
      </c>
      <c r="W491" t="s">
        <v>79</v>
      </c>
      <c r="Z491" t="s">
        <v>81</v>
      </c>
      <c r="AA491" t="s">
        <v>62</v>
      </c>
      <c r="AB491">
        <v>1</v>
      </c>
      <c r="AD491" t="s">
        <v>54</v>
      </c>
      <c r="AE491" t="s">
        <v>63</v>
      </c>
      <c r="AF491" t="s">
        <v>54</v>
      </c>
      <c r="AG491" t="s">
        <v>54</v>
      </c>
      <c r="AH491" t="s">
        <v>152</v>
      </c>
      <c r="AI491" t="s">
        <v>122</v>
      </c>
      <c r="AJ491" t="s">
        <v>54</v>
      </c>
      <c r="AK491" t="s">
        <v>3670</v>
      </c>
      <c r="AL491" t="s">
        <v>3671</v>
      </c>
      <c r="AN491" s="19">
        <f>IF(ISBLANK(Mentors[[#This Row],[Onboarded Date]]),"",Mentors[[#This Row],[Onboarded Date]]-WEEKDAY(Mentors[[#This Row],[Onboarded Date]],2)+1)</f>
        <v>45656</v>
      </c>
    </row>
    <row r="492" spans="1:40" ht="19.2" customHeight="1" x14ac:dyDescent="0.3">
      <c r="A492" t="s">
        <v>3672</v>
      </c>
      <c r="B492" t="s">
        <v>3673</v>
      </c>
      <c r="C492" t="s">
        <v>3674</v>
      </c>
      <c r="D492" s="24" t="s">
        <v>3675</v>
      </c>
      <c r="E492" t="s">
        <v>3676</v>
      </c>
      <c r="F492">
        <v>2010</v>
      </c>
      <c r="G492">
        <f>IF(OR(Mentors[[#This Row],[Career Start Year]]="NA",ISBLANK(Mentors[[#This Row],[Career Start Year]])),"",2026 - Mentors[[#This Row],[Career Start Year]])</f>
        <v>16</v>
      </c>
      <c r="H49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492" t="s">
        <v>51</v>
      </c>
      <c r="J492" t="s">
        <v>118</v>
      </c>
      <c r="K492" t="s">
        <v>3677</v>
      </c>
      <c r="L492" s="17">
        <v>9757426699</v>
      </c>
      <c r="M492" s="19">
        <v>45658</v>
      </c>
      <c r="N492" t="s">
        <v>3678</v>
      </c>
      <c r="O492" t="s">
        <v>0</v>
      </c>
      <c r="Q492" t="s">
        <v>63</v>
      </c>
      <c r="R492" t="s">
        <v>63</v>
      </c>
      <c r="S492" t="s">
        <v>63</v>
      </c>
      <c r="T492" t="s">
        <v>2543</v>
      </c>
      <c r="U492" t="s">
        <v>65</v>
      </c>
      <c r="V492" t="s">
        <v>306</v>
      </c>
      <c r="W492" t="s">
        <v>79</v>
      </c>
      <c r="X492" t="s">
        <v>80</v>
      </c>
      <c r="Y492" t="s">
        <v>59</v>
      </c>
      <c r="Z492" t="s">
        <v>61</v>
      </c>
      <c r="AA492" t="s">
        <v>62</v>
      </c>
      <c r="AB492">
        <v>1</v>
      </c>
      <c r="AD492" t="s">
        <v>54</v>
      </c>
      <c r="AE492" t="s">
        <v>63</v>
      </c>
      <c r="AF492" t="s">
        <v>54</v>
      </c>
      <c r="AG492" t="s">
        <v>63</v>
      </c>
      <c r="AH492" t="s">
        <v>65</v>
      </c>
      <c r="AI492" t="s">
        <v>412</v>
      </c>
      <c r="AJ492" t="s">
        <v>54</v>
      </c>
      <c r="AK492" t="s">
        <v>3679</v>
      </c>
      <c r="AL492" t="s">
        <v>3680</v>
      </c>
      <c r="AN492" s="19">
        <f>IF(ISBLANK(Mentors[[#This Row],[Onboarded Date]]),"",Mentors[[#This Row],[Onboarded Date]]-WEEKDAY(Mentors[[#This Row],[Onboarded Date]],2)+1)</f>
        <v>45656</v>
      </c>
    </row>
    <row r="493" spans="1:40" ht="19.2" customHeight="1" x14ac:dyDescent="0.3">
      <c r="A493" t="s">
        <v>3681</v>
      </c>
      <c r="B493" t="s">
        <v>3682</v>
      </c>
      <c r="C493" t="s">
        <v>3683</v>
      </c>
      <c r="D493" s="24" t="s">
        <v>3684</v>
      </c>
      <c r="E493" t="s">
        <v>3685</v>
      </c>
      <c r="F493">
        <v>2012</v>
      </c>
      <c r="G493">
        <f>IF(OR(Mentors[[#This Row],[Career Start Year]]="NA",ISBLANK(Mentors[[#This Row],[Career Start Year]])),"",2026 - Mentors[[#This Row],[Career Start Year]])</f>
        <v>14</v>
      </c>
      <c r="H49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93" t="s">
        <v>51</v>
      </c>
      <c r="J493" t="s">
        <v>280</v>
      </c>
      <c r="K493" t="s">
        <v>3686</v>
      </c>
      <c r="L493" s="17">
        <v>8469999980</v>
      </c>
      <c r="M493" s="19">
        <v>45658</v>
      </c>
      <c r="N493" t="s">
        <v>3678</v>
      </c>
      <c r="O493" t="s">
        <v>0</v>
      </c>
      <c r="Q493" t="s">
        <v>63</v>
      </c>
      <c r="R493" t="s">
        <v>63</v>
      </c>
      <c r="S493" t="s">
        <v>63</v>
      </c>
      <c r="T493" t="s">
        <v>187</v>
      </c>
      <c r="U493" t="s">
        <v>79</v>
      </c>
      <c r="V493" t="s">
        <v>644</v>
      </c>
      <c r="W493" t="s">
        <v>79</v>
      </c>
      <c r="Z493" t="s">
        <v>81</v>
      </c>
      <c r="AA493" t="s">
        <v>62</v>
      </c>
      <c r="AB493">
        <v>1</v>
      </c>
      <c r="AD493" t="s">
        <v>54</v>
      </c>
      <c r="AE493" t="s">
        <v>63</v>
      </c>
      <c r="AF493" t="s">
        <v>54</v>
      </c>
      <c r="AG493" t="s">
        <v>63</v>
      </c>
      <c r="AH493" t="s">
        <v>152</v>
      </c>
      <c r="AI493" t="s">
        <v>132</v>
      </c>
      <c r="AJ493" t="s">
        <v>54</v>
      </c>
      <c r="AK493" t="s">
        <v>3687</v>
      </c>
      <c r="AL493" t="s">
        <v>3688</v>
      </c>
      <c r="AN493" s="19">
        <f>IF(ISBLANK(Mentors[[#This Row],[Onboarded Date]]),"",Mentors[[#This Row],[Onboarded Date]]-WEEKDAY(Mentors[[#This Row],[Onboarded Date]],2)+1)</f>
        <v>45656</v>
      </c>
    </row>
    <row r="494" spans="1:40" ht="19.2" customHeight="1" x14ac:dyDescent="0.3">
      <c r="A494" t="s">
        <v>3689</v>
      </c>
      <c r="B494" t="s">
        <v>94</v>
      </c>
      <c r="C494" t="s">
        <v>3690</v>
      </c>
      <c r="D494" s="24" t="s">
        <v>3691</v>
      </c>
      <c r="E494" t="s">
        <v>3692</v>
      </c>
      <c r="F494">
        <v>2000</v>
      </c>
      <c r="G494">
        <f>IF(OR(Mentors[[#This Row],[Career Start Year]]="NA",ISBLANK(Mentors[[#This Row],[Career Start Year]])),"",2026 - Mentors[[#This Row],[Career Start Year]])</f>
        <v>26</v>
      </c>
      <c r="H49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94" t="s">
        <v>51</v>
      </c>
      <c r="J494" t="s">
        <v>88</v>
      </c>
      <c r="K494" t="s">
        <v>3693</v>
      </c>
      <c r="L494" s="17">
        <v>9652233656</v>
      </c>
      <c r="M494" s="19">
        <v>45658</v>
      </c>
      <c r="O494" t="s">
        <v>0</v>
      </c>
      <c r="Q494" t="s">
        <v>63</v>
      </c>
      <c r="R494" t="s">
        <v>54</v>
      </c>
      <c r="S494" t="s">
        <v>54</v>
      </c>
      <c r="T494" t="s">
        <v>76</v>
      </c>
      <c r="U494" t="s">
        <v>99</v>
      </c>
      <c r="V494" t="s">
        <v>78</v>
      </c>
      <c r="W494" t="s">
        <v>79</v>
      </c>
      <c r="Z494" t="s">
        <v>61</v>
      </c>
      <c r="AA494" t="s">
        <v>62</v>
      </c>
      <c r="AB494">
        <v>1</v>
      </c>
      <c r="AD494" t="s">
        <v>63</v>
      </c>
      <c r="AE494" t="s">
        <v>54</v>
      </c>
      <c r="AF494" t="s">
        <v>63</v>
      </c>
      <c r="AG494" t="s">
        <v>63</v>
      </c>
      <c r="AH494" t="s">
        <v>94</v>
      </c>
      <c r="AI494" t="s">
        <v>248</v>
      </c>
      <c r="AJ494" t="s">
        <v>54</v>
      </c>
      <c r="AK494" t="s">
        <v>3694</v>
      </c>
      <c r="AL494" t="s">
        <v>3695</v>
      </c>
      <c r="AN494" s="19">
        <f>IF(ISBLANK(Mentors[[#This Row],[Onboarded Date]]),"",Mentors[[#This Row],[Onboarded Date]]-WEEKDAY(Mentors[[#This Row],[Onboarded Date]],2)+1)</f>
        <v>45656</v>
      </c>
    </row>
    <row r="495" spans="1:40" ht="19.2" customHeight="1" x14ac:dyDescent="0.3">
      <c r="A495" t="s">
        <v>3696</v>
      </c>
      <c r="B495" t="s">
        <v>3697</v>
      </c>
      <c r="C495" t="s">
        <v>3698</v>
      </c>
      <c r="D495" s="24" t="s">
        <v>3699</v>
      </c>
      <c r="E495" t="s">
        <v>3700</v>
      </c>
      <c r="F495">
        <v>2019</v>
      </c>
      <c r="G495">
        <f>IF(OR(Mentors[[#This Row],[Career Start Year]]="NA",ISBLANK(Mentors[[#This Row],[Career Start Year]])),"",2026 - Mentors[[#This Row],[Career Start Year]])</f>
        <v>7</v>
      </c>
      <c r="H49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495" t="s">
        <v>51</v>
      </c>
      <c r="J495" t="s">
        <v>196</v>
      </c>
      <c r="K495" t="s">
        <v>3701</v>
      </c>
      <c r="L495" s="17">
        <v>9686772250</v>
      </c>
      <c r="M495" s="19">
        <v>45658</v>
      </c>
      <c r="O495" t="s">
        <v>0</v>
      </c>
      <c r="Q495" t="s">
        <v>54</v>
      </c>
      <c r="R495" t="s">
        <v>63</v>
      </c>
      <c r="S495" t="s">
        <v>63</v>
      </c>
      <c r="T495" t="s">
        <v>187</v>
      </c>
      <c r="U495" t="s">
        <v>65</v>
      </c>
      <c r="V495" t="s">
        <v>57</v>
      </c>
      <c r="W495" t="s">
        <v>79</v>
      </c>
      <c r="X495" t="s">
        <v>59</v>
      </c>
      <c r="Z495" t="s">
        <v>81</v>
      </c>
      <c r="AA495" t="s">
        <v>62</v>
      </c>
      <c r="AB495">
        <v>1</v>
      </c>
      <c r="AD495" t="s">
        <v>63</v>
      </c>
      <c r="AE495" t="s">
        <v>63</v>
      </c>
      <c r="AF495" t="s">
        <v>54</v>
      </c>
      <c r="AG495" t="s">
        <v>63</v>
      </c>
      <c r="AH495" t="s">
        <v>65</v>
      </c>
      <c r="AI495" t="s">
        <v>132</v>
      </c>
      <c r="AJ495" t="s">
        <v>54</v>
      </c>
      <c r="AK495" t="s">
        <v>3702</v>
      </c>
      <c r="AL495" t="s">
        <v>3703</v>
      </c>
      <c r="AN495" s="19">
        <f>IF(ISBLANK(Mentors[[#This Row],[Onboarded Date]]),"",Mentors[[#This Row],[Onboarded Date]]-WEEKDAY(Mentors[[#This Row],[Onboarded Date]],2)+1)</f>
        <v>45656</v>
      </c>
    </row>
    <row r="496" spans="1:40" ht="19.2" customHeight="1" x14ac:dyDescent="0.3">
      <c r="A496" t="s">
        <v>3704</v>
      </c>
      <c r="B496" t="s">
        <v>3705</v>
      </c>
      <c r="C496" t="s">
        <v>85</v>
      </c>
      <c r="D496" s="24" t="s">
        <v>3706</v>
      </c>
      <c r="E496" t="s">
        <v>3707</v>
      </c>
      <c r="F496">
        <v>2013</v>
      </c>
      <c r="G496">
        <f>IF(OR(Mentors[[#This Row],[Career Start Year]]="NA",ISBLANK(Mentors[[#This Row],[Career Start Year]])),"",2026 - Mentors[[#This Row],[Career Start Year]])</f>
        <v>13</v>
      </c>
      <c r="H49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96" t="s">
        <v>51</v>
      </c>
      <c r="J496" t="s">
        <v>196</v>
      </c>
      <c r="K496" t="s">
        <v>3708</v>
      </c>
      <c r="L496" s="17">
        <v>9432151648</v>
      </c>
      <c r="M496" s="19">
        <v>45658</v>
      </c>
      <c r="O496" t="s">
        <v>0</v>
      </c>
      <c r="Q496" t="s">
        <v>54</v>
      </c>
      <c r="R496" t="s">
        <v>63</v>
      </c>
      <c r="S496" t="s">
        <v>63</v>
      </c>
      <c r="T496" s="4" t="s">
        <v>90</v>
      </c>
      <c r="U496" t="s">
        <v>77</v>
      </c>
      <c r="V496" t="s">
        <v>57</v>
      </c>
      <c r="W496" t="s">
        <v>79</v>
      </c>
      <c r="X496" t="s">
        <v>59</v>
      </c>
      <c r="Y496" t="s">
        <v>230</v>
      </c>
      <c r="Z496" t="s">
        <v>61</v>
      </c>
      <c r="AA496" t="s">
        <v>62</v>
      </c>
      <c r="AB496">
        <v>1</v>
      </c>
      <c r="AD496" t="s">
        <v>54</v>
      </c>
      <c r="AE496" t="s">
        <v>63</v>
      </c>
      <c r="AF496" t="s">
        <v>54</v>
      </c>
      <c r="AG496" t="s">
        <v>54</v>
      </c>
      <c r="AH496" t="s">
        <v>65</v>
      </c>
      <c r="AI496" t="s">
        <v>132</v>
      </c>
      <c r="AJ496" t="s">
        <v>54</v>
      </c>
      <c r="AK496" t="s">
        <v>3709</v>
      </c>
      <c r="AL496" t="s">
        <v>3710</v>
      </c>
      <c r="AN496" s="19">
        <f>IF(ISBLANK(Mentors[[#This Row],[Onboarded Date]]),"",Mentors[[#This Row],[Onboarded Date]]-WEEKDAY(Mentors[[#This Row],[Onboarded Date]],2)+1)</f>
        <v>45656</v>
      </c>
    </row>
    <row r="497" spans="1:40" ht="19.2" customHeight="1" x14ac:dyDescent="0.3">
      <c r="A497" t="s">
        <v>3711</v>
      </c>
      <c r="B497" t="s">
        <v>3712</v>
      </c>
      <c r="C497" t="s">
        <v>3713</v>
      </c>
      <c r="D497" s="24" t="s">
        <v>3714</v>
      </c>
      <c r="E497" t="s">
        <v>3715</v>
      </c>
      <c r="F497">
        <v>2005</v>
      </c>
      <c r="G497">
        <f>IF(OR(Mentors[[#This Row],[Career Start Year]]="NA",ISBLANK(Mentors[[#This Row],[Career Start Year]])),"",2026 - Mentors[[#This Row],[Career Start Year]])</f>
        <v>21</v>
      </c>
      <c r="H49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497" t="s">
        <v>51</v>
      </c>
      <c r="J497" t="s">
        <v>140</v>
      </c>
      <c r="K497" t="s">
        <v>3716</v>
      </c>
      <c r="L497" s="17">
        <v>997110089</v>
      </c>
      <c r="M497" s="19">
        <v>45658</v>
      </c>
      <c r="O497" t="s">
        <v>0</v>
      </c>
      <c r="Q497" t="s">
        <v>54</v>
      </c>
      <c r="R497" t="s">
        <v>63</v>
      </c>
      <c r="S497" t="s">
        <v>63</v>
      </c>
      <c r="T497" t="s">
        <v>77</v>
      </c>
      <c r="U497" t="s">
        <v>65</v>
      </c>
      <c r="V497" t="s">
        <v>198</v>
      </c>
      <c r="W497" t="s">
        <v>79</v>
      </c>
      <c r="X497" t="s">
        <v>59</v>
      </c>
      <c r="Z497" t="s">
        <v>61</v>
      </c>
      <c r="AA497" t="s">
        <v>62</v>
      </c>
      <c r="AB497">
        <v>1</v>
      </c>
      <c r="AD497" t="s">
        <v>54</v>
      </c>
      <c r="AE497" t="s">
        <v>54</v>
      </c>
      <c r="AF497" t="s">
        <v>54</v>
      </c>
      <c r="AG497" t="s">
        <v>54</v>
      </c>
      <c r="AH497" t="s">
        <v>131</v>
      </c>
      <c r="AI497" t="s">
        <v>1064</v>
      </c>
      <c r="AJ497" t="s">
        <v>54</v>
      </c>
      <c r="AK497" t="s">
        <v>3717</v>
      </c>
      <c r="AL497" t="s">
        <v>3718</v>
      </c>
      <c r="AN497" s="19">
        <f>IF(ISBLANK(Mentors[[#This Row],[Onboarded Date]]),"",Mentors[[#This Row],[Onboarded Date]]-WEEKDAY(Mentors[[#This Row],[Onboarded Date]],2)+1)</f>
        <v>45656</v>
      </c>
    </row>
    <row r="498" spans="1:40" ht="19.2" customHeight="1" x14ac:dyDescent="0.3">
      <c r="A498" t="s">
        <v>3719</v>
      </c>
      <c r="B498" t="s">
        <v>152</v>
      </c>
      <c r="C498" t="s">
        <v>3720</v>
      </c>
      <c r="D498" s="24" t="s">
        <v>3721</v>
      </c>
      <c r="E498" t="s">
        <v>3722</v>
      </c>
      <c r="F498">
        <v>2016</v>
      </c>
      <c r="G498">
        <f>IF(OR(Mentors[[#This Row],[Career Start Year]]="NA",ISBLANK(Mentors[[#This Row],[Career Start Year]])),"",2026 - Mentors[[#This Row],[Career Start Year]])</f>
        <v>10</v>
      </c>
      <c r="H49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498" t="s">
        <v>51</v>
      </c>
      <c r="J498" t="s">
        <v>140</v>
      </c>
      <c r="K498" t="s">
        <v>3723</v>
      </c>
      <c r="L498" s="17" t="s">
        <v>3724</v>
      </c>
      <c r="M498" s="19">
        <v>45658</v>
      </c>
      <c r="O498" t="s">
        <v>0</v>
      </c>
      <c r="Q498" t="s">
        <v>54</v>
      </c>
      <c r="R498" t="s">
        <v>63</v>
      </c>
      <c r="S498" t="s">
        <v>63</v>
      </c>
      <c r="T498" t="s">
        <v>381</v>
      </c>
      <c r="U498" t="s">
        <v>77</v>
      </c>
      <c r="V498" s="4" t="s">
        <v>256</v>
      </c>
      <c r="W498" t="s">
        <v>79</v>
      </c>
      <c r="X498" t="s">
        <v>59</v>
      </c>
      <c r="Z498" t="s">
        <v>101</v>
      </c>
      <c r="AA498" t="s">
        <v>62</v>
      </c>
      <c r="AB498">
        <v>1</v>
      </c>
      <c r="AD498" t="s">
        <v>54</v>
      </c>
      <c r="AE498" t="s">
        <v>63</v>
      </c>
      <c r="AF498" t="s">
        <v>64</v>
      </c>
      <c r="AG498" t="s">
        <v>54</v>
      </c>
      <c r="AH498" t="s">
        <v>152</v>
      </c>
      <c r="AI498" t="s">
        <v>132</v>
      </c>
      <c r="AJ498" t="s">
        <v>54</v>
      </c>
      <c r="AK498" t="s">
        <v>3725</v>
      </c>
      <c r="AL498" t="s">
        <v>3726</v>
      </c>
      <c r="AN498" s="19">
        <f>IF(ISBLANK(Mentors[[#This Row],[Onboarded Date]]),"",Mentors[[#This Row],[Onboarded Date]]-WEEKDAY(Mentors[[#This Row],[Onboarded Date]],2)+1)</f>
        <v>45656</v>
      </c>
    </row>
    <row r="499" spans="1:40" ht="19.2" customHeight="1" x14ac:dyDescent="0.3">
      <c r="A499" t="s">
        <v>3727</v>
      </c>
      <c r="B499" t="s">
        <v>3728</v>
      </c>
      <c r="C499" t="s">
        <v>3729</v>
      </c>
      <c r="D499" s="24" t="s">
        <v>3730</v>
      </c>
      <c r="E499" t="s">
        <v>3731</v>
      </c>
      <c r="F499">
        <v>2011</v>
      </c>
      <c r="G499">
        <f>IF(OR(Mentors[[#This Row],[Career Start Year]]="NA",ISBLANK(Mentors[[#This Row],[Career Start Year]])),"",2026 - Mentors[[#This Row],[Career Start Year]])</f>
        <v>15</v>
      </c>
      <c r="H49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499" t="s">
        <v>51</v>
      </c>
      <c r="J499" t="s">
        <v>140</v>
      </c>
      <c r="K499" t="s">
        <v>3732</v>
      </c>
      <c r="L499" s="17">
        <v>9503801738</v>
      </c>
      <c r="M499" s="19">
        <v>45658</v>
      </c>
      <c r="O499" t="s">
        <v>0</v>
      </c>
      <c r="Q499" t="s">
        <v>54</v>
      </c>
      <c r="R499" t="s">
        <v>63</v>
      </c>
      <c r="S499" t="s">
        <v>63</v>
      </c>
      <c r="T499" s="4" t="s">
        <v>756</v>
      </c>
      <c r="U499" t="s">
        <v>445</v>
      </c>
      <c r="V499" t="s">
        <v>481</v>
      </c>
      <c r="W499" t="s">
        <v>57</v>
      </c>
      <c r="Z499" t="s">
        <v>81</v>
      </c>
      <c r="AA499" t="s">
        <v>62</v>
      </c>
      <c r="AB499">
        <v>1</v>
      </c>
      <c r="AD499" t="s">
        <v>63</v>
      </c>
      <c r="AE499" t="s">
        <v>54</v>
      </c>
      <c r="AF499" t="s">
        <v>54</v>
      </c>
      <c r="AG499" t="s">
        <v>54</v>
      </c>
      <c r="AH499" t="s">
        <v>131</v>
      </c>
      <c r="AI499" t="s">
        <v>412</v>
      </c>
      <c r="AJ499" t="s">
        <v>54</v>
      </c>
      <c r="AK499" t="s">
        <v>3733</v>
      </c>
      <c r="AL499" t="s">
        <v>3734</v>
      </c>
      <c r="AN499" s="19">
        <f>IF(ISBLANK(Mentors[[#This Row],[Onboarded Date]]),"",Mentors[[#This Row],[Onboarded Date]]-WEEKDAY(Mentors[[#This Row],[Onboarded Date]],2)+1)</f>
        <v>45656</v>
      </c>
    </row>
    <row r="500" spans="1:40" ht="19.2" customHeight="1" x14ac:dyDescent="0.3">
      <c r="A500" t="s">
        <v>3735</v>
      </c>
      <c r="B500" t="s">
        <v>152</v>
      </c>
      <c r="C500" t="s">
        <v>3736</v>
      </c>
      <c r="D500" s="24" t="s">
        <v>3737</v>
      </c>
      <c r="E500" t="s">
        <v>3738</v>
      </c>
      <c r="F500">
        <v>2013</v>
      </c>
      <c r="G500">
        <f>IF(OR(Mentors[[#This Row],[Career Start Year]]="NA",ISBLANK(Mentors[[#This Row],[Career Start Year]])),"",2026 - Mentors[[#This Row],[Career Start Year]])</f>
        <v>13</v>
      </c>
      <c r="H50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00" t="s">
        <v>51</v>
      </c>
      <c r="J500" t="s">
        <v>140</v>
      </c>
      <c r="K500" t="s">
        <v>3739</v>
      </c>
      <c r="L500" s="17">
        <v>8800796896</v>
      </c>
      <c r="M500" s="19">
        <v>45658</v>
      </c>
      <c r="O500" t="s">
        <v>0</v>
      </c>
      <c r="Q500" t="s">
        <v>54</v>
      </c>
      <c r="R500" t="s">
        <v>54</v>
      </c>
      <c r="S500" t="s">
        <v>63</v>
      </c>
      <c r="T500" t="s">
        <v>187</v>
      </c>
      <c r="U500" t="s">
        <v>56</v>
      </c>
      <c r="V500" t="s">
        <v>78</v>
      </c>
      <c r="W500" t="s">
        <v>57</v>
      </c>
      <c r="Z500" t="s">
        <v>81</v>
      </c>
      <c r="AA500" t="s">
        <v>62</v>
      </c>
      <c r="AB500">
        <v>1</v>
      </c>
      <c r="AD500" t="s">
        <v>63</v>
      </c>
      <c r="AE500" t="s">
        <v>63</v>
      </c>
      <c r="AF500" t="s">
        <v>64</v>
      </c>
      <c r="AG500" t="s">
        <v>54</v>
      </c>
      <c r="AH500" t="s">
        <v>152</v>
      </c>
      <c r="AI500" t="s">
        <v>132</v>
      </c>
      <c r="AJ500" t="s">
        <v>54</v>
      </c>
      <c r="AK500" t="s">
        <v>3740</v>
      </c>
      <c r="AL500" t="s">
        <v>382</v>
      </c>
      <c r="AN500" s="19">
        <f>IF(ISBLANK(Mentors[[#This Row],[Onboarded Date]]),"",Mentors[[#This Row],[Onboarded Date]]-WEEKDAY(Mentors[[#This Row],[Onboarded Date]],2)+1)</f>
        <v>45656</v>
      </c>
    </row>
    <row r="501" spans="1:40" ht="19.2" customHeight="1" x14ac:dyDescent="0.3">
      <c r="A501" t="s">
        <v>3741</v>
      </c>
      <c r="B501" t="s">
        <v>3742</v>
      </c>
      <c r="C501" t="s">
        <v>350</v>
      </c>
      <c r="D501" s="24" t="s">
        <v>3743</v>
      </c>
      <c r="E501" t="s">
        <v>3744</v>
      </c>
      <c r="F501">
        <v>2001</v>
      </c>
      <c r="G501">
        <f>IF(OR(Mentors[[#This Row],[Career Start Year]]="NA",ISBLANK(Mentors[[#This Row],[Career Start Year]])),"",2026 - Mentors[[#This Row],[Career Start Year]])</f>
        <v>25</v>
      </c>
      <c r="H50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01" t="s">
        <v>51</v>
      </c>
      <c r="J501" t="s">
        <v>196</v>
      </c>
      <c r="K501" t="s">
        <v>3745</v>
      </c>
      <c r="L501" s="17">
        <v>9629316679</v>
      </c>
      <c r="M501" s="19">
        <v>45658</v>
      </c>
      <c r="N501" t="s">
        <v>3678</v>
      </c>
      <c r="O501" t="s">
        <v>0</v>
      </c>
      <c r="Q501" t="s">
        <v>54</v>
      </c>
      <c r="R501" t="s">
        <v>63</v>
      </c>
      <c r="S501" t="s">
        <v>63</v>
      </c>
      <c r="T501" t="s">
        <v>187</v>
      </c>
      <c r="U501" t="s">
        <v>79</v>
      </c>
      <c r="V501" t="s">
        <v>306</v>
      </c>
      <c r="W501" t="s">
        <v>79</v>
      </c>
      <c r="Z501" t="s">
        <v>61</v>
      </c>
      <c r="AA501" t="s">
        <v>62</v>
      </c>
      <c r="AB501">
        <v>1</v>
      </c>
      <c r="AD501" t="s">
        <v>63</v>
      </c>
      <c r="AE501" t="s">
        <v>54</v>
      </c>
      <c r="AF501" t="s">
        <v>64</v>
      </c>
      <c r="AG501" t="s">
        <v>54</v>
      </c>
      <c r="AH501" t="s">
        <v>65</v>
      </c>
      <c r="AI501" t="s">
        <v>412</v>
      </c>
      <c r="AJ501" t="s">
        <v>54</v>
      </c>
      <c r="AK501" t="s">
        <v>3746</v>
      </c>
      <c r="AL501" t="s">
        <v>3747</v>
      </c>
      <c r="AN501" s="19">
        <f>IF(ISBLANK(Mentors[[#This Row],[Onboarded Date]]),"",Mentors[[#This Row],[Onboarded Date]]-WEEKDAY(Mentors[[#This Row],[Onboarded Date]],2)+1)</f>
        <v>45656</v>
      </c>
    </row>
    <row r="502" spans="1:40" ht="19.2" customHeight="1" x14ac:dyDescent="0.3">
      <c r="A502" t="s">
        <v>3748</v>
      </c>
      <c r="B502" t="s">
        <v>3749</v>
      </c>
      <c r="C502" t="s">
        <v>3750</v>
      </c>
      <c r="D502" s="24" t="s">
        <v>3751</v>
      </c>
      <c r="E502" t="s">
        <v>3752</v>
      </c>
      <c r="F502">
        <v>1999</v>
      </c>
      <c r="G502">
        <f>IF(OR(Mentors[[#This Row],[Career Start Year]]="NA",ISBLANK(Mentors[[#This Row],[Career Start Year]])),"",2026 - Mentors[[#This Row],[Career Start Year]])</f>
        <v>27</v>
      </c>
      <c r="H50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02" t="s">
        <v>51</v>
      </c>
      <c r="J502" t="s">
        <v>196</v>
      </c>
      <c r="K502" t="s">
        <v>3753</v>
      </c>
      <c r="L502" s="17">
        <v>9900059820</v>
      </c>
      <c r="M502" s="19">
        <v>45658</v>
      </c>
      <c r="O502" t="s">
        <v>0</v>
      </c>
      <c r="Q502" t="s">
        <v>54</v>
      </c>
      <c r="R502" t="s">
        <v>63</v>
      </c>
      <c r="S502" t="s">
        <v>54</v>
      </c>
      <c r="T502" s="4" t="s">
        <v>756</v>
      </c>
      <c r="U502" t="s">
        <v>100</v>
      </c>
      <c r="V502" t="s">
        <v>57</v>
      </c>
      <c r="W502" t="s">
        <v>198</v>
      </c>
      <c r="X502" t="s">
        <v>59</v>
      </c>
      <c r="Z502" t="s">
        <v>61</v>
      </c>
      <c r="AA502" t="s">
        <v>62</v>
      </c>
      <c r="AB502">
        <v>1</v>
      </c>
      <c r="AD502" t="s">
        <v>63</v>
      </c>
      <c r="AE502" t="s">
        <v>54</v>
      </c>
      <c r="AF502" t="s">
        <v>64</v>
      </c>
      <c r="AG502" t="s">
        <v>54</v>
      </c>
      <c r="AH502" t="s">
        <v>131</v>
      </c>
      <c r="AI502" t="s">
        <v>412</v>
      </c>
      <c r="AJ502" t="s">
        <v>54</v>
      </c>
      <c r="AK502" t="s">
        <v>3754</v>
      </c>
      <c r="AL502" t="s">
        <v>3755</v>
      </c>
      <c r="AN502" s="19">
        <f>IF(ISBLANK(Mentors[[#This Row],[Onboarded Date]]),"",Mentors[[#This Row],[Onboarded Date]]-WEEKDAY(Mentors[[#This Row],[Onboarded Date]],2)+1)</f>
        <v>45656</v>
      </c>
    </row>
    <row r="503" spans="1:40" ht="19.2" customHeight="1" x14ac:dyDescent="0.3">
      <c r="A503" t="s">
        <v>3756</v>
      </c>
      <c r="B503" t="s">
        <v>3757</v>
      </c>
      <c r="C503" t="s">
        <v>3758</v>
      </c>
      <c r="D503" s="24" t="s">
        <v>3759</v>
      </c>
      <c r="E503" t="s">
        <v>3760</v>
      </c>
      <c r="F503">
        <v>1999</v>
      </c>
      <c r="G503">
        <f>IF(OR(Mentors[[#This Row],[Career Start Year]]="NA",ISBLANK(Mentors[[#This Row],[Career Start Year]])),"",2026 - Mentors[[#This Row],[Career Start Year]])</f>
        <v>27</v>
      </c>
      <c r="H50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03" t="s">
        <v>51</v>
      </c>
      <c r="J503" t="s">
        <v>1007</v>
      </c>
      <c r="K503" t="s">
        <v>3761</v>
      </c>
      <c r="L503" s="17">
        <v>9500696677</v>
      </c>
      <c r="M503" s="19">
        <v>45658</v>
      </c>
      <c r="N503" t="s">
        <v>3678</v>
      </c>
      <c r="O503" t="s">
        <v>0</v>
      </c>
      <c r="Q503" t="s">
        <v>54</v>
      </c>
      <c r="R503" t="s">
        <v>54</v>
      </c>
      <c r="S503" t="s">
        <v>54</v>
      </c>
      <c r="T503" t="s">
        <v>265</v>
      </c>
      <c r="U503" t="s">
        <v>79</v>
      </c>
      <c r="V503" t="s">
        <v>306</v>
      </c>
      <c r="W503" t="s">
        <v>79</v>
      </c>
      <c r="Z503" t="s">
        <v>61</v>
      </c>
      <c r="AA503" t="s">
        <v>62</v>
      </c>
      <c r="AB503">
        <v>1</v>
      </c>
      <c r="AD503" t="s">
        <v>54</v>
      </c>
      <c r="AE503" t="s">
        <v>54</v>
      </c>
      <c r="AF503" t="s">
        <v>64</v>
      </c>
      <c r="AG503" t="s">
        <v>54</v>
      </c>
      <c r="AH503" t="s">
        <v>65</v>
      </c>
      <c r="AI503" t="s">
        <v>122</v>
      </c>
      <c r="AJ503" t="s">
        <v>54</v>
      </c>
      <c r="AK503" t="s">
        <v>3762</v>
      </c>
      <c r="AL503" t="s">
        <v>3763</v>
      </c>
      <c r="AN503" s="19">
        <f>IF(ISBLANK(Mentors[[#This Row],[Onboarded Date]]),"",Mentors[[#This Row],[Onboarded Date]]-WEEKDAY(Mentors[[#This Row],[Onboarded Date]],2)+1)</f>
        <v>45656</v>
      </c>
    </row>
    <row r="504" spans="1:40" ht="19.2" customHeight="1" x14ac:dyDescent="0.3">
      <c r="A504" t="s">
        <v>3764</v>
      </c>
      <c r="B504" t="s">
        <v>3765</v>
      </c>
      <c r="C504" t="s">
        <v>3766</v>
      </c>
      <c r="D504" s="24" t="s">
        <v>3767</v>
      </c>
      <c r="E504" t="s">
        <v>3768</v>
      </c>
      <c r="F504">
        <v>1993</v>
      </c>
      <c r="G504">
        <f>IF(OR(Mentors[[#This Row],[Career Start Year]]="NA",ISBLANK(Mentors[[#This Row],[Career Start Year]])),"",2026 - Mentors[[#This Row],[Career Start Year]])</f>
        <v>33</v>
      </c>
      <c r="H50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04" t="s">
        <v>3517</v>
      </c>
      <c r="J504" t="s">
        <v>3769</v>
      </c>
      <c r="K504" s="7" t="s">
        <v>3770</v>
      </c>
      <c r="L504" s="17">
        <v>9008883646</v>
      </c>
      <c r="M504" s="19">
        <v>45658</v>
      </c>
      <c r="O504" t="s">
        <v>0</v>
      </c>
      <c r="Q504" t="s">
        <v>63</v>
      </c>
      <c r="R504" t="s">
        <v>63</v>
      </c>
      <c r="S504" t="s">
        <v>63</v>
      </c>
      <c r="T504" t="s">
        <v>77</v>
      </c>
      <c r="U504" t="s">
        <v>99</v>
      </c>
      <c r="V504" t="s">
        <v>57</v>
      </c>
      <c r="W504" t="s">
        <v>78</v>
      </c>
      <c r="X504" t="s">
        <v>80</v>
      </c>
      <c r="Y504" t="s">
        <v>59</v>
      </c>
      <c r="Z504" t="s">
        <v>61</v>
      </c>
      <c r="AA504" t="s">
        <v>62</v>
      </c>
      <c r="AB504">
        <v>1</v>
      </c>
      <c r="AD504" t="s">
        <v>54</v>
      </c>
      <c r="AE504" t="s">
        <v>54</v>
      </c>
      <c r="AF504" t="s">
        <v>64</v>
      </c>
      <c r="AG504" t="s">
        <v>54</v>
      </c>
      <c r="AH504" t="s">
        <v>94</v>
      </c>
      <c r="AI504" t="s">
        <v>66</v>
      </c>
      <c r="AJ504" t="s">
        <v>54</v>
      </c>
      <c r="AK504" t="s">
        <v>3771</v>
      </c>
      <c r="AL504" t="s">
        <v>3772</v>
      </c>
      <c r="AN504" s="19">
        <f>IF(ISBLANK(Mentors[[#This Row],[Onboarded Date]]),"",Mentors[[#This Row],[Onboarded Date]]-WEEKDAY(Mentors[[#This Row],[Onboarded Date]],2)+1)</f>
        <v>45656</v>
      </c>
    </row>
    <row r="505" spans="1:40" ht="19.2" customHeight="1" x14ac:dyDescent="0.3">
      <c r="A505" t="s">
        <v>3773</v>
      </c>
      <c r="D505" s="24" t="s">
        <v>3774</v>
      </c>
      <c r="E505" t="s">
        <v>3775</v>
      </c>
      <c r="F505">
        <v>2020</v>
      </c>
      <c r="G505">
        <f>IF(OR(Mentors[[#This Row],[Career Start Year]]="NA",ISBLANK(Mentors[[#This Row],[Career Start Year]])),"",2026 - Mentors[[#This Row],[Career Start Year]])</f>
        <v>6</v>
      </c>
      <c r="H50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505" t="s">
        <v>51</v>
      </c>
      <c r="J505" t="s">
        <v>999</v>
      </c>
      <c r="K505" t="s">
        <v>3776</v>
      </c>
      <c r="L505" s="17">
        <v>8765085225</v>
      </c>
      <c r="M505" s="19">
        <v>45658</v>
      </c>
      <c r="O505" t="s">
        <v>0</v>
      </c>
      <c r="Q505" t="s">
        <v>54</v>
      </c>
      <c r="R505" t="s">
        <v>63</v>
      </c>
      <c r="S505" t="s">
        <v>63</v>
      </c>
      <c r="T505" t="s">
        <v>77</v>
      </c>
      <c r="U505" t="s">
        <v>56</v>
      </c>
      <c r="V505" t="s">
        <v>256</v>
      </c>
      <c r="W505" t="s">
        <v>78</v>
      </c>
      <c r="X505" t="s">
        <v>80</v>
      </c>
      <c r="Y505" t="s">
        <v>59</v>
      </c>
      <c r="Z505" t="s">
        <v>61</v>
      </c>
      <c r="AA505" t="s">
        <v>62</v>
      </c>
      <c r="AB505">
        <v>1</v>
      </c>
      <c r="AD505" t="s">
        <v>63</v>
      </c>
      <c r="AE505" t="s">
        <v>63</v>
      </c>
      <c r="AG505" t="s">
        <v>54</v>
      </c>
      <c r="AH505" t="s">
        <v>152</v>
      </c>
      <c r="AI505" t="s">
        <v>248</v>
      </c>
      <c r="AJ505" t="s">
        <v>54</v>
      </c>
      <c r="AK505" t="s">
        <v>3777</v>
      </c>
      <c r="AL505" t="s">
        <v>3778</v>
      </c>
      <c r="AN505" s="19">
        <f>IF(ISBLANK(Mentors[[#This Row],[Onboarded Date]]),"",Mentors[[#This Row],[Onboarded Date]]-WEEKDAY(Mentors[[#This Row],[Onboarded Date]],2)+1)</f>
        <v>45656</v>
      </c>
    </row>
    <row r="506" spans="1:40" ht="19.2" customHeight="1" x14ac:dyDescent="0.3">
      <c r="A506" t="s">
        <v>3779</v>
      </c>
      <c r="B506" t="s">
        <v>3780</v>
      </c>
      <c r="C506" t="s">
        <v>3781</v>
      </c>
      <c r="D506" s="24" t="s">
        <v>3782</v>
      </c>
      <c r="E506" t="s">
        <v>3783</v>
      </c>
      <c r="F506">
        <v>2016</v>
      </c>
      <c r="G506">
        <f>IF(OR(Mentors[[#This Row],[Career Start Year]]="NA",ISBLANK(Mentors[[#This Row],[Career Start Year]])),"",2026 - Mentors[[#This Row],[Career Start Year]])</f>
        <v>10</v>
      </c>
      <c r="H50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506" t="s">
        <v>51</v>
      </c>
      <c r="J506" t="s">
        <v>88</v>
      </c>
      <c r="K506" t="s">
        <v>3784</v>
      </c>
      <c r="L506" s="17">
        <v>8500791805</v>
      </c>
      <c r="M506" s="19">
        <v>45658</v>
      </c>
      <c r="O506" t="s">
        <v>0</v>
      </c>
      <c r="Q506" t="s">
        <v>54</v>
      </c>
      <c r="R506" t="s">
        <v>54</v>
      </c>
      <c r="S506" t="s">
        <v>54</v>
      </c>
      <c r="T506" t="s">
        <v>77</v>
      </c>
      <c r="U506" t="s">
        <v>167</v>
      </c>
      <c r="V506" t="s">
        <v>78</v>
      </c>
      <c r="W506" t="s">
        <v>79</v>
      </c>
      <c r="X506" t="s">
        <v>59</v>
      </c>
      <c r="Z506" t="s">
        <v>61</v>
      </c>
      <c r="AA506" t="s">
        <v>62</v>
      </c>
      <c r="AB506">
        <v>1</v>
      </c>
      <c r="AD506" t="s">
        <v>54</v>
      </c>
      <c r="AE506" t="s">
        <v>54</v>
      </c>
      <c r="AG506" t="s">
        <v>54</v>
      </c>
      <c r="AH506" t="s">
        <v>65</v>
      </c>
      <c r="AI506" t="s">
        <v>248</v>
      </c>
      <c r="AJ506" t="s">
        <v>54</v>
      </c>
      <c r="AK506" t="s">
        <v>3785</v>
      </c>
      <c r="AL506" t="s">
        <v>3786</v>
      </c>
      <c r="AN506" s="19">
        <f>IF(ISBLANK(Mentors[[#This Row],[Onboarded Date]]),"",Mentors[[#This Row],[Onboarded Date]]-WEEKDAY(Mentors[[#This Row],[Onboarded Date]],2)+1)</f>
        <v>45656</v>
      </c>
    </row>
    <row r="507" spans="1:40" ht="19.2" customHeight="1" x14ac:dyDescent="0.3">
      <c r="A507" t="s">
        <v>3787</v>
      </c>
      <c r="B507" t="s">
        <v>3788</v>
      </c>
      <c r="C507" t="s">
        <v>3789</v>
      </c>
      <c r="D507" s="24" t="s">
        <v>3790</v>
      </c>
      <c r="E507" t="s">
        <v>3791</v>
      </c>
      <c r="F507">
        <v>2004</v>
      </c>
      <c r="G507">
        <f>IF(OR(Mentors[[#This Row],[Career Start Year]]="NA",ISBLANK(Mentors[[#This Row],[Career Start Year]])),"",2026 - Mentors[[#This Row],[Career Start Year]])</f>
        <v>22</v>
      </c>
      <c r="H50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07" t="s">
        <v>51</v>
      </c>
      <c r="J507" t="s">
        <v>196</v>
      </c>
      <c r="K507" t="s">
        <v>929</v>
      </c>
      <c r="L507" s="17">
        <v>9844083612</v>
      </c>
      <c r="M507" s="19">
        <v>45658</v>
      </c>
      <c r="O507" t="s">
        <v>0</v>
      </c>
      <c r="Q507" t="s">
        <v>63</v>
      </c>
      <c r="R507" t="s">
        <v>63</v>
      </c>
      <c r="S507" t="s">
        <v>63</v>
      </c>
      <c r="T507" t="s">
        <v>76</v>
      </c>
      <c r="U507" t="s">
        <v>77</v>
      </c>
      <c r="V507" t="s">
        <v>58</v>
      </c>
      <c r="W507" t="s">
        <v>78</v>
      </c>
      <c r="Z507" t="s">
        <v>81</v>
      </c>
      <c r="AA507" t="s">
        <v>62</v>
      </c>
      <c r="AB507">
        <v>1</v>
      </c>
      <c r="AD507" t="s">
        <v>54</v>
      </c>
      <c r="AE507" t="s">
        <v>63</v>
      </c>
      <c r="AF507" t="s">
        <v>64</v>
      </c>
      <c r="AG507" t="s">
        <v>54</v>
      </c>
      <c r="AH507" t="s">
        <v>152</v>
      </c>
      <c r="AI507" t="s">
        <v>412</v>
      </c>
      <c r="AJ507" t="s">
        <v>54</v>
      </c>
      <c r="AK507" t="s">
        <v>3792</v>
      </c>
      <c r="AL507" t="s">
        <v>3793</v>
      </c>
      <c r="AN507" s="19">
        <f>IF(ISBLANK(Mentors[[#This Row],[Onboarded Date]]),"",Mentors[[#This Row],[Onboarded Date]]-WEEKDAY(Mentors[[#This Row],[Onboarded Date]],2)+1)</f>
        <v>45656</v>
      </c>
    </row>
    <row r="508" spans="1:40" ht="19.2" customHeight="1" x14ac:dyDescent="0.3">
      <c r="A508" t="s">
        <v>3794</v>
      </c>
      <c r="B508" t="s">
        <v>152</v>
      </c>
      <c r="C508" t="s">
        <v>3795</v>
      </c>
      <c r="D508" s="24" t="s">
        <v>3796</v>
      </c>
      <c r="E508" t="s">
        <v>3797</v>
      </c>
      <c r="F508">
        <v>2001</v>
      </c>
      <c r="G508">
        <f>IF(OR(Mentors[[#This Row],[Career Start Year]]="NA",ISBLANK(Mentors[[#This Row],[Career Start Year]])),"",2026 - Mentors[[#This Row],[Career Start Year]])</f>
        <v>25</v>
      </c>
      <c r="H50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08" t="s">
        <v>51</v>
      </c>
      <c r="J508" t="s">
        <v>140</v>
      </c>
      <c r="K508" s="7" t="s">
        <v>3798</v>
      </c>
      <c r="L508" s="17">
        <v>7448220042</v>
      </c>
      <c r="M508" s="19">
        <v>45658</v>
      </c>
      <c r="O508" t="s">
        <v>0</v>
      </c>
      <c r="Q508" t="s">
        <v>63</v>
      </c>
      <c r="R508" t="s">
        <v>63</v>
      </c>
      <c r="S508" t="s">
        <v>63</v>
      </c>
      <c r="T508" t="s">
        <v>99</v>
      </c>
      <c r="U508" t="s">
        <v>76</v>
      </c>
      <c r="V508" t="s">
        <v>78</v>
      </c>
      <c r="W508" t="s">
        <v>57</v>
      </c>
      <c r="X508" t="s">
        <v>60</v>
      </c>
      <c r="Z508" t="s">
        <v>61</v>
      </c>
      <c r="AA508" t="s">
        <v>62</v>
      </c>
      <c r="AB508">
        <v>1</v>
      </c>
      <c r="AD508" t="s">
        <v>63</v>
      </c>
      <c r="AE508" t="s">
        <v>63</v>
      </c>
      <c r="AF508" t="s">
        <v>64</v>
      </c>
      <c r="AG508" t="s">
        <v>54</v>
      </c>
      <c r="AH508" t="s">
        <v>152</v>
      </c>
      <c r="AI508" t="s">
        <v>248</v>
      </c>
      <c r="AJ508" t="s">
        <v>54</v>
      </c>
      <c r="AK508" t="s">
        <v>3799</v>
      </c>
      <c r="AL508" t="s">
        <v>3800</v>
      </c>
      <c r="AN508" s="19">
        <f>IF(ISBLANK(Mentors[[#This Row],[Onboarded Date]]),"",Mentors[[#This Row],[Onboarded Date]]-WEEKDAY(Mentors[[#This Row],[Onboarded Date]],2)+1)</f>
        <v>45656</v>
      </c>
    </row>
    <row r="509" spans="1:40" ht="19.2" customHeight="1" x14ac:dyDescent="0.3">
      <c r="A509" t="s">
        <v>3801</v>
      </c>
      <c r="B509" t="s">
        <v>404</v>
      </c>
      <c r="C509" t="s">
        <v>3802</v>
      </c>
      <c r="D509" s="24" t="s">
        <v>3803</v>
      </c>
      <c r="E509" t="s">
        <v>3804</v>
      </c>
      <c r="F509">
        <v>2000</v>
      </c>
      <c r="G509">
        <f>IF(OR(Mentors[[#This Row],[Career Start Year]]="NA",ISBLANK(Mentors[[#This Row],[Career Start Year]])),"",2026 - Mentors[[#This Row],[Career Start Year]])</f>
        <v>26</v>
      </c>
      <c r="H50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09" t="s">
        <v>51</v>
      </c>
      <c r="J509" t="s">
        <v>52</v>
      </c>
      <c r="K509" t="s">
        <v>3805</v>
      </c>
      <c r="L509" s="17">
        <v>8600837901</v>
      </c>
      <c r="M509" s="19">
        <v>45658</v>
      </c>
      <c r="N509" t="s">
        <v>3678</v>
      </c>
      <c r="O509" t="s">
        <v>0</v>
      </c>
      <c r="Q509" t="s">
        <v>54</v>
      </c>
      <c r="R509" t="s">
        <v>54</v>
      </c>
      <c r="S509" t="s">
        <v>54</v>
      </c>
      <c r="T509" s="11" t="s">
        <v>247</v>
      </c>
      <c r="U509" t="s">
        <v>79</v>
      </c>
      <c r="V509" t="s">
        <v>306</v>
      </c>
      <c r="W509" t="s">
        <v>79</v>
      </c>
      <c r="X509" t="s">
        <v>59</v>
      </c>
      <c r="Z509" t="s">
        <v>101</v>
      </c>
      <c r="AA509" t="s">
        <v>62</v>
      </c>
      <c r="AB509">
        <v>1</v>
      </c>
      <c r="AD509" t="s">
        <v>54</v>
      </c>
      <c r="AE509" t="s">
        <v>54</v>
      </c>
      <c r="AF509" t="s">
        <v>64</v>
      </c>
      <c r="AG509" t="s">
        <v>54</v>
      </c>
      <c r="AH509" t="s">
        <v>65</v>
      </c>
      <c r="AI509" t="s">
        <v>248</v>
      </c>
      <c r="AJ509" t="s">
        <v>54</v>
      </c>
      <c r="AK509" t="s">
        <v>3806</v>
      </c>
      <c r="AL509" t="s">
        <v>3807</v>
      </c>
      <c r="AN509" s="19">
        <f>IF(ISBLANK(Mentors[[#This Row],[Onboarded Date]]),"",Mentors[[#This Row],[Onboarded Date]]-WEEKDAY(Mentors[[#This Row],[Onboarded Date]],2)+1)</f>
        <v>45656</v>
      </c>
    </row>
    <row r="510" spans="1:40" ht="19.2" customHeight="1" x14ac:dyDescent="0.3">
      <c r="A510" t="s">
        <v>3808</v>
      </c>
      <c r="B510" t="s">
        <v>3809</v>
      </c>
      <c r="C510" t="s">
        <v>1470</v>
      </c>
      <c r="D510" s="24" t="s">
        <v>3810</v>
      </c>
      <c r="E510" t="s">
        <v>3811</v>
      </c>
      <c r="F510">
        <v>2014</v>
      </c>
      <c r="G510">
        <f>IF(OR(Mentors[[#This Row],[Career Start Year]]="NA",ISBLANK(Mentors[[#This Row],[Career Start Year]])),"",2026 - Mentors[[#This Row],[Career Start Year]])</f>
        <v>12</v>
      </c>
      <c r="H51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10" t="s">
        <v>51</v>
      </c>
      <c r="J510" t="s">
        <v>1427</v>
      </c>
      <c r="K510" t="s">
        <v>3812</v>
      </c>
      <c r="L510" s="17">
        <v>7989253780</v>
      </c>
      <c r="M510" s="19">
        <v>45658</v>
      </c>
      <c r="N510" t="s">
        <v>3678</v>
      </c>
      <c r="O510" t="s">
        <v>0</v>
      </c>
      <c r="Q510" t="s">
        <v>54</v>
      </c>
      <c r="R510" t="s">
        <v>63</v>
      </c>
      <c r="S510" t="s">
        <v>54</v>
      </c>
      <c r="T510" t="s">
        <v>247</v>
      </c>
      <c r="U510" t="s">
        <v>79</v>
      </c>
      <c r="V510" t="s">
        <v>306</v>
      </c>
      <c r="W510" t="s">
        <v>79</v>
      </c>
      <c r="X510" t="s">
        <v>80</v>
      </c>
      <c r="Y510" t="s">
        <v>59</v>
      </c>
      <c r="Z510" t="s">
        <v>101</v>
      </c>
      <c r="AA510" t="s">
        <v>62</v>
      </c>
      <c r="AB510">
        <v>1</v>
      </c>
      <c r="AD510" t="s">
        <v>54</v>
      </c>
      <c r="AE510" t="s">
        <v>54</v>
      </c>
      <c r="AF510" t="s">
        <v>64</v>
      </c>
      <c r="AG510" t="s">
        <v>54</v>
      </c>
      <c r="AH510" t="s">
        <v>65</v>
      </c>
      <c r="AI510" t="s">
        <v>132</v>
      </c>
      <c r="AJ510" t="s">
        <v>54</v>
      </c>
      <c r="AK510" t="s">
        <v>3813</v>
      </c>
      <c r="AL510" t="s">
        <v>3814</v>
      </c>
      <c r="AN510" s="19">
        <f>IF(ISBLANK(Mentors[[#This Row],[Onboarded Date]]),"",Mentors[[#This Row],[Onboarded Date]]-WEEKDAY(Mentors[[#This Row],[Onboarded Date]],2)+1)</f>
        <v>45656</v>
      </c>
    </row>
    <row r="511" spans="1:40" ht="19.2" customHeight="1" x14ac:dyDescent="0.3">
      <c r="A511" t="s">
        <v>3815</v>
      </c>
      <c r="B511" t="s">
        <v>3482</v>
      </c>
      <c r="C511" t="s">
        <v>115</v>
      </c>
      <c r="D511" s="24" t="s">
        <v>3816</v>
      </c>
      <c r="E511" t="s">
        <v>3817</v>
      </c>
      <c r="F511">
        <v>1999</v>
      </c>
      <c r="G511">
        <f>IF(OR(Mentors[[#This Row],[Career Start Year]]="NA",ISBLANK(Mentors[[#This Row],[Career Start Year]])),"",2026 - Mentors[[#This Row],[Career Start Year]])</f>
        <v>27</v>
      </c>
      <c r="H51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11" t="s">
        <v>51</v>
      </c>
      <c r="J511" t="s">
        <v>74</v>
      </c>
      <c r="K511" t="s">
        <v>3818</v>
      </c>
      <c r="L511" s="17">
        <v>9582762505</v>
      </c>
      <c r="M511" s="19">
        <v>45658</v>
      </c>
      <c r="O511" t="s">
        <v>0</v>
      </c>
      <c r="Q511" t="s">
        <v>54</v>
      </c>
      <c r="R511" t="s">
        <v>63</v>
      </c>
      <c r="S511" t="s">
        <v>63</v>
      </c>
      <c r="T511" t="s">
        <v>56</v>
      </c>
      <c r="U511" t="s">
        <v>187</v>
      </c>
      <c r="V511" t="s">
        <v>78</v>
      </c>
      <c r="W511" t="s">
        <v>79</v>
      </c>
      <c r="Z511" t="s">
        <v>101</v>
      </c>
      <c r="AA511" t="s">
        <v>62</v>
      </c>
      <c r="AB511">
        <v>1</v>
      </c>
      <c r="AD511" t="s">
        <v>54</v>
      </c>
      <c r="AE511" t="s">
        <v>63</v>
      </c>
      <c r="AF511" t="s">
        <v>64</v>
      </c>
      <c r="AG511" t="s">
        <v>54</v>
      </c>
      <c r="AH511" t="s">
        <v>152</v>
      </c>
      <c r="AI511" t="s">
        <v>248</v>
      </c>
      <c r="AJ511" t="s">
        <v>54</v>
      </c>
      <c r="AK511" t="s">
        <v>3819</v>
      </c>
      <c r="AL511" t="s">
        <v>3820</v>
      </c>
      <c r="AN511" s="19">
        <f>IF(ISBLANK(Mentors[[#This Row],[Onboarded Date]]),"",Mentors[[#This Row],[Onboarded Date]]-WEEKDAY(Mentors[[#This Row],[Onboarded Date]],2)+1)</f>
        <v>45656</v>
      </c>
    </row>
    <row r="512" spans="1:40" ht="19.2" customHeight="1" x14ac:dyDescent="0.3">
      <c r="A512" t="s">
        <v>3821</v>
      </c>
      <c r="B512" t="s">
        <v>3822</v>
      </c>
      <c r="C512" t="s">
        <v>3823</v>
      </c>
      <c r="D512" s="24" t="s">
        <v>3824</v>
      </c>
      <c r="E512" t="s">
        <v>3825</v>
      </c>
      <c r="F512">
        <v>2003</v>
      </c>
      <c r="G512">
        <f>IF(OR(Mentors[[#This Row],[Career Start Year]]="NA",ISBLANK(Mentors[[#This Row],[Career Start Year]])),"",2026 - Mentors[[#This Row],[Career Start Year]])</f>
        <v>23</v>
      </c>
      <c r="H51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12" t="s">
        <v>51</v>
      </c>
      <c r="J512" t="s">
        <v>196</v>
      </c>
      <c r="K512" t="s">
        <v>3826</v>
      </c>
      <c r="L512" s="17">
        <v>9513324987</v>
      </c>
      <c r="M512" s="19">
        <v>45658</v>
      </c>
      <c r="O512" t="s">
        <v>0</v>
      </c>
      <c r="Q512" t="s">
        <v>54</v>
      </c>
      <c r="R512" t="s">
        <v>54</v>
      </c>
      <c r="S512" t="s">
        <v>54</v>
      </c>
      <c r="T512" s="4" t="s">
        <v>756</v>
      </c>
      <c r="U512" t="s">
        <v>445</v>
      </c>
      <c r="V512" t="s">
        <v>57</v>
      </c>
      <c r="W512" t="s">
        <v>78</v>
      </c>
      <c r="X512" t="s">
        <v>59</v>
      </c>
      <c r="Z512" t="s">
        <v>81</v>
      </c>
      <c r="AA512" t="s">
        <v>62</v>
      </c>
      <c r="AB512">
        <v>1</v>
      </c>
      <c r="AD512" t="s">
        <v>54</v>
      </c>
      <c r="AE512" t="s">
        <v>54</v>
      </c>
      <c r="AF512" t="s">
        <v>64</v>
      </c>
      <c r="AG512" t="s">
        <v>54</v>
      </c>
      <c r="AH512" t="s">
        <v>65</v>
      </c>
      <c r="AI512" t="s">
        <v>412</v>
      </c>
      <c r="AJ512" t="s">
        <v>54</v>
      </c>
      <c r="AK512" t="s">
        <v>3827</v>
      </c>
      <c r="AL512" t="s">
        <v>3828</v>
      </c>
      <c r="AN512" s="19">
        <f>IF(ISBLANK(Mentors[[#This Row],[Onboarded Date]]),"",Mentors[[#This Row],[Onboarded Date]]-WEEKDAY(Mentors[[#This Row],[Onboarded Date]],2)+1)</f>
        <v>45656</v>
      </c>
    </row>
    <row r="513" spans="1:40" ht="19.2" customHeight="1" x14ac:dyDescent="0.3">
      <c r="A513" t="s">
        <v>3829</v>
      </c>
      <c r="B513" t="s">
        <v>3830</v>
      </c>
      <c r="C513" t="s">
        <v>3831</v>
      </c>
      <c r="D513" s="24" t="s">
        <v>3832</v>
      </c>
      <c r="E513" s="7" t="s">
        <v>3833</v>
      </c>
      <c r="F513">
        <v>2016</v>
      </c>
      <c r="G513">
        <f>IF(OR(Mentors[[#This Row],[Career Start Year]]="NA",ISBLANK(Mentors[[#This Row],[Career Start Year]])),"",2026 - Mentors[[#This Row],[Career Start Year]])</f>
        <v>10</v>
      </c>
      <c r="H51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513" t="s">
        <v>51</v>
      </c>
      <c r="J513" t="s">
        <v>1001</v>
      </c>
      <c r="K513" t="s">
        <v>3834</v>
      </c>
      <c r="L513" s="17">
        <v>7044178784</v>
      </c>
      <c r="M513" s="19">
        <v>45658</v>
      </c>
      <c r="O513" t="s">
        <v>0</v>
      </c>
      <c r="Q513" t="s">
        <v>54</v>
      </c>
      <c r="R513" t="s">
        <v>54</v>
      </c>
      <c r="S513" t="s">
        <v>63</v>
      </c>
      <c r="T513" t="s">
        <v>187</v>
      </c>
      <c r="U513" t="s">
        <v>56</v>
      </c>
      <c r="V513" t="s">
        <v>78</v>
      </c>
      <c r="W513" t="s">
        <v>79</v>
      </c>
      <c r="Z513" t="s">
        <v>81</v>
      </c>
      <c r="AA513" t="s">
        <v>62</v>
      </c>
      <c r="AB513">
        <v>1</v>
      </c>
      <c r="AD513" t="s">
        <v>54</v>
      </c>
      <c r="AE513" t="s">
        <v>63</v>
      </c>
      <c r="AF513" t="s">
        <v>64</v>
      </c>
      <c r="AG513" t="s">
        <v>54</v>
      </c>
      <c r="AH513" t="s">
        <v>65</v>
      </c>
      <c r="AI513" t="s">
        <v>132</v>
      </c>
      <c r="AJ513" t="s">
        <v>54</v>
      </c>
      <c r="AK513" t="s">
        <v>3835</v>
      </c>
      <c r="AL513" t="s">
        <v>3836</v>
      </c>
      <c r="AN513" s="19">
        <f>IF(ISBLANK(Mentors[[#This Row],[Onboarded Date]]),"",Mentors[[#This Row],[Onboarded Date]]-WEEKDAY(Mentors[[#This Row],[Onboarded Date]],2)+1)</f>
        <v>45656</v>
      </c>
    </row>
    <row r="514" spans="1:40" ht="19.2" customHeight="1" x14ac:dyDescent="0.3">
      <c r="A514" t="s">
        <v>3837</v>
      </c>
      <c r="B514" t="s">
        <v>3838</v>
      </c>
      <c r="C514" t="s">
        <v>3839</v>
      </c>
      <c r="D514" s="24" t="s">
        <v>3840</v>
      </c>
      <c r="E514" t="s">
        <v>3841</v>
      </c>
      <c r="F514">
        <v>1995</v>
      </c>
      <c r="G514">
        <f>IF(OR(Mentors[[#This Row],[Career Start Year]]="NA",ISBLANK(Mentors[[#This Row],[Career Start Year]])),"",2026 - Mentors[[#This Row],[Career Start Year]])</f>
        <v>31</v>
      </c>
      <c r="H51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14" t="s">
        <v>51</v>
      </c>
      <c r="J514" t="s">
        <v>196</v>
      </c>
      <c r="K514" t="s">
        <v>3842</v>
      </c>
      <c r="M514" s="19">
        <v>45658</v>
      </c>
      <c r="O514" t="s">
        <v>0</v>
      </c>
      <c r="Q514" t="s">
        <v>63</v>
      </c>
      <c r="R514" t="s">
        <v>63</v>
      </c>
      <c r="S514" t="s">
        <v>63</v>
      </c>
      <c r="T514" t="s">
        <v>166</v>
      </c>
      <c r="U514" t="s">
        <v>187</v>
      </c>
      <c r="V514" t="s">
        <v>78</v>
      </c>
      <c r="W514" t="s">
        <v>58</v>
      </c>
      <c r="X514" t="s">
        <v>59</v>
      </c>
      <c r="Z514" t="s">
        <v>81</v>
      </c>
      <c r="AA514" t="s">
        <v>62</v>
      </c>
      <c r="AB514">
        <v>1</v>
      </c>
      <c r="AD514" t="s">
        <v>54</v>
      </c>
      <c r="AE514" t="s">
        <v>63</v>
      </c>
      <c r="AF514" t="s">
        <v>64</v>
      </c>
      <c r="AG514" t="s">
        <v>54</v>
      </c>
      <c r="AH514" t="s">
        <v>152</v>
      </c>
      <c r="AI514" t="s">
        <v>412</v>
      </c>
      <c r="AJ514" t="s">
        <v>54</v>
      </c>
      <c r="AK514" t="s">
        <v>3843</v>
      </c>
      <c r="AL514" t="s">
        <v>3844</v>
      </c>
      <c r="AN514" s="19">
        <f>IF(ISBLANK(Mentors[[#This Row],[Onboarded Date]]),"",Mentors[[#This Row],[Onboarded Date]]-WEEKDAY(Mentors[[#This Row],[Onboarded Date]],2)+1)</f>
        <v>45656</v>
      </c>
    </row>
    <row r="515" spans="1:40" ht="19.2" customHeight="1" x14ac:dyDescent="0.3">
      <c r="A515" t="s">
        <v>3845</v>
      </c>
      <c r="B515" t="s">
        <v>3846</v>
      </c>
      <c r="C515" t="s">
        <v>3847</v>
      </c>
      <c r="D515" s="24" t="s">
        <v>3848</v>
      </c>
      <c r="E515" s="7" t="s">
        <v>3849</v>
      </c>
      <c r="F515">
        <v>2005</v>
      </c>
      <c r="G515">
        <f>IF(OR(Mentors[[#This Row],[Career Start Year]]="NA",ISBLANK(Mentors[[#This Row],[Career Start Year]])),"",2026 - Mentors[[#This Row],[Career Start Year]])</f>
        <v>21</v>
      </c>
      <c r="H51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15" t="s">
        <v>51</v>
      </c>
      <c r="J515" t="s">
        <v>196</v>
      </c>
      <c r="K515" t="s">
        <v>3850</v>
      </c>
      <c r="L515" s="17">
        <v>8921425426</v>
      </c>
      <c r="M515" s="19">
        <v>45658</v>
      </c>
      <c r="O515" t="s">
        <v>0</v>
      </c>
      <c r="Q515" t="s">
        <v>63</v>
      </c>
      <c r="R515" t="s">
        <v>63</v>
      </c>
      <c r="S515" t="s">
        <v>63</v>
      </c>
      <c r="T515" t="s">
        <v>77</v>
      </c>
      <c r="U515" t="s">
        <v>100</v>
      </c>
      <c r="V515" t="s">
        <v>57</v>
      </c>
      <c r="W515" t="s">
        <v>78</v>
      </c>
      <c r="X515" t="s">
        <v>59</v>
      </c>
      <c r="Z515" t="s">
        <v>81</v>
      </c>
      <c r="AA515" t="s">
        <v>62</v>
      </c>
      <c r="AB515">
        <v>1</v>
      </c>
      <c r="AD515" t="s">
        <v>54</v>
      </c>
      <c r="AE515" t="s">
        <v>63</v>
      </c>
      <c r="AF515" t="s">
        <v>64</v>
      </c>
      <c r="AG515" t="s">
        <v>54</v>
      </c>
      <c r="AH515" t="s">
        <v>152</v>
      </c>
      <c r="AI515" t="s">
        <v>412</v>
      </c>
      <c r="AJ515" t="s">
        <v>54</v>
      </c>
      <c r="AK515" t="s">
        <v>3851</v>
      </c>
      <c r="AL515" t="s">
        <v>3852</v>
      </c>
      <c r="AN515" s="19">
        <f>IF(ISBLANK(Mentors[[#This Row],[Onboarded Date]]),"",Mentors[[#This Row],[Onboarded Date]]-WEEKDAY(Mentors[[#This Row],[Onboarded Date]],2)+1)</f>
        <v>45656</v>
      </c>
    </row>
    <row r="516" spans="1:40" ht="19.2" customHeight="1" x14ac:dyDescent="0.3">
      <c r="A516" t="s">
        <v>3853</v>
      </c>
      <c r="B516" t="s">
        <v>3854</v>
      </c>
      <c r="C516" t="s">
        <v>3855</v>
      </c>
      <c r="D516" s="24" t="s">
        <v>3856</v>
      </c>
      <c r="E516" t="s">
        <v>3857</v>
      </c>
      <c r="F516">
        <v>2007</v>
      </c>
      <c r="G516">
        <f>IF(OR(Mentors[[#This Row],[Career Start Year]]="NA",ISBLANK(Mentors[[#This Row],[Career Start Year]])),"",2026 - Mentors[[#This Row],[Career Start Year]])</f>
        <v>19</v>
      </c>
      <c r="H51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516" t="s">
        <v>51</v>
      </c>
      <c r="J516" t="s">
        <v>314</v>
      </c>
      <c r="K516" t="s">
        <v>3858</v>
      </c>
      <c r="L516" s="17">
        <v>9884543979</v>
      </c>
      <c r="M516" s="19">
        <v>45658</v>
      </c>
      <c r="N516" t="s">
        <v>3678</v>
      </c>
      <c r="O516" t="s">
        <v>0</v>
      </c>
      <c r="Q516" t="s">
        <v>54</v>
      </c>
      <c r="R516" t="s">
        <v>63</v>
      </c>
      <c r="S516" t="s">
        <v>54</v>
      </c>
      <c r="T516" t="s">
        <v>55</v>
      </c>
      <c r="U516" t="s">
        <v>56</v>
      </c>
      <c r="V516" t="s">
        <v>57</v>
      </c>
      <c r="W516" t="s">
        <v>78</v>
      </c>
      <c r="X516" t="s">
        <v>60</v>
      </c>
      <c r="Z516" t="s">
        <v>81</v>
      </c>
      <c r="AA516" t="s">
        <v>62</v>
      </c>
      <c r="AB516">
        <v>1</v>
      </c>
      <c r="AD516" t="s">
        <v>54</v>
      </c>
      <c r="AE516" t="s">
        <v>54</v>
      </c>
      <c r="AF516" t="s">
        <v>64</v>
      </c>
      <c r="AG516" t="s">
        <v>54</v>
      </c>
      <c r="AH516" t="s">
        <v>131</v>
      </c>
      <c r="AI516" t="s">
        <v>132</v>
      </c>
      <c r="AJ516" t="s">
        <v>54</v>
      </c>
      <c r="AK516" t="s">
        <v>3859</v>
      </c>
      <c r="AL516" t="s">
        <v>3860</v>
      </c>
      <c r="AN516" s="19">
        <f>IF(ISBLANK(Mentors[[#This Row],[Onboarded Date]]),"",Mentors[[#This Row],[Onboarded Date]]-WEEKDAY(Mentors[[#This Row],[Onboarded Date]],2)+1)</f>
        <v>45656</v>
      </c>
    </row>
    <row r="517" spans="1:40" ht="19.2" customHeight="1" x14ac:dyDescent="0.3">
      <c r="A517" t="s">
        <v>3861</v>
      </c>
      <c r="B517" t="s">
        <v>396</v>
      </c>
      <c r="C517" t="s">
        <v>3862</v>
      </c>
      <c r="D517" s="24" t="s">
        <v>3863</v>
      </c>
      <c r="E517" t="s">
        <v>3864</v>
      </c>
      <c r="F517">
        <v>1976</v>
      </c>
      <c r="G517">
        <f>IF(OR(Mentors[[#This Row],[Career Start Year]]="NA",ISBLANK(Mentors[[#This Row],[Career Start Year]])),"",2026 - Mentors[[#This Row],[Career Start Year]])</f>
        <v>50</v>
      </c>
      <c r="H51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17" t="s">
        <v>51</v>
      </c>
      <c r="J517" t="s">
        <v>118</v>
      </c>
      <c r="K517" t="s">
        <v>3865</v>
      </c>
      <c r="L517" s="17">
        <v>9322253987</v>
      </c>
      <c r="M517" s="19">
        <v>45658</v>
      </c>
      <c r="O517" t="s">
        <v>0</v>
      </c>
      <c r="Q517" t="s">
        <v>54</v>
      </c>
      <c r="R517" t="s">
        <v>63</v>
      </c>
      <c r="S517" t="s">
        <v>63</v>
      </c>
      <c r="T517" t="s">
        <v>77</v>
      </c>
      <c r="U517" t="s">
        <v>65</v>
      </c>
      <c r="V517" t="s">
        <v>282</v>
      </c>
      <c r="W517" t="s">
        <v>58</v>
      </c>
      <c r="Z517" t="s">
        <v>101</v>
      </c>
      <c r="AA517" t="s">
        <v>62</v>
      </c>
      <c r="AB517">
        <v>1</v>
      </c>
      <c r="AD517" t="s">
        <v>54</v>
      </c>
      <c r="AE517" t="s">
        <v>63</v>
      </c>
      <c r="AF517" t="s">
        <v>64</v>
      </c>
      <c r="AG517" t="s">
        <v>54</v>
      </c>
      <c r="AH517" t="s">
        <v>152</v>
      </c>
      <c r="AI517" t="s">
        <v>248</v>
      </c>
      <c r="AJ517" t="s">
        <v>54</v>
      </c>
      <c r="AK517" t="s">
        <v>3866</v>
      </c>
      <c r="AL517" t="s">
        <v>3867</v>
      </c>
      <c r="AN517" s="19">
        <f>IF(ISBLANK(Mentors[[#This Row],[Onboarded Date]]),"",Mentors[[#This Row],[Onboarded Date]]-WEEKDAY(Mentors[[#This Row],[Onboarded Date]],2)+1)</f>
        <v>45656</v>
      </c>
    </row>
    <row r="518" spans="1:40" ht="19.2" customHeight="1" x14ac:dyDescent="0.3">
      <c r="A518" t="s">
        <v>3868</v>
      </c>
      <c r="B518" t="s">
        <v>3869</v>
      </c>
      <c r="C518" t="s">
        <v>3870</v>
      </c>
      <c r="D518" s="24" t="s">
        <v>3871</v>
      </c>
      <c r="E518" s="7" t="s">
        <v>3872</v>
      </c>
      <c r="F518">
        <v>2010</v>
      </c>
      <c r="G518">
        <f>IF(OR(Mentors[[#This Row],[Career Start Year]]="NA",ISBLANK(Mentors[[#This Row],[Career Start Year]])),"",2026 - Mentors[[#This Row],[Career Start Year]])</f>
        <v>16</v>
      </c>
      <c r="H51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518" t="s">
        <v>51</v>
      </c>
      <c r="J518" t="s">
        <v>280</v>
      </c>
      <c r="K518" t="s">
        <v>3873</v>
      </c>
      <c r="L518" s="17">
        <v>9925234106</v>
      </c>
      <c r="M518" s="19">
        <v>45658</v>
      </c>
      <c r="O518" t="s">
        <v>0</v>
      </c>
      <c r="Q518" t="s">
        <v>63</v>
      </c>
      <c r="R518" t="s">
        <v>63</v>
      </c>
      <c r="S518" t="s">
        <v>63</v>
      </c>
      <c r="T518" t="s">
        <v>77</v>
      </c>
      <c r="U518" t="s">
        <v>445</v>
      </c>
      <c r="V518" t="s">
        <v>198</v>
      </c>
      <c r="W518" t="s">
        <v>78</v>
      </c>
      <c r="X518" t="s">
        <v>80</v>
      </c>
      <c r="Y518" t="s">
        <v>59</v>
      </c>
      <c r="Z518" t="s">
        <v>61</v>
      </c>
      <c r="AA518" t="s">
        <v>62</v>
      </c>
      <c r="AB518">
        <v>1</v>
      </c>
      <c r="AD518" t="s">
        <v>54</v>
      </c>
      <c r="AE518" t="s">
        <v>63</v>
      </c>
      <c r="AF518" t="s">
        <v>64</v>
      </c>
      <c r="AG518" t="s">
        <v>54</v>
      </c>
      <c r="AH518" t="s">
        <v>152</v>
      </c>
      <c r="AI518" t="s">
        <v>248</v>
      </c>
      <c r="AJ518" t="s">
        <v>54</v>
      </c>
      <c r="AK518" t="s">
        <v>3874</v>
      </c>
      <c r="AL518" t="s">
        <v>3875</v>
      </c>
      <c r="AN518" s="19">
        <f>IF(ISBLANK(Mentors[[#This Row],[Onboarded Date]]),"",Mentors[[#This Row],[Onboarded Date]]-WEEKDAY(Mentors[[#This Row],[Onboarded Date]],2)+1)</f>
        <v>45656</v>
      </c>
    </row>
    <row r="519" spans="1:40" ht="19.2" customHeight="1" x14ac:dyDescent="0.3">
      <c r="A519" t="s">
        <v>3876</v>
      </c>
      <c r="B519" t="s">
        <v>1247</v>
      </c>
      <c r="C519" t="s">
        <v>3877</v>
      </c>
      <c r="D519" s="24" t="s">
        <v>3878</v>
      </c>
      <c r="E519" t="s">
        <v>3879</v>
      </c>
      <c r="F519">
        <v>2008</v>
      </c>
      <c r="G519">
        <f>IF(OR(Mentors[[#This Row],[Career Start Year]]="NA",ISBLANK(Mentors[[#This Row],[Career Start Year]])),"",2026 - Mentors[[#This Row],[Career Start Year]])</f>
        <v>18</v>
      </c>
      <c r="H51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519" t="s">
        <v>51</v>
      </c>
      <c r="J519" t="s">
        <v>1001</v>
      </c>
      <c r="K519" t="s">
        <v>3880</v>
      </c>
      <c r="L519" s="17">
        <v>9433248252</v>
      </c>
      <c r="M519" s="19">
        <v>45658</v>
      </c>
      <c r="N519" t="s">
        <v>3678</v>
      </c>
      <c r="O519" t="s">
        <v>0</v>
      </c>
      <c r="Q519" t="s">
        <v>54</v>
      </c>
      <c r="R519" t="s">
        <v>54</v>
      </c>
      <c r="S519" t="s">
        <v>54</v>
      </c>
      <c r="T519" s="11" t="s">
        <v>247</v>
      </c>
      <c r="U519" t="s">
        <v>77</v>
      </c>
      <c r="V519" t="s">
        <v>306</v>
      </c>
      <c r="W519" t="s">
        <v>79</v>
      </c>
      <c r="Z519" t="s">
        <v>101</v>
      </c>
      <c r="AA519" t="s">
        <v>62</v>
      </c>
      <c r="AB519">
        <v>1</v>
      </c>
      <c r="AD519" t="s">
        <v>54</v>
      </c>
      <c r="AE519" t="s">
        <v>54</v>
      </c>
      <c r="AF519" t="s">
        <v>64</v>
      </c>
      <c r="AG519" t="s">
        <v>54</v>
      </c>
      <c r="AH519" t="s">
        <v>65</v>
      </c>
      <c r="AI519" t="s">
        <v>248</v>
      </c>
      <c r="AJ519" t="s">
        <v>54</v>
      </c>
      <c r="AK519" t="s">
        <v>3881</v>
      </c>
      <c r="AL519" t="s">
        <v>3882</v>
      </c>
      <c r="AN519" s="19">
        <f>IF(ISBLANK(Mentors[[#This Row],[Onboarded Date]]),"",Mentors[[#This Row],[Onboarded Date]]-WEEKDAY(Mentors[[#This Row],[Onboarded Date]],2)+1)</f>
        <v>45656</v>
      </c>
    </row>
    <row r="520" spans="1:40" ht="19.2" customHeight="1" x14ac:dyDescent="0.3">
      <c r="A520" t="s">
        <v>3883</v>
      </c>
      <c r="B520" t="s">
        <v>3884</v>
      </c>
      <c r="C520" t="s">
        <v>3885</v>
      </c>
      <c r="D520" s="24" t="s">
        <v>3886</v>
      </c>
      <c r="E520" t="s">
        <v>3887</v>
      </c>
      <c r="F520">
        <v>2008</v>
      </c>
      <c r="G520">
        <f>IF(OR(Mentors[[#This Row],[Career Start Year]]="NA",ISBLANK(Mentors[[#This Row],[Career Start Year]])),"",2026 - Mentors[[#This Row],[Career Start Year]])</f>
        <v>18</v>
      </c>
      <c r="H52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520" t="s">
        <v>1185</v>
      </c>
      <c r="J520" t="s">
        <v>3888</v>
      </c>
      <c r="K520" t="s">
        <v>3889</v>
      </c>
      <c r="L520" s="17">
        <v>3012506811</v>
      </c>
      <c r="M520" s="19">
        <v>45658</v>
      </c>
      <c r="O520" t="s">
        <v>0</v>
      </c>
      <c r="Q520" t="s">
        <v>54</v>
      </c>
      <c r="R520" t="s">
        <v>63</v>
      </c>
      <c r="S520" t="s">
        <v>63</v>
      </c>
      <c r="T520" t="s">
        <v>77</v>
      </c>
      <c r="U520" t="s">
        <v>65</v>
      </c>
      <c r="V520" t="s">
        <v>57</v>
      </c>
      <c r="W520" t="s">
        <v>79</v>
      </c>
      <c r="Z520" t="s">
        <v>61</v>
      </c>
      <c r="AA520" t="s">
        <v>62</v>
      </c>
      <c r="AB520">
        <v>1</v>
      </c>
      <c r="AD520" t="s">
        <v>54</v>
      </c>
      <c r="AE520" t="s">
        <v>54</v>
      </c>
      <c r="AF520" t="s">
        <v>64</v>
      </c>
      <c r="AG520" t="s">
        <v>54</v>
      </c>
      <c r="AH520" t="s">
        <v>65</v>
      </c>
      <c r="AI520" t="s">
        <v>77</v>
      </c>
      <c r="AJ520" t="s">
        <v>54</v>
      </c>
      <c r="AK520" t="s">
        <v>3890</v>
      </c>
      <c r="AL520" t="s">
        <v>3891</v>
      </c>
      <c r="AN520" s="19">
        <f>IF(ISBLANK(Mentors[[#This Row],[Onboarded Date]]),"",Mentors[[#This Row],[Onboarded Date]]-WEEKDAY(Mentors[[#This Row],[Onboarded Date]],2)+1)</f>
        <v>45656</v>
      </c>
    </row>
    <row r="521" spans="1:40" ht="19.2" customHeight="1" x14ac:dyDescent="0.3">
      <c r="A521" t="s">
        <v>3892</v>
      </c>
      <c r="B521" t="s">
        <v>260</v>
      </c>
      <c r="C521" t="s">
        <v>3893</v>
      </c>
      <c r="D521" s="24" t="s">
        <v>3894</v>
      </c>
      <c r="E521" t="s">
        <v>3895</v>
      </c>
      <c r="F521">
        <v>2012</v>
      </c>
      <c r="G521">
        <f>IF(OR(Mentors[[#This Row],[Career Start Year]]="NA",ISBLANK(Mentors[[#This Row],[Career Start Year]])),"",2026 - Mentors[[#This Row],[Career Start Year]])</f>
        <v>14</v>
      </c>
      <c r="H52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21" t="s">
        <v>51</v>
      </c>
      <c r="J521" t="s">
        <v>118</v>
      </c>
      <c r="K521" t="s">
        <v>3896</v>
      </c>
      <c r="L521" s="17">
        <v>9970527845</v>
      </c>
      <c r="M521" s="19">
        <v>45658</v>
      </c>
      <c r="N521" t="s">
        <v>3678</v>
      </c>
      <c r="O521" t="s">
        <v>0</v>
      </c>
      <c r="Q521" t="s">
        <v>54</v>
      </c>
      <c r="R521" t="s">
        <v>63</v>
      </c>
      <c r="S521" t="s">
        <v>63</v>
      </c>
      <c r="T521" t="s">
        <v>2543</v>
      </c>
      <c r="U521" t="s">
        <v>77</v>
      </c>
      <c r="V521" t="s">
        <v>120</v>
      </c>
      <c r="W521" s="4" t="s">
        <v>79</v>
      </c>
      <c r="X521" s="4" t="s">
        <v>59</v>
      </c>
      <c r="Y521" s="4"/>
      <c r="Z521" t="s">
        <v>81</v>
      </c>
      <c r="AA521" t="s">
        <v>62</v>
      </c>
      <c r="AB521">
        <v>1</v>
      </c>
      <c r="AD521" t="s">
        <v>54</v>
      </c>
      <c r="AE521" t="s">
        <v>63</v>
      </c>
      <c r="AF521" t="s">
        <v>64</v>
      </c>
      <c r="AG521" t="s">
        <v>54</v>
      </c>
      <c r="AH521" t="s">
        <v>152</v>
      </c>
      <c r="AI521" t="s">
        <v>248</v>
      </c>
      <c r="AJ521" t="s">
        <v>54</v>
      </c>
      <c r="AK521" t="s">
        <v>3897</v>
      </c>
      <c r="AL521" t="s">
        <v>793</v>
      </c>
      <c r="AN521" s="19">
        <f>IF(ISBLANK(Mentors[[#This Row],[Onboarded Date]]),"",Mentors[[#This Row],[Onboarded Date]]-WEEKDAY(Mentors[[#This Row],[Onboarded Date]],2)+1)</f>
        <v>45656</v>
      </c>
    </row>
    <row r="522" spans="1:40" ht="19.2" customHeight="1" x14ac:dyDescent="0.3">
      <c r="A522" t="s">
        <v>3898</v>
      </c>
      <c r="B522" t="s">
        <v>358</v>
      </c>
      <c r="C522" t="s">
        <v>3899</v>
      </c>
      <c r="D522" s="24" t="s">
        <v>3900</v>
      </c>
      <c r="E522" t="s">
        <v>3901</v>
      </c>
      <c r="F522">
        <v>2000</v>
      </c>
      <c r="G522">
        <f>IF(OR(Mentors[[#This Row],[Career Start Year]]="NA",ISBLANK(Mentors[[#This Row],[Career Start Year]])),"",2026 - Mentors[[#This Row],[Career Start Year]])</f>
        <v>26</v>
      </c>
      <c r="H52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22" t="s">
        <v>51</v>
      </c>
      <c r="J522" t="s">
        <v>3902</v>
      </c>
      <c r="K522" t="s">
        <v>3903</v>
      </c>
      <c r="L522" s="17">
        <v>9811517842</v>
      </c>
      <c r="M522" s="19">
        <v>45658</v>
      </c>
      <c r="O522" t="s">
        <v>0</v>
      </c>
      <c r="Q522" t="s">
        <v>54</v>
      </c>
      <c r="R522" t="s">
        <v>54</v>
      </c>
      <c r="S522" t="s">
        <v>54</v>
      </c>
      <c r="T522" t="s">
        <v>110</v>
      </c>
      <c r="U522" t="s">
        <v>77</v>
      </c>
      <c r="V522" t="s">
        <v>78</v>
      </c>
      <c r="W522" t="s">
        <v>79</v>
      </c>
      <c r="X522" t="s">
        <v>60</v>
      </c>
      <c r="Z522" t="s">
        <v>81</v>
      </c>
      <c r="AA522" t="s">
        <v>62</v>
      </c>
      <c r="AB522">
        <v>1</v>
      </c>
      <c r="AD522" t="s">
        <v>54</v>
      </c>
      <c r="AE522" t="s">
        <v>54</v>
      </c>
      <c r="AF522" t="s">
        <v>63</v>
      </c>
      <c r="AG522" t="s">
        <v>54</v>
      </c>
      <c r="AH522" t="s">
        <v>65</v>
      </c>
      <c r="AI522" t="s">
        <v>122</v>
      </c>
      <c r="AJ522" t="s">
        <v>54</v>
      </c>
      <c r="AK522" t="s">
        <v>3904</v>
      </c>
      <c r="AL522" t="s">
        <v>3905</v>
      </c>
      <c r="AN522" s="19">
        <f>IF(ISBLANK(Mentors[[#This Row],[Onboarded Date]]),"",Mentors[[#This Row],[Onboarded Date]]-WEEKDAY(Mentors[[#This Row],[Onboarded Date]],2)+1)</f>
        <v>45656</v>
      </c>
    </row>
    <row r="523" spans="1:40" ht="19.2" customHeight="1" x14ac:dyDescent="0.3">
      <c r="A523" t="s">
        <v>3906</v>
      </c>
      <c r="B523" t="s">
        <v>152</v>
      </c>
      <c r="C523" t="s">
        <v>3907</v>
      </c>
      <c r="D523" s="24" t="s">
        <v>3908</v>
      </c>
      <c r="E523" s="7" t="s">
        <v>3909</v>
      </c>
      <c r="F523">
        <v>2006</v>
      </c>
      <c r="G523">
        <f>IF(OR(Mentors[[#This Row],[Career Start Year]]="NA",ISBLANK(Mentors[[#This Row],[Career Start Year]])),"",2026 - Mentors[[#This Row],[Career Start Year]])</f>
        <v>20</v>
      </c>
      <c r="H52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523" t="s">
        <v>51</v>
      </c>
      <c r="J523" t="s">
        <v>280</v>
      </c>
      <c r="K523" t="s">
        <v>3910</v>
      </c>
      <c r="L523" s="17">
        <v>9619533324</v>
      </c>
      <c r="M523" s="19">
        <v>45658</v>
      </c>
      <c r="N523" t="s">
        <v>3678</v>
      </c>
      <c r="O523" t="s">
        <v>0</v>
      </c>
      <c r="Q523" t="s">
        <v>54</v>
      </c>
      <c r="R523" t="s">
        <v>54</v>
      </c>
      <c r="S523" t="s">
        <v>54</v>
      </c>
      <c r="T523" t="s">
        <v>1189</v>
      </c>
      <c r="U523" t="s">
        <v>77</v>
      </c>
      <c r="V523" t="s">
        <v>306</v>
      </c>
      <c r="W523" t="s">
        <v>79</v>
      </c>
      <c r="Z523" t="s">
        <v>81</v>
      </c>
      <c r="AA523" t="s">
        <v>62</v>
      </c>
      <c r="AB523">
        <v>1</v>
      </c>
      <c r="AD523" t="s">
        <v>54</v>
      </c>
      <c r="AE523" t="s">
        <v>54</v>
      </c>
      <c r="AF523" t="s">
        <v>64</v>
      </c>
      <c r="AG523" t="s">
        <v>54</v>
      </c>
      <c r="AH523" t="s">
        <v>65</v>
      </c>
      <c r="AI523" t="s">
        <v>77</v>
      </c>
      <c r="AJ523" t="s">
        <v>54</v>
      </c>
      <c r="AK523" t="s">
        <v>3911</v>
      </c>
      <c r="AL523" t="s">
        <v>3912</v>
      </c>
      <c r="AN523" s="19">
        <f>IF(ISBLANK(Mentors[[#This Row],[Onboarded Date]]),"",Mentors[[#This Row],[Onboarded Date]]-WEEKDAY(Mentors[[#This Row],[Onboarded Date]],2)+1)</f>
        <v>45656</v>
      </c>
    </row>
    <row r="524" spans="1:40" ht="19.2" customHeight="1" x14ac:dyDescent="0.3">
      <c r="A524" t="s">
        <v>3913</v>
      </c>
      <c r="D524" s="24" t="s">
        <v>3914</v>
      </c>
      <c r="E524" t="s">
        <v>3915</v>
      </c>
      <c r="F524">
        <v>2018</v>
      </c>
      <c r="G524">
        <f>IF(OR(Mentors[[#This Row],[Career Start Year]]="NA",ISBLANK(Mentors[[#This Row],[Career Start Year]])),"",2026 - Mentors[[#This Row],[Career Start Year]])</f>
        <v>8</v>
      </c>
      <c r="H52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524" t="s">
        <v>51</v>
      </c>
      <c r="J524" t="s">
        <v>297</v>
      </c>
      <c r="K524" t="s">
        <v>3916</v>
      </c>
      <c r="L524" s="17">
        <v>8527081843</v>
      </c>
      <c r="M524" s="19">
        <v>45658</v>
      </c>
      <c r="O524" t="s">
        <v>0</v>
      </c>
      <c r="Q524" t="s">
        <v>54</v>
      </c>
      <c r="R524" t="s">
        <v>63</v>
      </c>
      <c r="S524" t="s">
        <v>63</v>
      </c>
      <c r="T524" t="s">
        <v>56</v>
      </c>
      <c r="U524" t="s">
        <v>65</v>
      </c>
      <c r="V524" t="s">
        <v>78</v>
      </c>
      <c r="W524" t="s">
        <v>79</v>
      </c>
      <c r="X524" t="s">
        <v>59</v>
      </c>
      <c r="Z524" t="s">
        <v>61</v>
      </c>
      <c r="AA524" t="s">
        <v>62</v>
      </c>
      <c r="AB524">
        <v>1</v>
      </c>
      <c r="AD524" t="s">
        <v>63</v>
      </c>
      <c r="AG524" t="s">
        <v>54</v>
      </c>
      <c r="AH524" t="s">
        <v>152</v>
      </c>
      <c r="AI524" t="s">
        <v>248</v>
      </c>
      <c r="AJ524" t="s">
        <v>54</v>
      </c>
      <c r="AK524" t="s">
        <v>3917</v>
      </c>
      <c r="AL524" t="s">
        <v>3918</v>
      </c>
      <c r="AN524" s="19">
        <f>IF(ISBLANK(Mentors[[#This Row],[Onboarded Date]]),"",Mentors[[#This Row],[Onboarded Date]]-WEEKDAY(Mentors[[#This Row],[Onboarded Date]],2)+1)</f>
        <v>45656</v>
      </c>
    </row>
    <row r="525" spans="1:40" ht="19.2" customHeight="1" x14ac:dyDescent="0.3">
      <c r="A525" t="s">
        <v>3919</v>
      </c>
      <c r="B525" t="s">
        <v>3920</v>
      </c>
      <c r="C525" t="s">
        <v>3921</v>
      </c>
      <c r="D525" s="24" t="s">
        <v>3922</v>
      </c>
      <c r="E525" t="s">
        <v>3923</v>
      </c>
      <c r="F525">
        <v>1994</v>
      </c>
      <c r="G525">
        <f>IF(OR(Mentors[[#This Row],[Career Start Year]]="NA",ISBLANK(Mentors[[#This Row],[Career Start Year]])),"",2026 - Mentors[[#This Row],[Career Start Year]])</f>
        <v>32</v>
      </c>
      <c r="H52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25" t="s">
        <v>51</v>
      </c>
      <c r="J525" t="s">
        <v>196</v>
      </c>
      <c r="K525" t="s">
        <v>3924</v>
      </c>
      <c r="L525" s="17">
        <v>9845010248</v>
      </c>
      <c r="M525" s="19">
        <v>45658</v>
      </c>
      <c r="N525" t="s">
        <v>3678</v>
      </c>
      <c r="O525" t="s">
        <v>0</v>
      </c>
      <c r="Q525" t="s">
        <v>54</v>
      </c>
      <c r="R525" t="s">
        <v>54</v>
      </c>
      <c r="S525" t="s">
        <v>54</v>
      </c>
      <c r="T525" t="s">
        <v>3925</v>
      </c>
      <c r="U525" t="s">
        <v>77</v>
      </c>
      <c r="V525" t="s">
        <v>120</v>
      </c>
      <c r="W525" t="s">
        <v>79</v>
      </c>
      <c r="X525" t="s">
        <v>59</v>
      </c>
      <c r="Z525" t="s">
        <v>81</v>
      </c>
      <c r="AA525" t="s">
        <v>62</v>
      </c>
      <c r="AB525">
        <v>1</v>
      </c>
      <c r="AD525" t="s">
        <v>54</v>
      </c>
      <c r="AE525" t="s">
        <v>54</v>
      </c>
      <c r="AF525" t="s">
        <v>64</v>
      </c>
      <c r="AG525" t="s">
        <v>54</v>
      </c>
      <c r="AH525" t="s">
        <v>65</v>
      </c>
      <c r="AI525" t="s">
        <v>248</v>
      </c>
      <c r="AJ525" t="s">
        <v>54</v>
      </c>
      <c r="AK525" t="s">
        <v>3926</v>
      </c>
      <c r="AL525" t="s">
        <v>159</v>
      </c>
      <c r="AN525" s="19">
        <f>IF(ISBLANK(Mentors[[#This Row],[Onboarded Date]]),"",Mentors[[#This Row],[Onboarded Date]]-WEEKDAY(Mentors[[#This Row],[Onboarded Date]],2)+1)</f>
        <v>45656</v>
      </c>
    </row>
    <row r="526" spans="1:40" ht="19.2" customHeight="1" x14ac:dyDescent="0.3">
      <c r="A526" t="s">
        <v>3927</v>
      </c>
      <c r="B526" t="s">
        <v>152</v>
      </c>
      <c r="C526" t="s">
        <v>3928</v>
      </c>
      <c r="D526" s="24" t="s">
        <v>3929</v>
      </c>
      <c r="E526" t="s">
        <v>3930</v>
      </c>
      <c r="F526">
        <v>1997</v>
      </c>
      <c r="G526">
        <f>IF(OR(Mentors[[#This Row],[Career Start Year]]="NA",ISBLANK(Mentors[[#This Row],[Career Start Year]])),"",2026 - Mentors[[#This Row],[Career Start Year]])</f>
        <v>29</v>
      </c>
      <c r="H52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26" t="s">
        <v>943</v>
      </c>
      <c r="J526" t="s">
        <v>943</v>
      </c>
      <c r="K526" t="s">
        <v>3931</v>
      </c>
      <c r="L526" s="17" t="s">
        <v>3932</v>
      </c>
      <c r="M526" s="19">
        <v>45658</v>
      </c>
      <c r="O526" t="s">
        <v>0</v>
      </c>
      <c r="Q526" t="s">
        <v>54</v>
      </c>
      <c r="R526" t="s">
        <v>63</v>
      </c>
      <c r="S526" t="s">
        <v>63</v>
      </c>
      <c r="T526" t="s">
        <v>76</v>
      </c>
      <c r="U526" t="s">
        <v>77</v>
      </c>
      <c r="V526" t="s">
        <v>78</v>
      </c>
      <c r="W526" t="s">
        <v>79</v>
      </c>
      <c r="X526" t="s">
        <v>60</v>
      </c>
      <c r="Z526" t="s">
        <v>81</v>
      </c>
      <c r="AA526" t="s">
        <v>62</v>
      </c>
      <c r="AB526">
        <v>1</v>
      </c>
      <c r="AD526" t="s">
        <v>54</v>
      </c>
      <c r="AE526" t="s">
        <v>63</v>
      </c>
      <c r="AF526" t="s">
        <v>64</v>
      </c>
      <c r="AG526" t="s">
        <v>54</v>
      </c>
      <c r="AH526" t="s">
        <v>152</v>
      </c>
      <c r="AI526" t="s">
        <v>1168</v>
      </c>
      <c r="AJ526" t="s">
        <v>54</v>
      </c>
      <c r="AK526" t="s">
        <v>3933</v>
      </c>
      <c r="AL526" t="s">
        <v>3934</v>
      </c>
      <c r="AN526" s="19">
        <f>IF(ISBLANK(Mentors[[#This Row],[Onboarded Date]]),"",Mentors[[#This Row],[Onboarded Date]]-WEEKDAY(Mentors[[#This Row],[Onboarded Date]],2)+1)</f>
        <v>45656</v>
      </c>
    </row>
    <row r="527" spans="1:40" ht="19.2" customHeight="1" x14ac:dyDescent="0.3">
      <c r="A527" t="s">
        <v>3935</v>
      </c>
      <c r="B527" t="s">
        <v>234</v>
      </c>
      <c r="C527" t="s">
        <v>3936</v>
      </c>
      <c r="D527" s="24" t="s">
        <v>3937</v>
      </c>
      <c r="E527" t="s">
        <v>3938</v>
      </c>
      <c r="F527">
        <v>2004</v>
      </c>
      <c r="G527">
        <f>IF(OR(Mentors[[#This Row],[Career Start Year]]="NA",ISBLANK(Mentors[[#This Row],[Career Start Year]])),"",2026 - Mentors[[#This Row],[Career Start Year]])</f>
        <v>22</v>
      </c>
      <c r="H52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27" t="s">
        <v>51</v>
      </c>
      <c r="J527" t="s">
        <v>196</v>
      </c>
      <c r="K527" t="s">
        <v>3939</v>
      </c>
      <c r="L527" s="17">
        <v>9884813292</v>
      </c>
      <c r="M527" s="19">
        <v>45658</v>
      </c>
      <c r="O527" t="s">
        <v>0</v>
      </c>
      <c r="Q527" t="s">
        <v>63</v>
      </c>
      <c r="R527" t="s">
        <v>54</v>
      </c>
      <c r="S527" t="s">
        <v>63</v>
      </c>
      <c r="T527" t="s">
        <v>99</v>
      </c>
      <c r="U527" t="s">
        <v>77</v>
      </c>
      <c r="V527" t="s">
        <v>481</v>
      </c>
      <c r="W527" t="s">
        <v>79</v>
      </c>
      <c r="X527" t="s">
        <v>59</v>
      </c>
      <c r="Z527" t="s">
        <v>81</v>
      </c>
      <c r="AA527" t="s">
        <v>62</v>
      </c>
      <c r="AB527">
        <v>1</v>
      </c>
      <c r="AD527" t="s">
        <v>54</v>
      </c>
      <c r="AE527" t="s">
        <v>63</v>
      </c>
      <c r="AF527" t="s">
        <v>64</v>
      </c>
      <c r="AG527" t="s">
        <v>54</v>
      </c>
      <c r="AH527" t="s">
        <v>152</v>
      </c>
      <c r="AI527" t="s">
        <v>1189</v>
      </c>
      <c r="AJ527" t="s">
        <v>54</v>
      </c>
      <c r="AK527" t="s">
        <v>3632</v>
      </c>
      <c r="AL527" t="s">
        <v>3940</v>
      </c>
      <c r="AN527" s="19">
        <f>IF(ISBLANK(Mentors[[#This Row],[Onboarded Date]]),"",Mentors[[#This Row],[Onboarded Date]]-WEEKDAY(Mentors[[#This Row],[Onboarded Date]],2)+1)</f>
        <v>45656</v>
      </c>
    </row>
    <row r="528" spans="1:40" ht="19.2" customHeight="1" x14ac:dyDescent="0.3">
      <c r="A528" t="s">
        <v>3941</v>
      </c>
      <c r="B528" t="s">
        <v>152</v>
      </c>
      <c r="C528" t="s">
        <v>3942</v>
      </c>
      <c r="D528" s="24" t="s">
        <v>3943</v>
      </c>
      <c r="E528" t="s">
        <v>3944</v>
      </c>
      <c r="F528">
        <v>2008</v>
      </c>
      <c r="G528">
        <f>IF(OR(Mentors[[#This Row],[Career Start Year]]="NA",ISBLANK(Mentors[[#This Row],[Career Start Year]])),"",2026 - Mentors[[#This Row],[Career Start Year]])</f>
        <v>18</v>
      </c>
      <c r="H52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528" t="s">
        <v>51</v>
      </c>
      <c r="J528" t="s">
        <v>118</v>
      </c>
      <c r="K528" t="s">
        <v>3945</v>
      </c>
      <c r="L528" s="17">
        <v>9820222758</v>
      </c>
      <c r="M528" s="19">
        <v>45658</v>
      </c>
      <c r="O528" t="s">
        <v>0</v>
      </c>
      <c r="Q528" t="s">
        <v>54</v>
      </c>
      <c r="R528" t="s">
        <v>54</v>
      </c>
      <c r="S528" t="s">
        <v>63</v>
      </c>
      <c r="T528" t="s">
        <v>76</v>
      </c>
      <c r="U528" t="s">
        <v>99</v>
      </c>
      <c r="V528" t="s">
        <v>57</v>
      </c>
      <c r="W528" t="s">
        <v>79</v>
      </c>
      <c r="X528" t="s">
        <v>80</v>
      </c>
      <c r="Z528" t="s">
        <v>81</v>
      </c>
      <c r="AA528" t="s">
        <v>62</v>
      </c>
      <c r="AB528">
        <v>1</v>
      </c>
      <c r="AD528" t="s">
        <v>63</v>
      </c>
      <c r="AE528" t="s">
        <v>63</v>
      </c>
      <c r="AF528" t="s">
        <v>64</v>
      </c>
      <c r="AG528" t="s">
        <v>54</v>
      </c>
      <c r="AH528" t="s">
        <v>152</v>
      </c>
      <c r="AI528" t="s">
        <v>248</v>
      </c>
      <c r="AJ528" t="s">
        <v>54</v>
      </c>
      <c r="AK528" t="s">
        <v>3946</v>
      </c>
      <c r="AL528" t="s">
        <v>3947</v>
      </c>
      <c r="AN528" s="19">
        <f>IF(ISBLANK(Mentors[[#This Row],[Onboarded Date]]),"",Mentors[[#This Row],[Onboarded Date]]-WEEKDAY(Mentors[[#This Row],[Onboarded Date]],2)+1)</f>
        <v>45656</v>
      </c>
    </row>
    <row r="529" spans="1:40" ht="19.2" customHeight="1" x14ac:dyDescent="0.3">
      <c r="A529" t="s">
        <v>3948</v>
      </c>
      <c r="B529" t="s">
        <v>152</v>
      </c>
      <c r="C529" t="s">
        <v>3949</v>
      </c>
      <c r="D529" s="24" t="s">
        <v>3950</v>
      </c>
      <c r="E529" t="s">
        <v>3951</v>
      </c>
      <c r="F529">
        <v>1994</v>
      </c>
      <c r="G529">
        <f>IF(OR(Mentors[[#This Row],[Career Start Year]]="NA",ISBLANK(Mentors[[#This Row],[Career Start Year]])),"",2026 - Mentors[[#This Row],[Career Start Year]])</f>
        <v>32</v>
      </c>
      <c r="H52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29" t="s">
        <v>51</v>
      </c>
      <c r="J529" t="s">
        <v>935</v>
      </c>
      <c r="K529" t="s">
        <v>3952</v>
      </c>
      <c r="L529" s="17">
        <v>9686683783</v>
      </c>
      <c r="M529" s="19">
        <v>45658</v>
      </c>
      <c r="O529" t="s">
        <v>0</v>
      </c>
      <c r="Q529" t="s">
        <v>54</v>
      </c>
      <c r="R529" t="s">
        <v>54</v>
      </c>
      <c r="S529" t="s">
        <v>63</v>
      </c>
      <c r="T529" t="s">
        <v>77</v>
      </c>
      <c r="U529" t="s">
        <v>65</v>
      </c>
      <c r="V529" t="s">
        <v>58</v>
      </c>
      <c r="W529" t="s">
        <v>79</v>
      </c>
      <c r="X529" t="s">
        <v>80</v>
      </c>
      <c r="Z529" t="s">
        <v>81</v>
      </c>
      <c r="AA529" t="s">
        <v>62</v>
      </c>
      <c r="AB529">
        <v>1</v>
      </c>
      <c r="AD529" t="s">
        <v>63</v>
      </c>
      <c r="AE529" t="s">
        <v>63</v>
      </c>
      <c r="AF529" t="s">
        <v>63</v>
      </c>
      <c r="AG529" t="s">
        <v>54</v>
      </c>
      <c r="AH529" t="s">
        <v>152</v>
      </c>
      <c r="AI529" t="s">
        <v>248</v>
      </c>
      <c r="AJ529" t="s">
        <v>54</v>
      </c>
      <c r="AK529" t="s">
        <v>3953</v>
      </c>
      <c r="AL529" t="s">
        <v>3954</v>
      </c>
      <c r="AN529" s="19">
        <f>IF(ISBLANK(Mentors[[#This Row],[Onboarded Date]]),"",Mentors[[#This Row],[Onboarded Date]]-WEEKDAY(Mentors[[#This Row],[Onboarded Date]],2)+1)</f>
        <v>45656</v>
      </c>
    </row>
    <row r="530" spans="1:40" ht="19.2" customHeight="1" x14ac:dyDescent="0.3">
      <c r="A530" t="s">
        <v>3955</v>
      </c>
      <c r="B530" t="s">
        <v>152</v>
      </c>
      <c r="C530" t="s">
        <v>3956</v>
      </c>
      <c r="D530" s="24" t="s">
        <v>3957</v>
      </c>
      <c r="E530" t="s">
        <v>3958</v>
      </c>
      <c r="F530">
        <v>2015</v>
      </c>
      <c r="G530">
        <f>IF(OR(Mentors[[#This Row],[Career Start Year]]="NA",ISBLANK(Mentors[[#This Row],[Career Start Year]])),"",2026 - Mentors[[#This Row],[Career Start Year]])</f>
        <v>11</v>
      </c>
      <c r="H53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30" t="s">
        <v>51</v>
      </c>
      <c r="J530" t="s">
        <v>118</v>
      </c>
      <c r="K530" t="s">
        <v>3959</v>
      </c>
      <c r="L530" s="17">
        <v>9022311856</v>
      </c>
      <c r="M530" s="19">
        <v>45658</v>
      </c>
      <c r="O530" t="s">
        <v>0</v>
      </c>
      <c r="Q530" t="s">
        <v>54</v>
      </c>
      <c r="R530" t="s">
        <v>63</v>
      </c>
      <c r="S530" t="s">
        <v>63</v>
      </c>
      <c r="T530" s="4" t="s">
        <v>756</v>
      </c>
      <c r="U530" t="s">
        <v>79</v>
      </c>
      <c r="V530" t="s">
        <v>57</v>
      </c>
      <c r="W530" t="s">
        <v>79</v>
      </c>
      <c r="Z530" t="s">
        <v>81</v>
      </c>
      <c r="AA530" t="s">
        <v>62</v>
      </c>
      <c r="AB530">
        <v>1</v>
      </c>
      <c r="AD530" t="s">
        <v>54</v>
      </c>
      <c r="AE530" t="s">
        <v>63</v>
      </c>
      <c r="AF530" t="s">
        <v>64</v>
      </c>
      <c r="AG530" t="s">
        <v>54</v>
      </c>
      <c r="AH530" t="s">
        <v>152</v>
      </c>
      <c r="AI530" t="s">
        <v>248</v>
      </c>
      <c r="AJ530" t="s">
        <v>54</v>
      </c>
      <c r="AK530" t="s">
        <v>3960</v>
      </c>
      <c r="AL530" t="s">
        <v>644</v>
      </c>
      <c r="AN530" s="19">
        <f>IF(ISBLANK(Mentors[[#This Row],[Onboarded Date]]),"",Mentors[[#This Row],[Onboarded Date]]-WEEKDAY(Mentors[[#This Row],[Onboarded Date]],2)+1)</f>
        <v>45656</v>
      </c>
    </row>
    <row r="531" spans="1:40" ht="19.2" customHeight="1" x14ac:dyDescent="0.3">
      <c r="A531" t="s">
        <v>3961</v>
      </c>
      <c r="B531" t="s">
        <v>152</v>
      </c>
      <c r="C531" t="s">
        <v>3942</v>
      </c>
      <c r="D531" s="24" t="s">
        <v>3962</v>
      </c>
      <c r="E531" t="s">
        <v>3963</v>
      </c>
      <c r="F531">
        <v>2012</v>
      </c>
      <c r="G531">
        <f>IF(OR(Mentors[[#This Row],[Career Start Year]]="NA",ISBLANK(Mentors[[#This Row],[Career Start Year]])),"",2026 - Mentors[[#This Row],[Career Start Year]])</f>
        <v>14</v>
      </c>
      <c r="H53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31" t="s">
        <v>51</v>
      </c>
      <c r="J531" t="s">
        <v>118</v>
      </c>
      <c r="K531" s="7" t="s">
        <v>3964</v>
      </c>
      <c r="L531" s="17">
        <v>9867069171</v>
      </c>
      <c r="M531" s="19">
        <v>45658</v>
      </c>
      <c r="O531" t="s">
        <v>0</v>
      </c>
      <c r="Q531" t="s">
        <v>54</v>
      </c>
      <c r="R531" t="s">
        <v>54</v>
      </c>
      <c r="S531" t="s">
        <v>63</v>
      </c>
      <c r="T531" t="s">
        <v>76</v>
      </c>
      <c r="U531" t="s">
        <v>99</v>
      </c>
      <c r="V531" t="s">
        <v>57</v>
      </c>
      <c r="W531" t="s">
        <v>79</v>
      </c>
      <c r="X531" t="s">
        <v>80</v>
      </c>
      <c r="Z531" t="s">
        <v>81</v>
      </c>
      <c r="AA531" t="s">
        <v>62</v>
      </c>
      <c r="AB531">
        <v>1</v>
      </c>
      <c r="AD531" t="s">
        <v>63</v>
      </c>
      <c r="AE531" t="s">
        <v>63</v>
      </c>
      <c r="AF531" t="s">
        <v>64</v>
      </c>
      <c r="AG531" t="s">
        <v>54</v>
      </c>
      <c r="AH531" t="s">
        <v>152</v>
      </c>
      <c r="AI531" t="s">
        <v>248</v>
      </c>
      <c r="AJ531" t="s">
        <v>54</v>
      </c>
      <c r="AK531" t="s">
        <v>3965</v>
      </c>
      <c r="AL531" t="s">
        <v>3966</v>
      </c>
      <c r="AN531" s="19">
        <f>IF(ISBLANK(Mentors[[#This Row],[Onboarded Date]]),"",Mentors[[#This Row],[Onboarded Date]]-WEEKDAY(Mentors[[#This Row],[Onboarded Date]],2)+1)</f>
        <v>45656</v>
      </c>
    </row>
    <row r="532" spans="1:40" ht="19.2" customHeight="1" x14ac:dyDescent="0.3">
      <c r="A532" t="s">
        <v>3967</v>
      </c>
      <c r="B532" t="s">
        <v>3968</v>
      </c>
      <c r="C532" t="s">
        <v>3969</v>
      </c>
      <c r="D532" s="24" t="s">
        <v>3970</v>
      </c>
      <c r="E532" t="s">
        <v>3971</v>
      </c>
      <c r="F532">
        <v>2005</v>
      </c>
      <c r="G532">
        <f>IF(OR(Mentors[[#This Row],[Career Start Year]]="NA",ISBLANK(Mentors[[#This Row],[Career Start Year]])),"",2026 - Mentors[[#This Row],[Career Start Year]])</f>
        <v>21</v>
      </c>
      <c r="H53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32" t="s">
        <v>51</v>
      </c>
      <c r="J532" t="s">
        <v>196</v>
      </c>
      <c r="K532" t="s">
        <v>3972</v>
      </c>
      <c r="L532" s="17">
        <v>9836060605</v>
      </c>
      <c r="M532" s="19">
        <v>45658</v>
      </c>
      <c r="O532" t="s">
        <v>0</v>
      </c>
      <c r="Q532" t="s">
        <v>54</v>
      </c>
      <c r="R532" t="s">
        <v>54</v>
      </c>
      <c r="S532" t="s">
        <v>54</v>
      </c>
      <c r="T532" t="s">
        <v>56</v>
      </c>
      <c r="U532" t="s">
        <v>100</v>
      </c>
      <c r="V532" t="s">
        <v>57</v>
      </c>
      <c r="W532" t="s">
        <v>79</v>
      </c>
      <c r="X532" t="s">
        <v>60</v>
      </c>
      <c r="Z532" t="s">
        <v>101</v>
      </c>
      <c r="AA532" t="s">
        <v>62</v>
      </c>
      <c r="AB532">
        <v>1</v>
      </c>
      <c r="AD532" t="s">
        <v>54</v>
      </c>
      <c r="AE532" t="s">
        <v>54</v>
      </c>
      <c r="AF532" t="s">
        <v>64</v>
      </c>
      <c r="AG532" t="s">
        <v>54</v>
      </c>
      <c r="AH532" t="s">
        <v>65</v>
      </c>
      <c r="AI532" t="s">
        <v>248</v>
      </c>
      <c r="AJ532" t="s">
        <v>54</v>
      </c>
      <c r="AK532" t="s">
        <v>3973</v>
      </c>
      <c r="AL532" t="s">
        <v>3974</v>
      </c>
      <c r="AN532" s="19">
        <f>IF(ISBLANK(Mentors[[#This Row],[Onboarded Date]]),"",Mentors[[#This Row],[Onboarded Date]]-WEEKDAY(Mentors[[#This Row],[Onboarded Date]],2)+1)</f>
        <v>45656</v>
      </c>
    </row>
    <row r="533" spans="1:40" ht="19.2" customHeight="1" x14ac:dyDescent="0.3">
      <c r="A533" t="s">
        <v>3975</v>
      </c>
      <c r="B533" t="s">
        <v>3976</v>
      </c>
      <c r="D533" s="24" t="s">
        <v>3977</v>
      </c>
      <c r="E533" t="s">
        <v>3978</v>
      </c>
      <c r="F533">
        <v>2009</v>
      </c>
      <c r="G533">
        <f>IF(OR(Mentors[[#This Row],[Career Start Year]]="NA",ISBLANK(Mentors[[#This Row],[Career Start Year]])),"",2026 - Mentors[[#This Row],[Career Start Year]])</f>
        <v>17</v>
      </c>
      <c r="H53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533" t="s">
        <v>51</v>
      </c>
      <c r="J533" t="s">
        <v>118</v>
      </c>
      <c r="K533" t="s">
        <v>3979</v>
      </c>
      <c r="L533" s="17">
        <v>9920980997</v>
      </c>
      <c r="M533" s="19">
        <v>45658</v>
      </c>
      <c r="O533" t="s">
        <v>0</v>
      </c>
      <c r="Q533" t="s">
        <v>54</v>
      </c>
      <c r="R533" t="s">
        <v>54</v>
      </c>
      <c r="S533" t="s">
        <v>63</v>
      </c>
      <c r="T533" t="s">
        <v>99</v>
      </c>
      <c r="U533" t="s">
        <v>76</v>
      </c>
      <c r="V533" t="s">
        <v>78</v>
      </c>
      <c r="W533" t="s">
        <v>79</v>
      </c>
      <c r="X533" t="s">
        <v>80</v>
      </c>
      <c r="Z533" t="s">
        <v>81</v>
      </c>
      <c r="AA533" t="s">
        <v>62</v>
      </c>
      <c r="AB533">
        <v>1</v>
      </c>
      <c r="AD533" t="s">
        <v>54</v>
      </c>
      <c r="AE533" t="s">
        <v>63</v>
      </c>
      <c r="AF533" t="s">
        <v>64</v>
      </c>
      <c r="AG533" t="s">
        <v>54</v>
      </c>
      <c r="AH533" t="s">
        <v>152</v>
      </c>
      <c r="AI533" t="s">
        <v>248</v>
      </c>
      <c r="AJ533" t="s">
        <v>54</v>
      </c>
      <c r="AK533" t="s">
        <v>3980</v>
      </c>
      <c r="AL533" t="s">
        <v>613</v>
      </c>
      <c r="AN533" s="19">
        <f>IF(ISBLANK(Mentors[[#This Row],[Onboarded Date]]),"",Mentors[[#This Row],[Onboarded Date]]-WEEKDAY(Mentors[[#This Row],[Onboarded Date]],2)+1)</f>
        <v>45656</v>
      </c>
    </row>
    <row r="534" spans="1:40" ht="19.2" customHeight="1" x14ac:dyDescent="0.3">
      <c r="A534" t="s">
        <v>3981</v>
      </c>
      <c r="B534" t="s">
        <v>152</v>
      </c>
      <c r="C534" t="s">
        <v>3982</v>
      </c>
      <c r="D534" s="24" t="s">
        <v>3983</v>
      </c>
      <c r="E534" t="s">
        <v>3984</v>
      </c>
      <c r="F534">
        <v>2011</v>
      </c>
      <c r="G534">
        <f>IF(OR(Mentors[[#This Row],[Career Start Year]]="NA",ISBLANK(Mentors[[#This Row],[Career Start Year]])),"",2026 - Mentors[[#This Row],[Career Start Year]])</f>
        <v>15</v>
      </c>
      <c r="H53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34" t="s">
        <v>51</v>
      </c>
      <c r="J534" t="s">
        <v>3902</v>
      </c>
      <c r="K534" t="s">
        <v>3985</v>
      </c>
      <c r="L534" s="17">
        <v>9999064838</v>
      </c>
      <c r="M534" s="19">
        <v>45658</v>
      </c>
      <c r="O534" t="s">
        <v>0</v>
      </c>
      <c r="Q534" t="s">
        <v>54</v>
      </c>
      <c r="R534" t="s">
        <v>54</v>
      </c>
      <c r="S534" t="s">
        <v>63</v>
      </c>
      <c r="T534" t="s">
        <v>76</v>
      </c>
      <c r="U534" t="s">
        <v>79</v>
      </c>
      <c r="V534" t="s">
        <v>78</v>
      </c>
      <c r="W534" t="s">
        <v>79</v>
      </c>
      <c r="X534" t="s">
        <v>59</v>
      </c>
      <c r="Z534" t="s">
        <v>81</v>
      </c>
      <c r="AA534" t="s">
        <v>62</v>
      </c>
      <c r="AB534">
        <v>1</v>
      </c>
      <c r="AD534" t="s">
        <v>54</v>
      </c>
      <c r="AE534" t="s">
        <v>63</v>
      </c>
      <c r="AF534" t="s">
        <v>64</v>
      </c>
      <c r="AG534" t="s">
        <v>54</v>
      </c>
      <c r="AH534" t="s">
        <v>152</v>
      </c>
      <c r="AI534" t="s">
        <v>248</v>
      </c>
      <c r="AJ534" t="s">
        <v>54</v>
      </c>
      <c r="AK534" t="s">
        <v>3986</v>
      </c>
      <c r="AL534" t="s">
        <v>613</v>
      </c>
      <c r="AN534" s="19">
        <f>IF(ISBLANK(Mentors[[#This Row],[Onboarded Date]]),"",Mentors[[#This Row],[Onboarded Date]]-WEEKDAY(Mentors[[#This Row],[Onboarded Date]],2)+1)</f>
        <v>45656</v>
      </c>
    </row>
    <row r="535" spans="1:40" ht="19.2" customHeight="1" x14ac:dyDescent="0.3">
      <c r="A535" t="s">
        <v>3987</v>
      </c>
      <c r="B535" t="s">
        <v>3988</v>
      </c>
      <c r="C535" t="s">
        <v>3989</v>
      </c>
      <c r="D535" s="24" t="s">
        <v>3990</v>
      </c>
      <c r="E535" t="s">
        <v>3991</v>
      </c>
      <c r="F535">
        <v>2003</v>
      </c>
      <c r="G535">
        <f>IF(OR(Mentors[[#This Row],[Career Start Year]]="NA",ISBLANK(Mentors[[#This Row],[Career Start Year]])),"",2026 - Mentors[[#This Row],[Career Start Year]])</f>
        <v>23</v>
      </c>
      <c r="H53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35" t="s">
        <v>51</v>
      </c>
      <c r="J535" t="s">
        <v>3992</v>
      </c>
      <c r="K535" t="s">
        <v>3993</v>
      </c>
      <c r="L535" s="17">
        <v>9886256587</v>
      </c>
      <c r="M535" s="19">
        <v>45658</v>
      </c>
      <c r="N535" t="s">
        <v>3678</v>
      </c>
      <c r="O535" t="s">
        <v>0</v>
      </c>
      <c r="Q535" t="s">
        <v>54</v>
      </c>
      <c r="R535" t="s">
        <v>54</v>
      </c>
      <c r="S535" t="s">
        <v>54</v>
      </c>
      <c r="T535" t="s">
        <v>1103</v>
      </c>
      <c r="U535" t="s">
        <v>187</v>
      </c>
      <c r="V535" t="s">
        <v>78</v>
      </c>
      <c r="W535" t="s">
        <v>79</v>
      </c>
      <c r="X535" t="s">
        <v>60</v>
      </c>
      <c r="Z535" t="s">
        <v>81</v>
      </c>
      <c r="AA535" t="s">
        <v>62</v>
      </c>
      <c r="AB535">
        <v>1</v>
      </c>
      <c r="AD535" t="s">
        <v>54</v>
      </c>
      <c r="AE535" t="s">
        <v>63</v>
      </c>
      <c r="AF535" t="s">
        <v>64</v>
      </c>
      <c r="AG535" t="s">
        <v>54</v>
      </c>
      <c r="AH535" t="s">
        <v>131</v>
      </c>
      <c r="AI535" t="s">
        <v>132</v>
      </c>
      <c r="AJ535" t="s">
        <v>54</v>
      </c>
      <c r="AK535" t="s">
        <v>3994</v>
      </c>
      <c r="AL535" t="s">
        <v>3995</v>
      </c>
      <c r="AN535" s="19">
        <f>IF(ISBLANK(Mentors[[#This Row],[Onboarded Date]]),"",Mentors[[#This Row],[Onboarded Date]]-WEEKDAY(Mentors[[#This Row],[Onboarded Date]],2)+1)</f>
        <v>45656</v>
      </c>
    </row>
    <row r="536" spans="1:40" ht="19.2" customHeight="1" x14ac:dyDescent="0.3">
      <c r="A536" t="s">
        <v>3996</v>
      </c>
      <c r="B536" t="s">
        <v>152</v>
      </c>
      <c r="C536" t="s">
        <v>3997</v>
      </c>
      <c r="D536" s="24" t="s">
        <v>3998</v>
      </c>
      <c r="E536" t="s">
        <v>3999</v>
      </c>
      <c r="F536">
        <v>2004</v>
      </c>
      <c r="G536">
        <f>IF(OR(Mentors[[#This Row],[Career Start Year]]="NA",ISBLANK(Mentors[[#This Row],[Career Start Year]])),"",2026 - Mentors[[#This Row],[Career Start Year]])</f>
        <v>22</v>
      </c>
      <c r="H53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36" t="s">
        <v>51</v>
      </c>
      <c r="J536" t="s">
        <v>3992</v>
      </c>
      <c r="K536" t="s">
        <v>4000</v>
      </c>
      <c r="L536" s="17">
        <v>9845461540</v>
      </c>
      <c r="M536" s="19">
        <v>45658</v>
      </c>
      <c r="O536" t="s">
        <v>0</v>
      </c>
      <c r="Q536" t="s">
        <v>54</v>
      </c>
      <c r="R536" t="s">
        <v>54</v>
      </c>
      <c r="S536" t="s">
        <v>63</v>
      </c>
      <c r="T536" s="4" t="s">
        <v>756</v>
      </c>
      <c r="U536" t="s">
        <v>77</v>
      </c>
      <c r="V536" t="s">
        <v>57</v>
      </c>
      <c r="W536" t="s">
        <v>79</v>
      </c>
      <c r="Z536" t="s">
        <v>101</v>
      </c>
      <c r="AA536" t="s">
        <v>62</v>
      </c>
      <c r="AB536">
        <v>1</v>
      </c>
      <c r="AD536" t="s">
        <v>54</v>
      </c>
      <c r="AE536" t="s">
        <v>63</v>
      </c>
      <c r="AF536" t="s">
        <v>64</v>
      </c>
      <c r="AG536" t="s">
        <v>54</v>
      </c>
      <c r="AH536" t="s">
        <v>152</v>
      </c>
      <c r="AI536" t="s">
        <v>248</v>
      </c>
      <c r="AJ536" t="s">
        <v>54</v>
      </c>
      <c r="AK536" t="s">
        <v>4001</v>
      </c>
      <c r="AL536" t="s">
        <v>4002</v>
      </c>
      <c r="AN536" s="19">
        <f>IF(ISBLANK(Mentors[[#This Row],[Onboarded Date]]),"",Mentors[[#This Row],[Onboarded Date]]-WEEKDAY(Mentors[[#This Row],[Onboarded Date]],2)+1)</f>
        <v>45656</v>
      </c>
    </row>
    <row r="537" spans="1:40" ht="19.2" customHeight="1" x14ac:dyDescent="0.3">
      <c r="A537" s="4" t="s">
        <v>4003</v>
      </c>
      <c r="B537" t="s">
        <v>4004</v>
      </c>
      <c r="C537" t="s">
        <v>4005</v>
      </c>
      <c r="D537" s="24" t="s">
        <v>4006</v>
      </c>
      <c r="E537" t="s">
        <v>4007</v>
      </c>
      <c r="F537">
        <v>2013</v>
      </c>
      <c r="G537">
        <f>IF(OR(Mentors[[#This Row],[Career Start Year]]="NA",ISBLANK(Mentors[[#This Row],[Career Start Year]])),"",2026 - Mentors[[#This Row],[Career Start Year]])</f>
        <v>13</v>
      </c>
      <c r="H53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37" t="s">
        <v>51</v>
      </c>
      <c r="J537" t="s">
        <v>118</v>
      </c>
      <c r="K537" t="s">
        <v>4008</v>
      </c>
      <c r="L537" s="17">
        <v>8098736903</v>
      </c>
      <c r="M537" s="19">
        <v>45658</v>
      </c>
      <c r="O537" t="s">
        <v>0</v>
      </c>
      <c r="Q537" t="s">
        <v>54</v>
      </c>
      <c r="R537" t="s">
        <v>54</v>
      </c>
      <c r="S537" t="s">
        <v>54</v>
      </c>
      <c r="T537" t="s">
        <v>77</v>
      </c>
      <c r="U537" t="s">
        <v>65</v>
      </c>
      <c r="V537" t="s">
        <v>256</v>
      </c>
      <c r="W537" t="s">
        <v>79</v>
      </c>
      <c r="X537" t="s">
        <v>59</v>
      </c>
      <c r="Z537" t="s">
        <v>101</v>
      </c>
      <c r="AA537" t="s">
        <v>62</v>
      </c>
      <c r="AB537">
        <v>1</v>
      </c>
      <c r="AD537" t="s">
        <v>54</v>
      </c>
      <c r="AE537" t="s">
        <v>54</v>
      </c>
      <c r="AF537" t="s">
        <v>64</v>
      </c>
      <c r="AG537" t="s">
        <v>54</v>
      </c>
      <c r="AH537" t="s">
        <v>131</v>
      </c>
      <c r="AI537" t="s">
        <v>248</v>
      </c>
      <c r="AJ537" t="s">
        <v>54</v>
      </c>
      <c r="AK537" t="s">
        <v>2543</v>
      </c>
      <c r="AL537" t="s">
        <v>988</v>
      </c>
      <c r="AN537" s="19">
        <f>IF(ISBLANK(Mentors[[#This Row],[Onboarded Date]]),"",Mentors[[#This Row],[Onboarded Date]]-WEEKDAY(Mentors[[#This Row],[Onboarded Date]],2)+1)</f>
        <v>45656</v>
      </c>
    </row>
    <row r="538" spans="1:40" ht="19.2" customHeight="1" x14ac:dyDescent="0.3">
      <c r="A538" t="s">
        <v>4009</v>
      </c>
      <c r="B538" t="s">
        <v>4010</v>
      </c>
      <c r="C538" t="s">
        <v>4011</v>
      </c>
      <c r="D538" s="24" t="s">
        <v>4012</v>
      </c>
      <c r="E538" t="s">
        <v>4013</v>
      </c>
      <c r="F538">
        <v>2005</v>
      </c>
      <c r="G538">
        <f>IF(OR(Mentors[[#This Row],[Career Start Year]]="NA",ISBLANK(Mentors[[#This Row],[Career Start Year]])),"",2026 - Mentors[[#This Row],[Career Start Year]])</f>
        <v>21</v>
      </c>
      <c r="H53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38" t="s">
        <v>51</v>
      </c>
      <c r="J538" t="s">
        <v>118</v>
      </c>
      <c r="K538" t="s">
        <v>4014</v>
      </c>
      <c r="L538" s="17">
        <v>8879935549</v>
      </c>
      <c r="M538" s="19">
        <v>45658</v>
      </c>
      <c r="O538" t="s">
        <v>0</v>
      </c>
      <c r="Q538" t="s">
        <v>63</v>
      </c>
      <c r="R538" t="s">
        <v>54</v>
      </c>
      <c r="S538" t="s">
        <v>54</v>
      </c>
      <c r="T538" t="s">
        <v>499</v>
      </c>
      <c r="U538" t="s">
        <v>65</v>
      </c>
      <c r="V538" t="s">
        <v>57</v>
      </c>
      <c r="W538" t="s">
        <v>79</v>
      </c>
      <c r="X538" t="s">
        <v>60</v>
      </c>
      <c r="Z538" t="s">
        <v>81</v>
      </c>
      <c r="AA538" t="s">
        <v>62</v>
      </c>
      <c r="AB538">
        <v>1</v>
      </c>
      <c r="AD538" t="s">
        <v>54</v>
      </c>
      <c r="AE538" t="s">
        <v>54</v>
      </c>
      <c r="AF538" t="s">
        <v>64</v>
      </c>
      <c r="AG538" t="s">
        <v>54</v>
      </c>
      <c r="AH538" t="s">
        <v>131</v>
      </c>
      <c r="AI538" t="s">
        <v>248</v>
      </c>
      <c r="AJ538" t="s">
        <v>54</v>
      </c>
      <c r="AK538" t="s">
        <v>4015</v>
      </c>
      <c r="AL538" t="s">
        <v>4016</v>
      </c>
      <c r="AN538" s="19">
        <f>IF(ISBLANK(Mentors[[#This Row],[Onboarded Date]]),"",Mentors[[#This Row],[Onboarded Date]]-WEEKDAY(Mentors[[#This Row],[Onboarded Date]],2)+1)</f>
        <v>45656</v>
      </c>
    </row>
    <row r="539" spans="1:40" ht="19.2" customHeight="1" x14ac:dyDescent="0.3">
      <c r="A539" t="s">
        <v>4017</v>
      </c>
      <c r="B539" t="s">
        <v>4018</v>
      </c>
      <c r="C539" t="s">
        <v>4019</v>
      </c>
      <c r="D539" s="24" t="s">
        <v>4020</v>
      </c>
      <c r="E539" s="7" t="s">
        <v>4021</v>
      </c>
      <c r="F539">
        <v>1996</v>
      </c>
      <c r="G539">
        <f>IF(OR(Mentors[[#This Row],[Career Start Year]]="NA",ISBLANK(Mentors[[#This Row],[Career Start Year]])),"",2026 - Mentors[[#This Row],[Career Start Year]])</f>
        <v>30</v>
      </c>
      <c r="H53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39" t="s">
        <v>51</v>
      </c>
      <c r="J539" t="s">
        <v>835</v>
      </c>
      <c r="K539" t="s">
        <v>4022</v>
      </c>
      <c r="L539" s="17">
        <v>9971006533</v>
      </c>
      <c r="M539" s="19">
        <v>45658</v>
      </c>
      <c r="O539" t="s">
        <v>0</v>
      </c>
      <c r="Q539" t="s">
        <v>54</v>
      </c>
      <c r="R539" t="s">
        <v>54</v>
      </c>
      <c r="S539" t="s">
        <v>54</v>
      </c>
      <c r="T539" t="s">
        <v>166</v>
      </c>
      <c r="U539" t="s">
        <v>187</v>
      </c>
      <c r="V539" t="s">
        <v>120</v>
      </c>
      <c r="W539" t="s">
        <v>168</v>
      </c>
      <c r="X539" t="s">
        <v>1120</v>
      </c>
      <c r="Z539" t="s">
        <v>81</v>
      </c>
      <c r="AA539" t="s">
        <v>62</v>
      </c>
      <c r="AB539">
        <v>1</v>
      </c>
      <c r="AD539" t="s">
        <v>54</v>
      </c>
      <c r="AE539" t="s">
        <v>63</v>
      </c>
      <c r="AF539" t="s">
        <v>64</v>
      </c>
      <c r="AG539" t="s">
        <v>54</v>
      </c>
      <c r="AH539" t="s">
        <v>131</v>
      </c>
      <c r="AI539" t="s">
        <v>248</v>
      </c>
      <c r="AJ539" t="s">
        <v>54</v>
      </c>
      <c r="AK539" t="s">
        <v>3994</v>
      </c>
      <c r="AL539" t="s">
        <v>4023</v>
      </c>
      <c r="AN539" s="19">
        <f>IF(ISBLANK(Mentors[[#This Row],[Onboarded Date]]),"",Mentors[[#This Row],[Onboarded Date]]-WEEKDAY(Mentors[[#This Row],[Onboarded Date]],2)+1)</f>
        <v>45656</v>
      </c>
    </row>
    <row r="540" spans="1:40" ht="19.2" customHeight="1" x14ac:dyDescent="0.3">
      <c r="A540" t="s">
        <v>4024</v>
      </c>
      <c r="B540" t="s">
        <v>4025</v>
      </c>
      <c r="C540" t="s">
        <v>4026</v>
      </c>
      <c r="D540" s="24" t="s">
        <v>4027</v>
      </c>
      <c r="E540" t="s">
        <v>4028</v>
      </c>
      <c r="F540">
        <v>2001</v>
      </c>
      <c r="G540">
        <f>IF(OR(Mentors[[#This Row],[Career Start Year]]="NA",ISBLANK(Mentors[[#This Row],[Career Start Year]])),"",2026 - Mentors[[#This Row],[Career Start Year]])</f>
        <v>25</v>
      </c>
      <c r="H54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40" t="s">
        <v>51</v>
      </c>
      <c r="J540" t="s">
        <v>118</v>
      </c>
      <c r="K540" t="s">
        <v>4029</v>
      </c>
      <c r="L540" s="17">
        <v>9769005031</v>
      </c>
      <c r="M540" s="19">
        <v>45658</v>
      </c>
      <c r="O540" t="s">
        <v>0</v>
      </c>
      <c r="Q540" t="s">
        <v>54</v>
      </c>
      <c r="R540" t="s">
        <v>54</v>
      </c>
      <c r="S540" t="s">
        <v>54</v>
      </c>
      <c r="T540" t="s">
        <v>77</v>
      </c>
      <c r="U540" t="s">
        <v>100</v>
      </c>
      <c r="V540" t="s">
        <v>78</v>
      </c>
      <c r="W540" t="s">
        <v>79</v>
      </c>
      <c r="Z540" t="s">
        <v>81</v>
      </c>
      <c r="AA540" t="s">
        <v>62</v>
      </c>
      <c r="AB540">
        <v>1</v>
      </c>
      <c r="AD540" t="s">
        <v>54</v>
      </c>
      <c r="AE540" t="s">
        <v>54</v>
      </c>
      <c r="AF540" t="s">
        <v>64</v>
      </c>
      <c r="AG540" t="s">
        <v>54</v>
      </c>
      <c r="AH540" t="s">
        <v>131</v>
      </c>
      <c r="AI540" t="s">
        <v>132</v>
      </c>
      <c r="AJ540" t="s">
        <v>54</v>
      </c>
      <c r="AK540" t="s">
        <v>4030</v>
      </c>
      <c r="AL540" t="s">
        <v>4031</v>
      </c>
      <c r="AN540" s="19">
        <f>IF(ISBLANK(Mentors[[#This Row],[Onboarded Date]]),"",Mentors[[#This Row],[Onboarded Date]]-WEEKDAY(Mentors[[#This Row],[Onboarded Date]],2)+1)</f>
        <v>45656</v>
      </c>
    </row>
    <row r="541" spans="1:40" ht="19.2" customHeight="1" x14ac:dyDescent="0.3">
      <c r="A541" t="s">
        <v>4032</v>
      </c>
      <c r="B541" t="s">
        <v>4033</v>
      </c>
      <c r="C541" t="s">
        <v>4034</v>
      </c>
      <c r="D541" s="24" t="s">
        <v>4033</v>
      </c>
      <c r="E541" t="s">
        <v>4035</v>
      </c>
      <c r="F541">
        <v>2007</v>
      </c>
      <c r="G541">
        <f>IF(OR(Mentors[[#This Row],[Career Start Year]]="NA",ISBLANK(Mentors[[#This Row],[Career Start Year]])),"",2026 - Mentors[[#This Row],[Career Start Year]])</f>
        <v>19</v>
      </c>
      <c r="H54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541" t="s">
        <v>51</v>
      </c>
      <c r="J541" t="s">
        <v>118</v>
      </c>
      <c r="K541" t="s">
        <v>4036</v>
      </c>
      <c r="L541" s="17">
        <v>9767216274</v>
      </c>
      <c r="M541" s="19">
        <v>45658</v>
      </c>
      <c r="O541" t="s">
        <v>0</v>
      </c>
      <c r="Q541" t="s">
        <v>54</v>
      </c>
      <c r="R541" t="s">
        <v>63</v>
      </c>
      <c r="S541" t="s">
        <v>63</v>
      </c>
      <c r="T541" s="4" t="s">
        <v>756</v>
      </c>
      <c r="U541" t="s">
        <v>187</v>
      </c>
      <c r="V541" t="s">
        <v>57</v>
      </c>
      <c r="W541" t="s">
        <v>79</v>
      </c>
      <c r="X541" t="s">
        <v>59</v>
      </c>
      <c r="Z541" t="s">
        <v>81</v>
      </c>
      <c r="AA541" t="s">
        <v>62</v>
      </c>
      <c r="AB541">
        <v>1</v>
      </c>
      <c r="AD541" t="s">
        <v>54</v>
      </c>
      <c r="AE541" t="s">
        <v>63</v>
      </c>
      <c r="AF541" t="s">
        <v>64</v>
      </c>
      <c r="AG541" t="s">
        <v>54</v>
      </c>
      <c r="AH541" t="s">
        <v>152</v>
      </c>
      <c r="AI541" t="s">
        <v>248</v>
      </c>
      <c r="AJ541" t="s">
        <v>54</v>
      </c>
      <c r="AK541" t="s">
        <v>4037</v>
      </c>
      <c r="AL541" t="s">
        <v>644</v>
      </c>
      <c r="AN541" s="19">
        <f>IF(ISBLANK(Mentors[[#This Row],[Onboarded Date]]),"",Mentors[[#This Row],[Onboarded Date]]-WEEKDAY(Mentors[[#This Row],[Onboarded Date]],2)+1)</f>
        <v>45656</v>
      </c>
    </row>
    <row r="542" spans="1:40" ht="19.2" customHeight="1" x14ac:dyDescent="0.3">
      <c r="A542" t="s">
        <v>4038</v>
      </c>
      <c r="B542" t="s">
        <v>4039</v>
      </c>
      <c r="C542" t="s">
        <v>4040</v>
      </c>
      <c r="D542" s="24" t="s">
        <v>4041</v>
      </c>
      <c r="E542" t="s">
        <v>4042</v>
      </c>
      <c r="F542">
        <v>2002</v>
      </c>
      <c r="G542">
        <f>IF(OR(Mentors[[#This Row],[Career Start Year]]="NA",ISBLANK(Mentors[[#This Row],[Career Start Year]])),"",2026 - Mentors[[#This Row],[Career Start Year]])</f>
        <v>24</v>
      </c>
      <c r="H54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42" t="s">
        <v>51</v>
      </c>
      <c r="J542" t="s">
        <v>280</v>
      </c>
      <c r="K542" s="7" t="s">
        <v>4043</v>
      </c>
      <c r="L542" s="17">
        <v>9998030442</v>
      </c>
      <c r="M542" s="19">
        <v>45658</v>
      </c>
      <c r="O542" t="s">
        <v>0</v>
      </c>
      <c r="Q542" t="s">
        <v>54</v>
      </c>
      <c r="R542" t="s">
        <v>54</v>
      </c>
      <c r="S542" t="s">
        <v>63</v>
      </c>
      <c r="T542" t="s">
        <v>499</v>
      </c>
      <c r="U542" t="s">
        <v>65</v>
      </c>
      <c r="V542" s="4" t="s">
        <v>256</v>
      </c>
      <c r="W542" t="s">
        <v>79</v>
      </c>
      <c r="X542" t="s">
        <v>59</v>
      </c>
      <c r="Y542" t="s">
        <v>60</v>
      </c>
      <c r="Z542" t="s">
        <v>81</v>
      </c>
      <c r="AA542" t="s">
        <v>62</v>
      </c>
      <c r="AB542">
        <v>1</v>
      </c>
      <c r="AD542" t="s">
        <v>54</v>
      </c>
      <c r="AE542" t="s">
        <v>63</v>
      </c>
      <c r="AF542" t="s">
        <v>64</v>
      </c>
      <c r="AG542" t="s">
        <v>54</v>
      </c>
      <c r="AH542" t="s">
        <v>152</v>
      </c>
      <c r="AI542" t="s">
        <v>248</v>
      </c>
      <c r="AJ542" t="s">
        <v>54</v>
      </c>
      <c r="AK542" t="s">
        <v>4044</v>
      </c>
      <c r="AL542" t="s">
        <v>988</v>
      </c>
      <c r="AN542" s="19">
        <f>IF(ISBLANK(Mentors[[#This Row],[Onboarded Date]]),"",Mentors[[#This Row],[Onboarded Date]]-WEEKDAY(Mentors[[#This Row],[Onboarded Date]],2)+1)</f>
        <v>45656</v>
      </c>
    </row>
    <row r="543" spans="1:40" ht="19.2" customHeight="1" x14ac:dyDescent="0.3">
      <c r="A543" t="s">
        <v>4045</v>
      </c>
      <c r="B543" t="s">
        <v>152</v>
      </c>
      <c r="C543" t="s">
        <v>4046</v>
      </c>
      <c r="D543" s="9" t="s">
        <v>4047</v>
      </c>
      <c r="E543" t="s">
        <v>4048</v>
      </c>
      <c r="F543">
        <v>1990</v>
      </c>
      <c r="G543">
        <f>IF(OR(Mentors[[#This Row],[Career Start Year]]="NA",ISBLANK(Mentors[[#This Row],[Career Start Year]])),"",2026 - Mentors[[#This Row],[Career Start Year]])</f>
        <v>36</v>
      </c>
      <c r="H54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43" t="s">
        <v>51</v>
      </c>
      <c r="J543" t="s">
        <v>74</v>
      </c>
      <c r="K543" t="s">
        <v>4049</v>
      </c>
      <c r="L543" s="17">
        <v>9810063855</v>
      </c>
      <c r="M543" s="19">
        <v>45658</v>
      </c>
      <c r="O543" t="s">
        <v>0</v>
      </c>
      <c r="Q543" t="s">
        <v>54</v>
      </c>
      <c r="R543" t="s">
        <v>63</v>
      </c>
      <c r="S543" t="s">
        <v>63</v>
      </c>
      <c r="T543" s="4" t="s">
        <v>756</v>
      </c>
      <c r="U543" t="s">
        <v>77</v>
      </c>
      <c r="V543" s="4" t="s">
        <v>256</v>
      </c>
      <c r="W543" t="s">
        <v>79</v>
      </c>
      <c r="X543" t="s">
        <v>59</v>
      </c>
      <c r="Z543" t="s">
        <v>81</v>
      </c>
      <c r="AA543" t="s">
        <v>62</v>
      </c>
      <c r="AB543">
        <v>1</v>
      </c>
      <c r="AD543" t="s">
        <v>54</v>
      </c>
      <c r="AE543" t="s">
        <v>63</v>
      </c>
      <c r="AF543" t="s">
        <v>64</v>
      </c>
      <c r="AG543" t="s">
        <v>54</v>
      </c>
      <c r="AH543" t="s">
        <v>152</v>
      </c>
      <c r="AI543" t="s">
        <v>248</v>
      </c>
      <c r="AJ543" t="s">
        <v>54</v>
      </c>
      <c r="AK543" t="s">
        <v>4050</v>
      </c>
      <c r="AL543" t="s">
        <v>988</v>
      </c>
      <c r="AN543" s="19">
        <f>IF(ISBLANK(Mentors[[#This Row],[Onboarded Date]]),"",Mentors[[#This Row],[Onboarded Date]]-WEEKDAY(Mentors[[#This Row],[Onboarded Date]],2)+1)</f>
        <v>45656</v>
      </c>
    </row>
    <row r="544" spans="1:40" ht="19.2" customHeight="1" x14ac:dyDescent="0.3">
      <c r="A544" t="s">
        <v>4051</v>
      </c>
      <c r="B544" t="s">
        <v>4052</v>
      </c>
      <c r="C544" t="s">
        <v>4053</v>
      </c>
      <c r="D544" s="24" t="s">
        <v>4054</v>
      </c>
      <c r="E544" t="s">
        <v>4055</v>
      </c>
      <c r="F544">
        <v>2007</v>
      </c>
      <c r="G544">
        <f>IF(OR(Mentors[[#This Row],[Career Start Year]]="NA",ISBLANK(Mentors[[#This Row],[Career Start Year]])),"",2026 - Mentors[[#This Row],[Career Start Year]])</f>
        <v>19</v>
      </c>
      <c r="H54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544" t="s">
        <v>51</v>
      </c>
      <c r="J544" t="s">
        <v>280</v>
      </c>
      <c r="K544" t="s">
        <v>4056</v>
      </c>
      <c r="L544" s="17">
        <v>9897440202</v>
      </c>
      <c r="M544" s="19">
        <v>45658</v>
      </c>
      <c r="O544" t="s">
        <v>0</v>
      </c>
      <c r="Q544" t="s">
        <v>54</v>
      </c>
      <c r="R544" t="s">
        <v>54</v>
      </c>
      <c r="S544" t="s">
        <v>54</v>
      </c>
      <c r="T544" t="s">
        <v>499</v>
      </c>
      <c r="U544" t="s">
        <v>919</v>
      </c>
      <c r="V544" t="s">
        <v>58</v>
      </c>
      <c r="W544" s="4" t="s">
        <v>58</v>
      </c>
      <c r="X544" s="4" t="s">
        <v>80</v>
      </c>
      <c r="Y544" s="4"/>
      <c r="Z544" t="s">
        <v>81</v>
      </c>
      <c r="AA544" t="s">
        <v>62</v>
      </c>
      <c r="AB544">
        <v>1</v>
      </c>
      <c r="AD544" t="s">
        <v>54</v>
      </c>
      <c r="AE544" t="s">
        <v>54</v>
      </c>
      <c r="AF544" t="s">
        <v>64</v>
      </c>
      <c r="AG544" t="s">
        <v>54</v>
      </c>
      <c r="AH544" t="s">
        <v>131</v>
      </c>
      <c r="AI544" t="s">
        <v>248</v>
      </c>
      <c r="AJ544" t="s">
        <v>54</v>
      </c>
      <c r="AK544" t="s">
        <v>4057</v>
      </c>
      <c r="AL544" t="s">
        <v>988</v>
      </c>
      <c r="AN544" s="19">
        <f>IF(ISBLANK(Mentors[[#This Row],[Onboarded Date]]),"",Mentors[[#This Row],[Onboarded Date]]-WEEKDAY(Mentors[[#This Row],[Onboarded Date]],2)+1)</f>
        <v>45656</v>
      </c>
    </row>
    <row r="545" spans="1:40" ht="19.2" customHeight="1" x14ac:dyDescent="0.3">
      <c r="A545" t="s">
        <v>4058</v>
      </c>
      <c r="B545" t="s">
        <v>4059</v>
      </c>
      <c r="C545" t="s">
        <v>4060</v>
      </c>
      <c r="D545" s="24" t="s">
        <v>4061</v>
      </c>
      <c r="E545" t="s">
        <v>4062</v>
      </c>
      <c r="F545">
        <v>2010</v>
      </c>
      <c r="G545">
        <f>IF(OR(Mentors[[#This Row],[Career Start Year]]="NA",ISBLANK(Mentors[[#This Row],[Career Start Year]])),"",2026 - Mentors[[#This Row],[Career Start Year]])</f>
        <v>16</v>
      </c>
      <c r="H54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545" t="s">
        <v>51</v>
      </c>
      <c r="J545" t="s">
        <v>196</v>
      </c>
      <c r="K545" t="s">
        <v>4063</v>
      </c>
      <c r="L545" s="17">
        <v>8885014157</v>
      </c>
      <c r="M545" s="19">
        <v>45658</v>
      </c>
      <c r="N545" t="s">
        <v>3678</v>
      </c>
      <c r="O545" t="s">
        <v>0</v>
      </c>
      <c r="Q545" t="s">
        <v>54</v>
      </c>
      <c r="R545" t="s">
        <v>63</v>
      </c>
      <c r="S545" t="s">
        <v>63</v>
      </c>
      <c r="T545" t="s">
        <v>411</v>
      </c>
      <c r="U545" t="s">
        <v>77</v>
      </c>
      <c r="V545" t="s">
        <v>198</v>
      </c>
      <c r="W545" t="s">
        <v>79</v>
      </c>
      <c r="X545" t="s">
        <v>59</v>
      </c>
      <c r="Z545" t="s">
        <v>61</v>
      </c>
      <c r="AA545" t="s">
        <v>62</v>
      </c>
      <c r="AB545">
        <v>1</v>
      </c>
      <c r="AD545" t="s">
        <v>54</v>
      </c>
      <c r="AE545" t="s">
        <v>63</v>
      </c>
      <c r="AF545" t="s">
        <v>64</v>
      </c>
      <c r="AG545" t="s">
        <v>63</v>
      </c>
      <c r="AH545" t="s">
        <v>152</v>
      </c>
      <c r="AI545" t="s">
        <v>248</v>
      </c>
      <c r="AJ545" t="s">
        <v>54</v>
      </c>
      <c r="AK545" t="s">
        <v>4064</v>
      </c>
      <c r="AL545" t="s">
        <v>4065</v>
      </c>
      <c r="AN545" s="19">
        <f>IF(ISBLANK(Mentors[[#This Row],[Onboarded Date]]),"",Mentors[[#This Row],[Onboarded Date]]-WEEKDAY(Mentors[[#This Row],[Onboarded Date]],2)+1)</f>
        <v>45656</v>
      </c>
    </row>
    <row r="546" spans="1:40" ht="19.2" customHeight="1" x14ac:dyDescent="0.3">
      <c r="A546" t="s">
        <v>4066</v>
      </c>
      <c r="B546" t="s">
        <v>4067</v>
      </c>
      <c r="C546" t="s">
        <v>4068</v>
      </c>
      <c r="D546" s="24" t="s">
        <v>4069</v>
      </c>
      <c r="E546" t="s">
        <v>4070</v>
      </c>
      <c r="F546">
        <v>1999</v>
      </c>
      <c r="G546">
        <f>IF(OR(Mentors[[#This Row],[Career Start Year]]="NA",ISBLANK(Mentors[[#This Row],[Career Start Year]])),"",2026 - Mentors[[#This Row],[Career Start Year]])</f>
        <v>27</v>
      </c>
      <c r="H54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46" t="s">
        <v>51</v>
      </c>
      <c r="J546" t="s">
        <v>196</v>
      </c>
      <c r="K546" t="s">
        <v>4071</v>
      </c>
      <c r="L546" s="17">
        <v>6289595007</v>
      </c>
      <c r="M546" s="19">
        <v>45658</v>
      </c>
      <c r="O546" t="s">
        <v>0</v>
      </c>
      <c r="Q546" t="s">
        <v>63</v>
      </c>
      <c r="R546" t="s">
        <v>54</v>
      </c>
      <c r="S546" t="s">
        <v>54</v>
      </c>
      <c r="T546" t="s">
        <v>77</v>
      </c>
      <c r="U546" t="s">
        <v>65</v>
      </c>
      <c r="V546" t="s">
        <v>57</v>
      </c>
      <c r="W546" t="s">
        <v>79</v>
      </c>
      <c r="X546" t="s">
        <v>59</v>
      </c>
      <c r="Z546" t="s">
        <v>81</v>
      </c>
      <c r="AA546" t="s">
        <v>62</v>
      </c>
      <c r="AB546">
        <v>1</v>
      </c>
      <c r="AD546" t="s">
        <v>54</v>
      </c>
      <c r="AE546" t="s">
        <v>54</v>
      </c>
      <c r="AF546" t="s">
        <v>64</v>
      </c>
      <c r="AG546" t="s">
        <v>54</v>
      </c>
      <c r="AH546" t="s">
        <v>65</v>
      </c>
      <c r="AI546" t="s">
        <v>248</v>
      </c>
      <c r="AJ546" t="s">
        <v>54</v>
      </c>
      <c r="AK546" t="s">
        <v>4072</v>
      </c>
      <c r="AL546" t="s">
        <v>4073</v>
      </c>
      <c r="AN546" s="19">
        <f>IF(ISBLANK(Mentors[[#This Row],[Onboarded Date]]),"",Mentors[[#This Row],[Onboarded Date]]-WEEKDAY(Mentors[[#This Row],[Onboarded Date]],2)+1)</f>
        <v>45656</v>
      </c>
    </row>
    <row r="547" spans="1:40" ht="19.2" customHeight="1" x14ac:dyDescent="0.3">
      <c r="A547" t="s">
        <v>4074</v>
      </c>
      <c r="B547" t="s">
        <v>4075</v>
      </c>
      <c r="C547" t="s">
        <v>4076</v>
      </c>
      <c r="D547" s="24" t="s">
        <v>4077</v>
      </c>
      <c r="E547" t="s">
        <v>4078</v>
      </c>
      <c r="F547">
        <v>2013</v>
      </c>
      <c r="G547">
        <f>IF(OR(Mentors[[#This Row],[Career Start Year]]="NA",ISBLANK(Mentors[[#This Row],[Career Start Year]])),"",2026 - Mentors[[#This Row],[Career Start Year]])</f>
        <v>13</v>
      </c>
      <c r="H54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47" t="s">
        <v>51</v>
      </c>
      <c r="J547" t="s">
        <v>297</v>
      </c>
      <c r="K547" t="s">
        <v>4079</v>
      </c>
      <c r="L547" s="17">
        <v>9818321381</v>
      </c>
      <c r="M547" s="19">
        <v>45658</v>
      </c>
      <c r="N547" t="s">
        <v>3678</v>
      </c>
      <c r="O547" t="s">
        <v>0</v>
      </c>
      <c r="Q547" t="s">
        <v>54</v>
      </c>
      <c r="R547" t="s">
        <v>54</v>
      </c>
      <c r="S547" t="s">
        <v>54</v>
      </c>
      <c r="T547" t="s">
        <v>2543</v>
      </c>
      <c r="U547" t="s">
        <v>99</v>
      </c>
      <c r="V547" t="s">
        <v>120</v>
      </c>
      <c r="W547" t="s">
        <v>168</v>
      </c>
      <c r="X547" t="s">
        <v>59</v>
      </c>
      <c r="Z547" t="s">
        <v>101</v>
      </c>
      <c r="AA547" t="s">
        <v>62</v>
      </c>
      <c r="AB547">
        <v>1</v>
      </c>
      <c r="AD547" t="s">
        <v>54</v>
      </c>
      <c r="AE547" t="s">
        <v>54</v>
      </c>
      <c r="AF547" t="s">
        <v>64</v>
      </c>
      <c r="AG547" t="s">
        <v>54</v>
      </c>
      <c r="AH547" t="s">
        <v>65</v>
      </c>
      <c r="AI547" t="s">
        <v>248</v>
      </c>
      <c r="AJ547" t="s">
        <v>54</v>
      </c>
      <c r="AK547" t="s">
        <v>4080</v>
      </c>
      <c r="AL547" t="s">
        <v>4081</v>
      </c>
      <c r="AN547" s="19">
        <f>IF(ISBLANK(Mentors[[#This Row],[Onboarded Date]]),"",Mentors[[#This Row],[Onboarded Date]]-WEEKDAY(Mentors[[#This Row],[Onboarded Date]],2)+1)</f>
        <v>45656</v>
      </c>
    </row>
    <row r="548" spans="1:40" ht="19.2" customHeight="1" x14ac:dyDescent="0.3">
      <c r="A548" t="s">
        <v>4082</v>
      </c>
      <c r="B548" t="s">
        <v>4083</v>
      </c>
      <c r="C548" t="s">
        <v>4084</v>
      </c>
      <c r="D548" s="24" t="s">
        <v>4085</v>
      </c>
      <c r="E548" t="s">
        <v>4086</v>
      </c>
      <c r="F548">
        <v>1996</v>
      </c>
      <c r="G548">
        <f>IF(OR(Mentors[[#This Row],[Career Start Year]]="NA",ISBLANK(Mentors[[#This Row],[Career Start Year]])),"",2026 - Mentors[[#This Row],[Career Start Year]])</f>
        <v>30</v>
      </c>
      <c r="H54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48" t="s">
        <v>51</v>
      </c>
      <c r="J548" t="s">
        <v>389</v>
      </c>
      <c r="K548" t="s">
        <v>4087</v>
      </c>
      <c r="L548" s="17">
        <v>9811306779</v>
      </c>
      <c r="M548" s="19">
        <v>45658</v>
      </c>
      <c r="O548" t="s">
        <v>0</v>
      </c>
      <c r="Q548" t="s">
        <v>54</v>
      </c>
      <c r="R548" t="s">
        <v>54</v>
      </c>
      <c r="S548" t="s">
        <v>63</v>
      </c>
      <c r="T548" t="s">
        <v>265</v>
      </c>
      <c r="U548" t="s">
        <v>77</v>
      </c>
      <c r="V548" t="s">
        <v>78</v>
      </c>
      <c r="W548" t="s">
        <v>79</v>
      </c>
      <c r="Z548" t="s">
        <v>81</v>
      </c>
      <c r="AA548" t="s">
        <v>62</v>
      </c>
      <c r="AB548">
        <v>1</v>
      </c>
      <c r="AD548" t="s">
        <v>54</v>
      </c>
      <c r="AE548" t="s">
        <v>63</v>
      </c>
      <c r="AF548" t="s">
        <v>64</v>
      </c>
      <c r="AG548" t="s">
        <v>54</v>
      </c>
      <c r="AH548" t="s">
        <v>131</v>
      </c>
      <c r="AI548" t="s">
        <v>248</v>
      </c>
      <c r="AJ548" t="s">
        <v>54</v>
      </c>
      <c r="AK548" t="s">
        <v>4088</v>
      </c>
      <c r="AL548" t="s">
        <v>1221</v>
      </c>
      <c r="AN548" s="19">
        <f>IF(ISBLANK(Mentors[[#This Row],[Onboarded Date]]),"",Mentors[[#This Row],[Onboarded Date]]-WEEKDAY(Mentors[[#This Row],[Onboarded Date]],2)+1)</f>
        <v>45656</v>
      </c>
    </row>
    <row r="549" spans="1:40" ht="19.2" customHeight="1" x14ac:dyDescent="0.3">
      <c r="A549" t="s">
        <v>4089</v>
      </c>
      <c r="B549" t="s">
        <v>4090</v>
      </c>
      <c r="C549" t="s">
        <v>4091</v>
      </c>
      <c r="D549" s="24" t="s">
        <v>4092</v>
      </c>
      <c r="E549" t="s">
        <v>4093</v>
      </c>
      <c r="F549">
        <v>2013</v>
      </c>
      <c r="G549">
        <f>IF(OR(Mentors[[#This Row],[Career Start Year]]="NA",ISBLANK(Mentors[[#This Row],[Career Start Year]])),"",2026 - Mentors[[#This Row],[Career Start Year]])</f>
        <v>13</v>
      </c>
      <c r="H54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49" t="s">
        <v>51</v>
      </c>
      <c r="J549" t="s">
        <v>118</v>
      </c>
      <c r="M549" s="19">
        <v>45658</v>
      </c>
      <c r="O549" t="s">
        <v>0</v>
      </c>
      <c r="Q549" t="s">
        <v>54</v>
      </c>
      <c r="R549" t="s">
        <v>54</v>
      </c>
      <c r="S549" t="s">
        <v>54</v>
      </c>
      <c r="T549" s="4" t="s">
        <v>756</v>
      </c>
      <c r="U549" t="s">
        <v>187</v>
      </c>
      <c r="V549" t="s">
        <v>78</v>
      </c>
      <c r="W549" t="s">
        <v>79</v>
      </c>
      <c r="X549" t="s">
        <v>59</v>
      </c>
      <c r="Z549" t="s">
        <v>101</v>
      </c>
      <c r="AA549" t="s">
        <v>62</v>
      </c>
      <c r="AB549">
        <v>1</v>
      </c>
      <c r="AD549" t="s">
        <v>54</v>
      </c>
      <c r="AE549" t="s">
        <v>54</v>
      </c>
      <c r="AF549" t="s">
        <v>64</v>
      </c>
      <c r="AG549" t="s">
        <v>54</v>
      </c>
      <c r="AH549" t="s">
        <v>131</v>
      </c>
      <c r="AI549" t="s">
        <v>248</v>
      </c>
      <c r="AJ549" t="s">
        <v>54</v>
      </c>
      <c r="AK549" t="s">
        <v>4094</v>
      </c>
      <c r="AL549" t="s">
        <v>4095</v>
      </c>
      <c r="AN549" s="19">
        <f>IF(ISBLANK(Mentors[[#This Row],[Onboarded Date]]),"",Mentors[[#This Row],[Onboarded Date]]-WEEKDAY(Mentors[[#This Row],[Onboarded Date]],2)+1)</f>
        <v>45656</v>
      </c>
    </row>
    <row r="550" spans="1:40" ht="19.2" customHeight="1" x14ac:dyDescent="0.3">
      <c r="A550" t="s">
        <v>4096</v>
      </c>
      <c r="B550" t="s">
        <v>4097</v>
      </c>
      <c r="C550" t="s">
        <v>115</v>
      </c>
      <c r="D550" s="24" t="s">
        <v>4098</v>
      </c>
      <c r="E550" t="s">
        <v>4099</v>
      </c>
      <c r="F550">
        <v>2020</v>
      </c>
      <c r="G550">
        <f>IF(OR(Mentors[[#This Row],[Career Start Year]]="NA",ISBLANK(Mentors[[#This Row],[Career Start Year]])),"",2026 - Mentors[[#This Row],[Career Start Year]])</f>
        <v>6</v>
      </c>
      <c r="H55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550" t="s">
        <v>51</v>
      </c>
      <c r="J550" t="s">
        <v>196</v>
      </c>
      <c r="K550" t="s">
        <v>4100</v>
      </c>
      <c r="M550" s="19">
        <v>45658</v>
      </c>
      <c r="N550" t="s">
        <v>3678</v>
      </c>
      <c r="O550" t="s">
        <v>0</v>
      </c>
      <c r="Q550" t="s">
        <v>54</v>
      </c>
      <c r="R550" t="s">
        <v>54</v>
      </c>
      <c r="S550" t="s">
        <v>54</v>
      </c>
      <c r="T550" t="s">
        <v>247</v>
      </c>
      <c r="U550" t="s">
        <v>79</v>
      </c>
      <c r="V550" t="s">
        <v>256</v>
      </c>
      <c r="W550" t="s">
        <v>79</v>
      </c>
      <c r="X550" t="s">
        <v>59</v>
      </c>
      <c r="Z550" t="s">
        <v>81</v>
      </c>
      <c r="AA550" t="s">
        <v>62</v>
      </c>
      <c r="AB550">
        <v>1</v>
      </c>
      <c r="AD550" t="s">
        <v>63</v>
      </c>
      <c r="AE550" t="s">
        <v>54</v>
      </c>
      <c r="AF550" t="s">
        <v>64</v>
      </c>
      <c r="AG550" t="s">
        <v>54</v>
      </c>
      <c r="AH550" t="s">
        <v>65</v>
      </c>
      <c r="AI550" t="s">
        <v>248</v>
      </c>
      <c r="AJ550" t="s">
        <v>54</v>
      </c>
      <c r="AK550" t="s">
        <v>4101</v>
      </c>
      <c r="AL550" t="s">
        <v>4102</v>
      </c>
      <c r="AN550" s="19">
        <f>IF(ISBLANK(Mentors[[#This Row],[Onboarded Date]]),"",Mentors[[#This Row],[Onboarded Date]]-WEEKDAY(Mentors[[#This Row],[Onboarded Date]],2)+1)</f>
        <v>45656</v>
      </c>
    </row>
    <row r="551" spans="1:40" ht="19.2" customHeight="1" x14ac:dyDescent="0.3">
      <c r="A551" t="s">
        <v>4103</v>
      </c>
      <c r="C551" t="s">
        <v>986</v>
      </c>
      <c r="F551">
        <v>2013</v>
      </c>
      <c r="G551">
        <f>IF(OR(Mentors[[#This Row],[Career Start Year]]="NA",ISBLANK(Mentors[[#This Row],[Career Start Year]])),"",2026 - Mentors[[#This Row],[Career Start Year]])</f>
        <v>13</v>
      </c>
      <c r="H55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51" t="s">
        <v>51</v>
      </c>
      <c r="J551" t="s">
        <v>935</v>
      </c>
      <c r="M551" s="19">
        <v>45658</v>
      </c>
      <c r="N551" t="s">
        <v>6</v>
      </c>
      <c r="Q551" t="s">
        <v>54</v>
      </c>
      <c r="R551" t="s">
        <v>54</v>
      </c>
      <c r="S551" t="s">
        <v>54</v>
      </c>
      <c r="T551" t="s">
        <v>499</v>
      </c>
      <c r="U551" t="s">
        <v>79</v>
      </c>
      <c r="V551" t="s">
        <v>256</v>
      </c>
      <c r="W551" t="s">
        <v>79</v>
      </c>
      <c r="Z551" t="s">
        <v>169</v>
      </c>
      <c r="AA551" t="s">
        <v>170</v>
      </c>
      <c r="AB551">
        <v>1</v>
      </c>
      <c r="AD551" t="s">
        <v>63</v>
      </c>
      <c r="AG551" t="s">
        <v>54</v>
      </c>
      <c r="AH551" t="s">
        <v>65</v>
      </c>
      <c r="AI551" t="s">
        <v>248</v>
      </c>
      <c r="AJ551" t="s">
        <v>54</v>
      </c>
      <c r="AK551" t="s">
        <v>4104</v>
      </c>
      <c r="AL551" t="s">
        <v>988</v>
      </c>
      <c r="AN551" s="19">
        <f>IF(ISBLANK(Mentors[[#This Row],[Onboarded Date]]),"",Mentors[[#This Row],[Onboarded Date]]-WEEKDAY(Mentors[[#This Row],[Onboarded Date]],2)+1)</f>
        <v>45656</v>
      </c>
    </row>
    <row r="552" spans="1:40" ht="19.2" customHeight="1" x14ac:dyDescent="0.3">
      <c r="A552" t="s">
        <v>4105</v>
      </c>
      <c r="C552" t="s">
        <v>986</v>
      </c>
      <c r="F552">
        <v>2013</v>
      </c>
      <c r="G552">
        <f>IF(OR(Mentors[[#This Row],[Career Start Year]]="NA",ISBLANK(Mentors[[#This Row],[Career Start Year]])),"",2026 - Mentors[[#This Row],[Career Start Year]])</f>
        <v>13</v>
      </c>
      <c r="H55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52" t="s">
        <v>51</v>
      </c>
      <c r="J552" t="s">
        <v>88</v>
      </c>
      <c r="M552" s="19">
        <v>45658</v>
      </c>
      <c r="N552" t="s">
        <v>6</v>
      </c>
      <c r="Q552" t="s">
        <v>54</v>
      </c>
      <c r="R552" t="s">
        <v>54</v>
      </c>
      <c r="S552" t="s">
        <v>54</v>
      </c>
      <c r="T552" t="s">
        <v>499</v>
      </c>
      <c r="U552" t="s">
        <v>79</v>
      </c>
      <c r="V552" t="s">
        <v>256</v>
      </c>
      <c r="W552" t="s">
        <v>79</v>
      </c>
      <c r="Z552" t="s">
        <v>169</v>
      </c>
      <c r="AA552" t="s">
        <v>170</v>
      </c>
      <c r="AB552">
        <v>1</v>
      </c>
      <c r="AD552" t="s">
        <v>63</v>
      </c>
      <c r="AG552" t="s">
        <v>54</v>
      </c>
      <c r="AH552" t="s">
        <v>65</v>
      </c>
      <c r="AI552" t="s">
        <v>248</v>
      </c>
      <c r="AJ552" t="s">
        <v>54</v>
      </c>
      <c r="AK552" t="s">
        <v>4104</v>
      </c>
      <c r="AL552" t="s">
        <v>988</v>
      </c>
      <c r="AN552" s="19">
        <f>IF(ISBLANK(Mentors[[#This Row],[Onboarded Date]]),"",Mentors[[#This Row],[Onboarded Date]]-WEEKDAY(Mentors[[#This Row],[Onboarded Date]],2)+1)</f>
        <v>45656</v>
      </c>
    </row>
    <row r="553" spans="1:40" ht="19.2" customHeight="1" x14ac:dyDescent="0.3">
      <c r="A553" t="s">
        <v>4106</v>
      </c>
      <c r="C553" t="s">
        <v>986</v>
      </c>
      <c r="F553">
        <v>2013</v>
      </c>
      <c r="G553">
        <f>IF(OR(Mentors[[#This Row],[Career Start Year]]="NA",ISBLANK(Mentors[[#This Row],[Career Start Year]])),"",2026 - Mentors[[#This Row],[Career Start Year]])</f>
        <v>13</v>
      </c>
      <c r="H55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53" t="s">
        <v>51</v>
      </c>
      <c r="J553" t="s">
        <v>140</v>
      </c>
      <c r="M553" s="19">
        <v>45658</v>
      </c>
      <c r="N553" t="s">
        <v>6</v>
      </c>
      <c r="Q553" t="s">
        <v>54</v>
      </c>
      <c r="R553" t="s">
        <v>54</v>
      </c>
      <c r="S553" t="s">
        <v>54</v>
      </c>
      <c r="T553" t="s">
        <v>499</v>
      </c>
      <c r="U553" t="s">
        <v>79</v>
      </c>
      <c r="V553" t="s">
        <v>256</v>
      </c>
      <c r="W553" t="s">
        <v>79</v>
      </c>
      <c r="Z553" t="s">
        <v>169</v>
      </c>
      <c r="AA553" t="s">
        <v>170</v>
      </c>
      <c r="AB553">
        <v>1</v>
      </c>
      <c r="AD553" t="s">
        <v>63</v>
      </c>
      <c r="AG553" t="s">
        <v>54</v>
      </c>
      <c r="AH553" t="s">
        <v>65</v>
      </c>
      <c r="AI553" t="s">
        <v>248</v>
      </c>
      <c r="AJ553" t="s">
        <v>54</v>
      </c>
      <c r="AK553" t="s">
        <v>4104</v>
      </c>
      <c r="AL553" t="s">
        <v>988</v>
      </c>
      <c r="AN553" s="19">
        <f>IF(ISBLANK(Mentors[[#This Row],[Onboarded Date]]),"",Mentors[[#This Row],[Onboarded Date]]-WEEKDAY(Mentors[[#This Row],[Onboarded Date]],2)+1)</f>
        <v>45656</v>
      </c>
    </row>
    <row r="554" spans="1:40" ht="19.2" customHeight="1" x14ac:dyDescent="0.3">
      <c r="A554" t="s">
        <v>4107</v>
      </c>
      <c r="C554" t="s">
        <v>986</v>
      </c>
      <c r="F554">
        <v>2013</v>
      </c>
      <c r="G554">
        <f>IF(OR(Mentors[[#This Row],[Career Start Year]]="NA",ISBLANK(Mentors[[#This Row],[Career Start Year]])),"",2026 - Mentors[[#This Row],[Career Start Year]])</f>
        <v>13</v>
      </c>
      <c r="H55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54" t="s">
        <v>51</v>
      </c>
      <c r="J554" t="s">
        <v>140</v>
      </c>
      <c r="M554" s="19">
        <v>45658</v>
      </c>
      <c r="N554" t="s">
        <v>6</v>
      </c>
      <c r="Q554" t="s">
        <v>54</v>
      </c>
      <c r="R554" t="s">
        <v>54</v>
      </c>
      <c r="S554" t="s">
        <v>54</v>
      </c>
      <c r="T554" t="s">
        <v>499</v>
      </c>
      <c r="U554" t="s">
        <v>79</v>
      </c>
      <c r="V554" t="s">
        <v>256</v>
      </c>
      <c r="W554" t="s">
        <v>79</v>
      </c>
      <c r="Z554" t="s">
        <v>169</v>
      </c>
      <c r="AA554" t="s">
        <v>170</v>
      </c>
      <c r="AB554">
        <v>1</v>
      </c>
      <c r="AD554" t="s">
        <v>63</v>
      </c>
      <c r="AG554" t="s">
        <v>54</v>
      </c>
      <c r="AH554" t="s">
        <v>65</v>
      </c>
      <c r="AI554" t="s">
        <v>248</v>
      </c>
      <c r="AJ554" t="s">
        <v>54</v>
      </c>
      <c r="AK554" t="s">
        <v>4104</v>
      </c>
      <c r="AL554" t="s">
        <v>988</v>
      </c>
      <c r="AN554" s="19">
        <f>IF(ISBLANK(Mentors[[#This Row],[Onboarded Date]]),"",Mentors[[#This Row],[Onboarded Date]]-WEEKDAY(Mentors[[#This Row],[Onboarded Date]],2)+1)</f>
        <v>45656</v>
      </c>
    </row>
    <row r="555" spans="1:40" ht="19.2" customHeight="1" x14ac:dyDescent="0.3">
      <c r="A555" t="s">
        <v>4108</v>
      </c>
      <c r="C555" t="s">
        <v>986</v>
      </c>
      <c r="F555">
        <v>2013</v>
      </c>
      <c r="G555">
        <f>IF(OR(Mentors[[#This Row],[Career Start Year]]="NA",ISBLANK(Mentors[[#This Row],[Career Start Year]])),"",2026 - Mentors[[#This Row],[Career Start Year]])</f>
        <v>13</v>
      </c>
      <c r="H55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55" t="s">
        <v>51</v>
      </c>
      <c r="J555" t="s">
        <v>935</v>
      </c>
      <c r="M555" s="19">
        <v>45658</v>
      </c>
      <c r="N555" t="s">
        <v>4</v>
      </c>
      <c r="Q555" t="s">
        <v>54</v>
      </c>
      <c r="R555" t="s">
        <v>54</v>
      </c>
      <c r="S555" t="s">
        <v>54</v>
      </c>
      <c r="T555" t="s">
        <v>499</v>
      </c>
      <c r="U555" t="s">
        <v>79</v>
      </c>
      <c r="V555" t="s">
        <v>256</v>
      </c>
      <c r="W555" t="s">
        <v>79</v>
      </c>
      <c r="Z555" t="s">
        <v>169</v>
      </c>
      <c r="AA555" t="s">
        <v>170</v>
      </c>
      <c r="AB555">
        <v>1</v>
      </c>
      <c r="AD555" t="s">
        <v>63</v>
      </c>
      <c r="AG555" t="s">
        <v>54</v>
      </c>
      <c r="AH555" t="s">
        <v>65</v>
      </c>
      <c r="AI555" t="s">
        <v>248</v>
      </c>
      <c r="AJ555" t="s">
        <v>54</v>
      </c>
      <c r="AK555" t="s">
        <v>4104</v>
      </c>
      <c r="AL555" t="s">
        <v>988</v>
      </c>
      <c r="AN555" s="19">
        <f>IF(ISBLANK(Mentors[[#This Row],[Onboarded Date]]),"",Mentors[[#This Row],[Onboarded Date]]-WEEKDAY(Mentors[[#This Row],[Onboarded Date]],2)+1)</f>
        <v>45656</v>
      </c>
    </row>
    <row r="556" spans="1:40" ht="19.2" customHeight="1" x14ac:dyDescent="0.3">
      <c r="A556" t="s">
        <v>4109</v>
      </c>
      <c r="C556" t="s">
        <v>986</v>
      </c>
      <c r="F556">
        <v>2013</v>
      </c>
      <c r="G556">
        <f>IF(OR(Mentors[[#This Row],[Career Start Year]]="NA",ISBLANK(Mentors[[#This Row],[Career Start Year]])),"",2026 - Mentors[[#This Row],[Career Start Year]])</f>
        <v>13</v>
      </c>
      <c r="H55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56" t="s">
        <v>51</v>
      </c>
      <c r="J556" t="s">
        <v>196</v>
      </c>
      <c r="M556" s="19">
        <v>45658</v>
      </c>
      <c r="N556" t="s">
        <v>4</v>
      </c>
      <c r="Q556" t="s">
        <v>54</v>
      </c>
      <c r="R556" t="s">
        <v>54</v>
      </c>
      <c r="S556" t="s">
        <v>54</v>
      </c>
      <c r="T556" t="s">
        <v>499</v>
      </c>
      <c r="U556" t="s">
        <v>79</v>
      </c>
      <c r="V556" t="s">
        <v>256</v>
      </c>
      <c r="W556" t="s">
        <v>79</v>
      </c>
      <c r="Z556" t="s">
        <v>169</v>
      </c>
      <c r="AA556" t="s">
        <v>170</v>
      </c>
      <c r="AB556">
        <v>1</v>
      </c>
      <c r="AD556" t="s">
        <v>63</v>
      </c>
      <c r="AG556" t="s">
        <v>54</v>
      </c>
      <c r="AH556" t="s">
        <v>65</v>
      </c>
      <c r="AI556" t="s">
        <v>248</v>
      </c>
      <c r="AJ556" t="s">
        <v>54</v>
      </c>
      <c r="AK556" t="s">
        <v>4104</v>
      </c>
      <c r="AL556" t="s">
        <v>988</v>
      </c>
      <c r="AN556" s="19">
        <f>IF(ISBLANK(Mentors[[#This Row],[Onboarded Date]]),"",Mentors[[#This Row],[Onboarded Date]]-WEEKDAY(Mentors[[#This Row],[Onboarded Date]],2)+1)</f>
        <v>45656</v>
      </c>
    </row>
    <row r="557" spans="1:40" ht="19.2" customHeight="1" x14ac:dyDescent="0.3">
      <c r="A557" t="s">
        <v>4110</v>
      </c>
      <c r="C557" t="s">
        <v>986</v>
      </c>
      <c r="F557">
        <v>2013</v>
      </c>
      <c r="G557">
        <f>IF(OR(Mentors[[#This Row],[Career Start Year]]="NA",ISBLANK(Mentors[[#This Row],[Career Start Year]])),"",2026 - Mentors[[#This Row],[Career Start Year]])</f>
        <v>13</v>
      </c>
      <c r="H55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57" t="s">
        <v>51</v>
      </c>
      <c r="J557" t="s">
        <v>297</v>
      </c>
      <c r="M557" s="19">
        <v>45658</v>
      </c>
      <c r="N557" t="s">
        <v>4</v>
      </c>
      <c r="Q557" t="s">
        <v>54</v>
      </c>
      <c r="R557" t="s">
        <v>54</v>
      </c>
      <c r="S557" t="s">
        <v>54</v>
      </c>
      <c r="T557" t="s">
        <v>499</v>
      </c>
      <c r="U557" t="s">
        <v>79</v>
      </c>
      <c r="V557" t="s">
        <v>256</v>
      </c>
      <c r="W557" t="s">
        <v>79</v>
      </c>
      <c r="Z557" t="s">
        <v>169</v>
      </c>
      <c r="AA557" t="s">
        <v>170</v>
      </c>
      <c r="AB557">
        <v>1</v>
      </c>
      <c r="AD557" t="s">
        <v>63</v>
      </c>
      <c r="AG557" t="s">
        <v>54</v>
      </c>
      <c r="AH557" t="s">
        <v>65</v>
      </c>
      <c r="AI557" t="s">
        <v>248</v>
      </c>
      <c r="AJ557" t="s">
        <v>54</v>
      </c>
      <c r="AK557" t="s">
        <v>4104</v>
      </c>
      <c r="AL557" t="s">
        <v>988</v>
      </c>
      <c r="AN557" s="19">
        <f>IF(ISBLANK(Mentors[[#This Row],[Onboarded Date]]),"",Mentors[[#This Row],[Onboarded Date]]-WEEKDAY(Mentors[[#This Row],[Onboarded Date]],2)+1)</f>
        <v>45656</v>
      </c>
    </row>
    <row r="558" spans="1:40" ht="19.2" customHeight="1" x14ac:dyDescent="0.3">
      <c r="A558" t="s">
        <v>4111</v>
      </c>
      <c r="C558" t="s">
        <v>986</v>
      </c>
      <c r="F558">
        <v>2013</v>
      </c>
      <c r="G558">
        <f>IF(OR(Mentors[[#This Row],[Career Start Year]]="NA",ISBLANK(Mentors[[#This Row],[Career Start Year]])),"",2026 - Mentors[[#This Row],[Career Start Year]])</f>
        <v>13</v>
      </c>
      <c r="H55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58" t="s">
        <v>51</v>
      </c>
      <c r="J558" t="s">
        <v>314</v>
      </c>
      <c r="M558" s="19">
        <v>45658</v>
      </c>
      <c r="N558" t="s">
        <v>4</v>
      </c>
      <c r="Q558" t="s">
        <v>54</v>
      </c>
      <c r="R558" t="s">
        <v>54</v>
      </c>
      <c r="S558" t="s">
        <v>54</v>
      </c>
      <c r="T558" t="s">
        <v>499</v>
      </c>
      <c r="U558" t="s">
        <v>79</v>
      </c>
      <c r="V558" t="s">
        <v>256</v>
      </c>
      <c r="W558" t="s">
        <v>79</v>
      </c>
      <c r="Z558" t="s">
        <v>169</v>
      </c>
      <c r="AA558" t="s">
        <v>170</v>
      </c>
      <c r="AB558">
        <v>1</v>
      </c>
      <c r="AD558" t="s">
        <v>63</v>
      </c>
      <c r="AG558" t="s">
        <v>54</v>
      </c>
      <c r="AH558" t="s">
        <v>65</v>
      </c>
      <c r="AI558" t="s">
        <v>248</v>
      </c>
      <c r="AJ558" t="s">
        <v>54</v>
      </c>
      <c r="AK558" t="s">
        <v>4104</v>
      </c>
      <c r="AL558" t="s">
        <v>988</v>
      </c>
      <c r="AN558" s="19">
        <f>IF(ISBLANK(Mentors[[#This Row],[Onboarded Date]]),"",Mentors[[#This Row],[Onboarded Date]]-WEEKDAY(Mentors[[#This Row],[Onboarded Date]],2)+1)</f>
        <v>45656</v>
      </c>
    </row>
    <row r="559" spans="1:40" ht="19.2" customHeight="1" x14ac:dyDescent="0.3">
      <c r="A559" t="s">
        <v>4112</v>
      </c>
      <c r="C559" t="s">
        <v>986</v>
      </c>
      <c r="F559">
        <v>2013</v>
      </c>
      <c r="G559">
        <f>IF(OR(Mentors[[#This Row],[Career Start Year]]="NA",ISBLANK(Mentors[[#This Row],[Career Start Year]])),"",2026 - Mentors[[#This Row],[Career Start Year]])</f>
        <v>13</v>
      </c>
      <c r="H55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59" t="s">
        <v>51</v>
      </c>
      <c r="J559" t="s">
        <v>4113</v>
      </c>
      <c r="M559" s="19">
        <v>45658</v>
      </c>
      <c r="N559" t="s">
        <v>4</v>
      </c>
      <c r="Q559" t="s">
        <v>54</v>
      </c>
      <c r="R559" t="s">
        <v>54</v>
      </c>
      <c r="S559" t="s">
        <v>54</v>
      </c>
      <c r="T559" t="s">
        <v>499</v>
      </c>
      <c r="U559" t="s">
        <v>79</v>
      </c>
      <c r="V559" t="s">
        <v>256</v>
      </c>
      <c r="W559" t="s">
        <v>79</v>
      </c>
      <c r="Z559" t="s">
        <v>169</v>
      </c>
      <c r="AA559" t="s">
        <v>170</v>
      </c>
      <c r="AB559">
        <v>1</v>
      </c>
      <c r="AD559" t="s">
        <v>63</v>
      </c>
      <c r="AG559" t="s">
        <v>54</v>
      </c>
      <c r="AH559" t="s">
        <v>65</v>
      </c>
      <c r="AI559" t="s">
        <v>248</v>
      </c>
      <c r="AJ559" t="s">
        <v>54</v>
      </c>
      <c r="AK559" t="s">
        <v>4104</v>
      </c>
      <c r="AL559" t="s">
        <v>988</v>
      </c>
      <c r="AN559" s="19">
        <f>IF(ISBLANK(Mentors[[#This Row],[Onboarded Date]]),"",Mentors[[#This Row],[Onboarded Date]]-WEEKDAY(Mentors[[#This Row],[Onboarded Date]],2)+1)</f>
        <v>45656</v>
      </c>
    </row>
    <row r="560" spans="1:40" ht="19.2" customHeight="1" x14ac:dyDescent="0.3">
      <c r="A560" t="s">
        <v>4114</v>
      </c>
      <c r="C560" t="s">
        <v>986</v>
      </c>
      <c r="F560">
        <v>2013</v>
      </c>
      <c r="G560">
        <f>IF(OR(Mentors[[#This Row],[Career Start Year]]="NA",ISBLANK(Mentors[[#This Row],[Career Start Year]])),"",2026 - Mentors[[#This Row],[Career Start Year]])</f>
        <v>13</v>
      </c>
      <c r="H56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60" t="s">
        <v>51</v>
      </c>
      <c r="J560" t="s">
        <v>4115</v>
      </c>
      <c r="M560" s="19">
        <v>45658</v>
      </c>
      <c r="N560" t="s">
        <v>4</v>
      </c>
      <c r="Q560" t="s">
        <v>54</v>
      </c>
      <c r="R560" t="s">
        <v>54</v>
      </c>
      <c r="S560" t="s">
        <v>54</v>
      </c>
      <c r="T560" t="s">
        <v>499</v>
      </c>
      <c r="U560" t="s">
        <v>79</v>
      </c>
      <c r="V560" t="s">
        <v>256</v>
      </c>
      <c r="W560" t="s">
        <v>79</v>
      </c>
      <c r="Z560" t="s">
        <v>169</v>
      </c>
      <c r="AA560" t="s">
        <v>170</v>
      </c>
      <c r="AB560">
        <v>1</v>
      </c>
      <c r="AD560" t="s">
        <v>63</v>
      </c>
      <c r="AG560" t="s">
        <v>54</v>
      </c>
      <c r="AH560" t="s">
        <v>65</v>
      </c>
      <c r="AI560" t="s">
        <v>248</v>
      </c>
      <c r="AJ560" t="s">
        <v>54</v>
      </c>
      <c r="AK560" t="s">
        <v>4104</v>
      </c>
      <c r="AL560" t="s">
        <v>988</v>
      </c>
      <c r="AN560" s="19">
        <f>IF(ISBLANK(Mentors[[#This Row],[Onboarded Date]]),"",Mentors[[#This Row],[Onboarded Date]]-WEEKDAY(Mentors[[#This Row],[Onboarded Date]],2)+1)</f>
        <v>45656</v>
      </c>
    </row>
    <row r="561" spans="1:40" ht="19.2" customHeight="1" x14ac:dyDescent="0.3">
      <c r="A561" t="s">
        <v>4116</v>
      </c>
      <c r="C561" t="s">
        <v>986</v>
      </c>
      <c r="F561">
        <v>2013</v>
      </c>
      <c r="G561">
        <f>IF(OR(Mentors[[#This Row],[Career Start Year]]="NA",ISBLANK(Mentors[[#This Row],[Career Start Year]])),"",2026 - Mentors[[#This Row],[Career Start Year]])</f>
        <v>13</v>
      </c>
      <c r="H56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61" t="s">
        <v>51</v>
      </c>
      <c r="J561" t="s">
        <v>280</v>
      </c>
      <c r="M561" s="19">
        <v>45658</v>
      </c>
      <c r="N561" t="s">
        <v>10</v>
      </c>
      <c r="Q561" t="s">
        <v>54</v>
      </c>
      <c r="R561" t="s">
        <v>54</v>
      </c>
      <c r="S561" t="s">
        <v>54</v>
      </c>
      <c r="T561" t="s">
        <v>499</v>
      </c>
      <c r="U561" t="s">
        <v>79</v>
      </c>
      <c r="V561" t="s">
        <v>256</v>
      </c>
      <c r="W561" t="s">
        <v>79</v>
      </c>
      <c r="Z561" t="s">
        <v>169</v>
      </c>
      <c r="AA561" t="s">
        <v>170</v>
      </c>
      <c r="AB561">
        <v>1</v>
      </c>
      <c r="AD561" t="s">
        <v>63</v>
      </c>
      <c r="AG561" t="s">
        <v>54</v>
      </c>
      <c r="AH561" t="s">
        <v>65</v>
      </c>
      <c r="AI561" t="s">
        <v>248</v>
      </c>
      <c r="AJ561" t="s">
        <v>54</v>
      </c>
      <c r="AK561" t="s">
        <v>4104</v>
      </c>
      <c r="AL561" t="s">
        <v>988</v>
      </c>
      <c r="AN561" s="19">
        <f>IF(ISBLANK(Mentors[[#This Row],[Onboarded Date]]),"",Mentors[[#This Row],[Onboarded Date]]-WEEKDAY(Mentors[[#This Row],[Onboarded Date]],2)+1)</f>
        <v>45656</v>
      </c>
    </row>
    <row r="562" spans="1:40" ht="19.2" customHeight="1" x14ac:dyDescent="0.3">
      <c r="A562" t="s">
        <v>4117</v>
      </c>
      <c r="C562" t="s">
        <v>986</v>
      </c>
      <c r="F562">
        <v>2013</v>
      </c>
      <c r="G562">
        <f>IF(OR(Mentors[[#This Row],[Career Start Year]]="NA",ISBLANK(Mentors[[#This Row],[Career Start Year]])),"",2026 - Mentors[[#This Row],[Career Start Year]])</f>
        <v>13</v>
      </c>
      <c r="H56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62" t="s">
        <v>51</v>
      </c>
      <c r="J562" t="s">
        <v>196</v>
      </c>
      <c r="M562" s="19">
        <v>45658</v>
      </c>
      <c r="N562" t="s">
        <v>10</v>
      </c>
      <c r="Q562" t="s">
        <v>54</v>
      </c>
      <c r="R562" t="s">
        <v>54</v>
      </c>
      <c r="S562" t="s">
        <v>54</v>
      </c>
      <c r="T562" t="s">
        <v>499</v>
      </c>
      <c r="U562" t="s">
        <v>79</v>
      </c>
      <c r="V562" t="s">
        <v>256</v>
      </c>
      <c r="W562" t="s">
        <v>79</v>
      </c>
      <c r="Z562" t="s">
        <v>169</v>
      </c>
      <c r="AA562" t="s">
        <v>170</v>
      </c>
      <c r="AB562">
        <v>1</v>
      </c>
      <c r="AD562" t="s">
        <v>63</v>
      </c>
      <c r="AG562" t="s">
        <v>54</v>
      </c>
      <c r="AH562" t="s">
        <v>65</v>
      </c>
      <c r="AI562" t="s">
        <v>248</v>
      </c>
      <c r="AJ562" t="s">
        <v>54</v>
      </c>
      <c r="AK562" t="s">
        <v>4104</v>
      </c>
      <c r="AL562" t="s">
        <v>988</v>
      </c>
      <c r="AN562" s="19">
        <f>IF(ISBLANK(Mentors[[#This Row],[Onboarded Date]]),"",Mentors[[#This Row],[Onboarded Date]]-WEEKDAY(Mentors[[#This Row],[Onboarded Date]],2)+1)</f>
        <v>45656</v>
      </c>
    </row>
    <row r="563" spans="1:40" ht="19.2" customHeight="1" x14ac:dyDescent="0.3">
      <c r="A563" t="s">
        <v>4118</v>
      </c>
      <c r="C563" t="s">
        <v>986</v>
      </c>
      <c r="F563">
        <v>2013</v>
      </c>
      <c r="G563">
        <f>IF(OR(Mentors[[#This Row],[Career Start Year]]="NA",ISBLANK(Mentors[[#This Row],[Career Start Year]])),"",2026 - Mentors[[#This Row],[Career Start Year]])</f>
        <v>13</v>
      </c>
      <c r="H56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63" t="s">
        <v>51</v>
      </c>
      <c r="J563" t="s">
        <v>196</v>
      </c>
      <c r="M563" s="19">
        <v>45658</v>
      </c>
      <c r="N563" t="s">
        <v>10</v>
      </c>
      <c r="Q563" t="s">
        <v>54</v>
      </c>
      <c r="R563" t="s">
        <v>54</v>
      </c>
      <c r="S563" t="s">
        <v>54</v>
      </c>
      <c r="T563" t="s">
        <v>1638</v>
      </c>
      <c r="U563" t="s">
        <v>79</v>
      </c>
      <c r="V563" t="s">
        <v>256</v>
      </c>
      <c r="W563" t="s">
        <v>79</v>
      </c>
      <c r="Z563" t="s">
        <v>169</v>
      </c>
      <c r="AA563" t="s">
        <v>170</v>
      </c>
      <c r="AB563">
        <v>1</v>
      </c>
      <c r="AD563" t="s">
        <v>63</v>
      </c>
      <c r="AG563" t="s">
        <v>54</v>
      </c>
      <c r="AH563" t="s">
        <v>65</v>
      </c>
      <c r="AI563" t="s">
        <v>1177</v>
      </c>
      <c r="AJ563" t="s">
        <v>54</v>
      </c>
      <c r="AK563" t="s">
        <v>1638</v>
      </c>
      <c r="AL563" t="s">
        <v>988</v>
      </c>
      <c r="AN563" s="19">
        <f>IF(ISBLANK(Mentors[[#This Row],[Onboarded Date]]),"",Mentors[[#This Row],[Onboarded Date]]-WEEKDAY(Mentors[[#This Row],[Onboarded Date]],2)+1)</f>
        <v>45656</v>
      </c>
    </row>
    <row r="564" spans="1:40" ht="19.2" customHeight="1" x14ac:dyDescent="0.3">
      <c r="A564" t="s">
        <v>4119</v>
      </c>
      <c r="C564" t="s">
        <v>986</v>
      </c>
      <c r="F564">
        <v>2013</v>
      </c>
      <c r="G564">
        <f>IF(OR(Mentors[[#This Row],[Career Start Year]]="NA",ISBLANK(Mentors[[#This Row],[Career Start Year]])),"",2026 - Mentors[[#This Row],[Career Start Year]])</f>
        <v>13</v>
      </c>
      <c r="H56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64" t="s">
        <v>51</v>
      </c>
      <c r="J564" t="s">
        <v>196</v>
      </c>
      <c r="M564" s="19">
        <v>45658</v>
      </c>
      <c r="N564" t="s">
        <v>2</v>
      </c>
      <c r="Q564" t="s">
        <v>54</v>
      </c>
      <c r="R564" t="s">
        <v>54</v>
      </c>
      <c r="S564" t="s">
        <v>54</v>
      </c>
      <c r="T564" t="s">
        <v>499</v>
      </c>
      <c r="U564" t="s">
        <v>79</v>
      </c>
      <c r="V564" t="s">
        <v>256</v>
      </c>
      <c r="W564" t="s">
        <v>79</v>
      </c>
      <c r="Z564" t="s">
        <v>169</v>
      </c>
      <c r="AA564" t="s">
        <v>170</v>
      </c>
      <c r="AB564">
        <v>1</v>
      </c>
      <c r="AD564" t="s">
        <v>63</v>
      </c>
      <c r="AG564" t="s">
        <v>54</v>
      </c>
      <c r="AH564" t="s">
        <v>65</v>
      </c>
      <c r="AI564" t="s">
        <v>248</v>
      </c>
      <c r="AJ564" t="s">
        <v>54</v>
      </c>
      <c r="AK564" t="s">
        <v>4104</v>
      </c>
      <c r="AL564" t="s">
        <v>988</v>
      </c>
      <c r="AN564" s="19">
        <f>IF(ISBLANK(Mentors[[#This Row],[Onboarded Date]]),"",Mentors[[#This Row],[Onboarded Date]]-WEEKDAY(Mentors[[#This Row],[Onboarded Date]],2)+1)</f>
        <v>45656</v>
      </c>
    </row>
    <row r="565" spans="1:40" ht="19.2" customHeight="1" x14ac:dyDescent="0.3">
      <c r="A565" t="s">
        <v>4120</v>
      </c>
      <c r="C565" t="s">
        <v>986</v>
      </c>
      <c r="F565">
        <v>2013</v>
      </c>
      <c r="G565">
        <f>IF(OR(Mentors[[#This Row],[Career Start Year]]="NA",ISBLANK(Mentors[[#This Row],[Career Start Year]])),"",2026 - Mentors[[#This Row],[Career Start Year]])</f>
        <v>13</v>
      </c>
      <c r="H56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65" t="s">
        <v>51</v>
      </c>
      <c r="J565" t="s">
        <v>52</v>
      </c>
      <c r="M565" s="19">
        <v>45658</v>
      </c>
      <c r="N565" t="s">
        <v>2</v>
      </c>
      <c r="Q565" t="s">
        <v>54</v>
      </c>
      <c r="R565" t="s">
        <v>54</v>
      </c>
      <c r="S565" t="s">
        <v>54</v>
      </c>
      <c r="T565" t="s">
        <v>499</v>
      </c>
      <c r="U565" t="s">
        <v>79</v>
      </c>
      <c r="V565" t="s">
        <v>256</v>
      </c>
      <c r="W565" t="s">
        <v>79</v>
      </c>
      <c r="Z565" t="s">
        <v>169</v>
      </c>
      <c r="AA565" t="s">
        <v>170</v>
      </c>
      <c r="AB565">
        <v>1</v>
      </c>
      <c r="AD565" t="s">
        <v>63</v>
      </c>
      <c r="AG565" t="s">
        <v>54</v>
      </c>
      <c r="AH565" t="s">
        <v>65</v>
      </c>
      <c r="AI565" t="s">
        <v>248</v>
      </c>
      <c r="AJ565" t="s">
        <v>54</v>
      </c>
      <c r="AK565" t="s">
        <v>4104</v>
      </c>
      <c r="AL565" t="s">
        <v>988</v>
      </c>
      <c r="AN565" s="19">
        <f>IF(ISBLANK(Mentors[[#This Row],[Onboarded Date]]),"",Mentors[[#This Row],[Onboarded Date]]-WEEKDAY(Mentors[[#This Row],[Onboarded Date]],2)+1)</f>
        <v>45656</v>
      </c>
    </row>
    <row r="566" spans="1:40" ht="19.2" customHeight="1" x14ac:dyDescent="0.3">
      <c r="A566" t="s">
        <v>4121</v>
      </c>
      <c r="C566" t="s">
        <v>986</v>
      </c>
      <c r="F566">
        <v>2013</v>
      </c>
      <c r="G566">
        <f>IF(OR(Mentors[[#This Row],[Career Start Year]]="NA",ISBLANK(Mentors[[#This Row],[Career Start Year]])),"",2026 - Mentors[[#This Row],[Career Start Year]])</f>
        <v>13</v>
      </c>
      <c r="H56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66" t="s">
        <v>51</v>
      </c>
      <c r="J566" t="s">
        <v>52</v>
      </c>
      <c r="M566" s="19">
        <v>45658</v>
      </c>
      <c r="N566" t="s">
        <v>2</v>
      </c>
      <c r="Q566" t="s">
        <v>54</v>
      </c>
      <c r="R566" t="s">
        <v>54</v>
      </c>
      <c r="S566" t="s">
        <v>54</v>
      </c>
      <c r="T566" t="s">
        <v>1638</v>
      </c>
      <c r="U566" t="s">
        <v>79</v>
      </c>
      <c r="V566" t="s">
        <v>256</v>
      </c>
      <c r="W566" t="s">
        <v>79</v>
      </c>
      <c r="Z566" t="s">
        <v>169</v>
      </c>
      <c r="AA566" t="s">
        <v>170</v>
      </c>
      <c r="AB566">
        <v>1</v>
      </c>
      <c r="AD566" t="s">
        <v>63</v>
      </c>
      <c r="AG566" t="s">
        <v>54</v>
      </c>
      <c r="AH566" t="s">
        <v>65</v>
      </c>
      <c r="AI566" t="s">
        <v>1177</v>
      </c>
      <c r="AJ566" t="s">
        <v>54</v>
      </c>
      <c r="AK566" t="s">
        <v>1638</v>
      </c>
      <c r="AL566" t="s">
        <v>988</v>
      </c>
      <c r="AN566" s="19">
        <f>IF(ISBLANK(Mentors[[#This Row],[Onboarded Date]]),"",Mentors[[#This Row],[Onboarded Date]]-WEEKDAY(Mentors[[#This Row],[Onboarded Date]],2)+1)</f>
        <v>45656</v>
      </c>
    </row>
    <row r="567" spans="1:40" ht="19.2" customHeight="1" x14ac:dyDescent="0.3">
      <c r="A567" t="s">
        <v>4122</v>
      </c>
      <c r="C567" t="s">
        <v>986</v>
      </c>
      <c r="F567">
        <v>2013</v>
      </c>
      <c r="G567">
        <f>IF(OR(Mentors[[#This Row],[Career Start Year]]="NA",ISBLANK(Mentors[[#This Row],[Career Start Year]])),"",2026 - Mentors[[#This Row],[Career Start Year]])</f>
        <v>13</v>
      </c>
      <c r="H56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67" t="s">
        <v>51</v>
      </c>
      <c r="J567" t="s">
        <v>52</v>
      </c>
      <c r="M567" s="19">
        <v>45658</v>
      </c>
      <c r="N567" t="s">
        <v>4</v>
      </c>
      <c r="Q567" t="s">
        <v>54</v>
      </c>
      <c r="R567" t="s">
        <v>54</v>
      </c>
      <c r="S567" t="s">
        <v>54</v>
      </c>
      <c r="T567" t="s">
        <v>499</v>
      </c>
      <c r="U567" t="s">
        <v>79</v>
      </c>
      <c r="V567" t="s">
        <v>256</v>
      </c>
      <c r="W567" t="s">
        <v>79</v>
      </c>
      <c r="Z567" t="s">
        <v>169</v>
      </c>
      <c r="AA567" t="s">
        <v>170</v>
      </c>
      <c r="AB567">
        <v>1</v>
      </c>
      <c r="AD567" t="s">
        <v>63</v>
      </c>
      <c r="AG567" t="s">
        <v>54</v>
      </c>
      <c r="AH567" t="s">
        <v>65</v>
      </c>
      <c r="AI567" t="s">
        <v>248</v>
      </c>
      <c r="AJ567" t="s">
        <v>54</v>
      </c>
      <c r="AK567" t="s">
        <v>4104</v>
      </c>
      <c r="AL567" t="s">
        <v>988</v>
      </c>
      <c r="AN567" s="19">
        <f>IF(ISBLANK(Mentors[[#This Row],[Onboarded Date]]),"",Mentors[[#This Row],[Onboarded Date]]-WEEKDAY(Mentors[[#This Row],[Onboarded Date]],2)+1)</f>
        <v>45656</v>
      </c>
    </row>
    <row r="568" spans="1:40" ht="19.2" customHeight="1" x14ac:dyDescent="0.3">
      <c r="A568" t="s">
        <v>4123</v>
      </c>
      <c r="C568" t="s">
        <v>986</v>
      </c>
      <c r="F568">
        <v>2013</v>
      </c>
      <c r="G568">
        <f>IF(OR(Mentors[[#This Row],[Career Start Year]]="NA",ISBLANK(Mentors[[#This Row],[Career Start Year]])),"",2026 - Mentors[[#This Row],[Career Start Year]])</f>
        <v>13</v>
      </c>
      <c r="H56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68" t="s">
        <v>51</v>
      </c>
      <c r="J568" t="s">
        <v>52</v>
      </c>
      <c r="M568" s="19">
        <v>45658</v>
      </c>
      <c r="N568" t="s">
        <v>4</v>
      </c>
      <c r="Q568" t="s">
        <v>54</v>
      </c>
      <c r="R568" t="s">
        <v>54</v>
      </c>
      <c r="S568" t="s">
        <v>54</v>
      </c>
      <c r="T568" t="s">
        <v>499</v>
      </c>
      <c r="U568" t="s">
        <v>79</v>
      </c>
      <c r="V568" t="s">
        <v>256</v>
      </c>
      <c r="W568" t="s">
        <v>79</v>
      </c>
      <c r="Z568" t="s">
        <v>169</v>
      </c>
      <c r="AA568" t="s">
        <v>170</v>
      </c>
      <c r="AB568">
        <v>1</v>
      </c>
      <c r="AD568" t="s">
        <v>63</v>
      </c>
      <c r="AG568" t="s">
        <v>54</v>
      </c>
      <c r="AH568" t="s">
        <v>65</v>
      </c>
      <c r="AI568" t="s">
        <v>248</v>
      </c>
      <c r="AJ568" t="s">
        <v>54</v>
      </c>
      <c r="AK568" t="s">
        <v>4104</v>
      </c>
      <c r="AL568" t="s">
        <v>988</v>
      </c>
      <c r="AN568" s="19">
        <f>IF(ISBLANK(Mentors[[#This Row],[Onboarded Date]]),"",Mentors[[#This Row],[Onboarded Date]]-WEEKDAY(Mentors[[#This Row],[Onboarded Date]],2)+1)</f>
        <v>45656</v>
      </c>
    </row>
    <row r="569" spans="1:40" ht="19.2" customHeight="1" x14ac:dyDescent="0.3">
      <c r="A569" t="s">
        <v>4124</v>
      </c>
      <c r="C569" t="s">
        <v>986</v>
      </c>
      <c r="F569">
        <v>2013</v>
      </c>
      <c r="G569">
        <f>IF(OR(Mentors[[#This Row],[Career Start Year]]="NA",ISBLANK(Mentors[[#This Row],[Career Start Year]])),"",2026 - Mentors[[#This Row],[Career Start Year]])</f>
        <v>13</v>
      </c>
      <c r="H56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69" t="s">
        <v>51</v>
      </c>
      <c r="J569" t="s">
        <v>118</v>
      </c>
      <c r="M569" s="19">
        <v>45658</v>
      </c>
      <c r="N569" t="s">
        <v>4</v>
      </c>
      <c r="Q569" t="s">
        <v>54</v>
      </c>
      <c r="R569" t="s">
        <v>54</v>
      </c>
      <c r="S569" t="s">
        <v>54</v>
      </c>
      <c r="T569" t="s">
        <v>499</v>
      </c>
      <c r="U569" t="s">
        <v>79</v>
      </c>
      <c r="V569" t="s">
        <v>256</v>
      </c>
      <c r="W569" t="s">
        <v>79</v>
      </c>
      <c r="Z569" t="s">
        <v>169</v>
      </c>
      <c r="AA569" t="s">
        <v>170</v>
      </c>
      <c r="AB569">
        <v>1</v>
      </c>
      <c r="AD569" t="s">
        <v>63</v>
      </c>
      <c r="AG569" t="s">
        <v>54</v>
      </c>
      <c r="AH569" t="s">
        <v>65</v>
      </c>
      <c r="AI569" t="s">
        <v>248</v>
      </c>
      <c r="AJ569" t="s">
        <v>54</v>
      </c>
      <c r="AK569" t="s">
        <v>4104</v>
      </c>
      <c r="AL569" t="s">
        <v>988</v>
      </c>
      <c r="AN569" s="19">
        <f>IF(ISBLANK(Mentors[[#This Row],[Onboarded Date]]),"",Mentors[[#This Row],[Onboarded Date]]-WEEKDAY(Mentors[[#This Row],[Onboarded Date]],2)+1)</f>
        <v>45656</v>
      </c>
    </row>
    <row r="570" spans="1:40" ht="19.2" customHeight="1" x14ac:dyDescent="0.3">
      <c r="A570" t="s">
        <v>4125</v>
      </c>
      <c r="C570" t="s">
        <v>986</v>
      </c>
      <c r="F570">
        <v>2013</v>
      </c>
      <c r="G570">
        <f>IF(OR(Mentors[[#This Row],[Career Start Year]]="NA",ISBLANK(Mentors[[#This Row],[Career Start Year]])),"",2026 - Mentors[[#This Row],[Career Start Year]])</f>
        <v>13</v>
      </c>
      <c r="H57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70" t="s">
        <v>51</v>
      </c>
      <c r="J570" t="s">
        <v>52</v>
      </c>
      <c r="M570" s="19">
        <v>45658</v>
      </c>
      <c r="N570" t="s">
        <v>4</v>
      </c>
      <c r="Q570" t="s">
        <v>54</v>
      </c>
      <c r="R570" t="s">
        <v>54</v>
      </c>
      <c r="S570" t="s">
        <v>54</v>
      </c>
      <c r="T570" t="s">
        <v>499</v>
      </c>
      <c r="U570" t="s">
        <v>79</v>
      </c>
      <c r="V570" t="s">
        <v>421</v>
      </c>
      <c r="W570" t="s">
        <v>79</v>
      </c>
      <c r="Z570" t="s">
        <v>169</v>
      </c>
      <c r="AA570" t="s">
        <v>170</v>
      </c>
      <c r="AB570">
        <v>1</v>
      </c>
      <c r="AD570" t="s">
        <v>63</v>
      </c>
      <c r="AG570" t="s">
        <v>54</v>
      </c>
      <c r="AH570" t="s">
        <v>65</v>
      </c>
      <c r="AI570" t="s">
        <v>248</v>
      </c>
      <c r="AJ570" t="s">
        <v>54</v>
      </c>
      <c r="AK570" t="s">
        <v>4104</v>
      </c>
      <c r="AL570" t="s">
        <v>1020</v>
      </c>
      <c r="AN570" s="19">
        <f>IF(ISBLANK(Mentors[[#This Row],[Onboarded Date]]),"",Mentors[[#This Row],[Onboarded Date]]-WEEKDAY(Mentors[[#This Row],[Onboarded Date]],2)+1)</f>
        <v>45656</v>
      </c>
    </row>
    <row r="571" spans="1:40" ht="19.2" customHeight="1" x14ac:dyDescent="0.3">
      <c r="A571" t="s">
        <v>4126</v>
      </c>
      <c r="C571" t="s">
        <v>986</v>
      </c>
      <c r="F571">
        <v>2013</v>
      </c>
      <c r="G571">
        <f>IF(OR(Mentors[[#This Row],[Career Start Year]]="NA",ISBLANK(Mentors[[#This Row],[Career Start Year]])),"",2026 - Mentors[[#This Row],[Career Start Year]])</f>
        <v>13</v>
      </c>
      <c r="H57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71" t="s">
        <v>51</v>
      </c>
      <c r="J571" t="s">
        <v>314</v>
      </c>
      <c r="M571" s="19">
        <v>45658</v>
      </c>
      <c r="N571" t="s">
        <v>4</v>
      </c>
      <c r="Q571" t="s">
        <v>54</v>
      </c>
      <c r="R571" t="s">
        <v>54</v>
      </c>
      <c r="S571" t="s">
        <v>54</v>
      </c>
      <c r="T571" t="s">
        <v>499</v>
      </c>
      <c r="U571" t="s">
        <v>79</v>
      </c>
      <c r="V571" t="s">
        <v>421</v>
      </c>
      <c r="W571" t="s">
        <v>79</v>
      </c>
      <c r="Z571" t="s">
        <v>169</v>
      </c>
      <c r="AA571" t="s">
        <v>170</v>
      </c>
      <c r="AB571">
        <v>1</v>
      </c>
      <c r="AD571" t="s">
        <v>63</v>
      </c>
      <c r="AG571" t="s">
        <v>54</v>
      </c>
      <c r="AH571" t="s">
        <v>65</v>
      </c>
      <c r="AI571" t="s">
        <v>248</v>
      </c>
      <c r="AJ571" t="s">
        <v>54</v>
      </c>
      <c r="AK571" t="s">
        <v>4104</v>
      </c>
      <c r="AL571" t="s">
        <v>1020</v>
      </c>
      <c r="AN571" s="19">
        <f>IF(ISBLANK(Mentors[[#This Row],[Onboarded Date]]),"",Mentors[[#This Row],[Onboarded Date]]-WEEKDAY(Mentors[[#This Row],[Onboarded Date]],2)+1)</f>
        <v>45656</v>
      </c>
    </row>
    <row r="572" spans="1:40" ht="19.2" customHeight="1" x14ac:dyDescent="0.3">
      <c r="A572" t="s">
        <v>4127</v>
      </c>
      <c r="C572" t="s">
        <v>986</v>
      </c>
      <c r="F572">
        <v>2013</v>
      </c>
      <c r="G572">
        <f>IF(OR(Mentors[[#This Row],[Career Start Year]]="NA",ISBLANK(Mentors[[#This Row],[Career Start Year]])),"",2026 - Mentors[[#This Row],[Career Start Year]])</f>
        <v>13</v>
      </c>
      <c r="H57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72" t="s">
        <v>51</v>
      </c>
      <c r="J572" t="s">
        <v>196</v>
      </c>
      <c r="M572" s="19">
        <v>45658</v>
      </c>
      <c r="N572" t="s">
        <v>4</v>
      </c>
      <c r="Q572" t="s">
        <v>54</v>
      </c>
      <c r="R572" t="s">
        <v>54</v>
      </c>
      <c r="S572" t="s">
        <v>54</v>
      </c>
      <c r="T572" t="s">
        <v>499</v>
      </c>
      <c r="U572" t="s">
        <v>79</v>
      </c>
      <c r="V572" t="s">
        <v>421</v>
      </c>
      <c r="W572" t="s">
        <v>79</v>
      </c>
      <c r="Z572" t="s">
        <v>169</v>
      </c>
      <c r="AA572" t="s">
        <v>170</v>
      </c>
      <c r="AB572">
        <v>1</v>
      </c>
      <c r="AD572" t="s">
        <v>63</v>
      </c>
      <c r="AG572" t="s">
        <v>54</v>
      </c>
      <c r="AH572" t="s">
        <v>65</v>
      </c>
      <c r="AI572" t="s">
        <v>248</v>
      </c>
      <c r="AJ572" t="s">
        <v>54</v>
      </c>
      <c r="AK572" t="s">
        <v>4104</v>
      </c>
      <c r="AL572" t="s">
        <v>1020</v>
      </c>
      <c r="AN572" s="19">
        <f>IF(ISBLANK(Mentors[[#This Row],[Onboarded Date]]),"",Mentors[[#This Row],[Onboarded Date]]-WEEKDAY(Mentors[[#This Row],[Onboarded Date]],2)+1)</f>
        <v>45656</v>
      </c>
    </row>
    <row r="573" spans="1:40" ht="19.2" customHeight="1" x14ac:dyDescent="0.3">
      <c r="A573" t="s">
        <v>4128</v>
      </c>
      <c r="C573" t="s">
        <v>986</v>
      </c>
      <c r="F573">
        <v>2013</v>
      </c>
      <c r="G573">
        <f>IF(OR(Mentors[[#This Row],[Career Start Year]]="NA",ISBLANK(Mentors[[#This Row],[Career Start Year]])),"",2026 - Mentors[[#This Row],[Career Start Year]])</f>
        <v>13</v>
      </c>
      <c r="H57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73" t="s">
        <v>51</v>
      </c>
      <c r="J573" t="s">
        <v>52</v>
      </c>
      <c r="M573" s="19">
        <v>45658</v>
      </c>
      <c r="N573" t="s">
        <v>10</v>
      </c>
      <c r="Q573" t="s">
        <v>54</v>
      </c>
      <c r="R573" t="s">
        <v>54</v>
      </c>
      <c r="S573" t="s">
        <v>54</v>
      </c>
      <c r="T573" t="s">
        <v>499</v>
      </c>
      <c r="U573" t="s">
        <v>79</v>
      </c>
      <c r="V573" t="s">
        <v>421</v>
      </c>
      <c r="W573" t="s">
        <v>79</v>
      </c>
      <c r="Z573" t="s">
        <v>169</v>
      </c>
      <c r="AA573" t="s">
        <v>170</v>
      </c>
      <c r="AB573">
        <v>1</v>
      </c>
      <c r="AD573" t="s">
        <v>63</v>
      </c>
      <c r="AG573" t="s">
        <v>54</v>
      </c>
      <c r="AH573" t="s">
        <v>65</v>
      </c>
      <c r="AI573" t="s">
        <v>248</v>
      </c>
      <c r="AJ573" t="s">
        <v>54</v>
      </c>
      <c r="AK573" t="s">
        <v>4104</v>
      </c>
      <c r="AL573" t="s">
        <v>1020</v>
      </c>
      <c r="AN573" s="19">
        <f>IF(ISBLANK(Mentors[[#This Row],[Onboarded Date]]),"",Mentors[[#This Row],[Onboarded Date]]-WEEKDAY(Mentors[[#This Row],[Onboarded Date]],2)+1)</f>
        <v>45656</v>
      </c>
    </row>
    <row r="574" spans="1:40" ht="19.2" customHeight="1" x14ac:dyDescent="0.3">
      <c r="A574" t="s">
        <v>4129</v>
      </c>
      <c r="C574" t="s">
        <v>986</v>
      </c>
      <c r="F574">
        <v>2013</v>
      </c>
      <c r="G574">
        <f>IF(OR(Mentors[[#This Row],[Career Start Year]]="NA",ISBLANK(Mentors[[#This Row],[Career Start Year]])),"",2026 - Mentors[[#This Row],[Career Start Year]])</f>
        <v>13</v>
      </c>
      <c r="H57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74" t="s">
        <v>51</v>
      </c>
      <c r="J574" t="s">
        <v>140</v>
      </c>
      <c r="M574" s="19">
        <v>45658</v>
      </c>
      <c r="N574" t="s">
        <v>2</v>
      </c>
      <c r="Q574" t="s">
        <v>54</v>
      </c>
      <c r="R574" t="s">
        <v>54</v>
      </c>
      <c r="S574" t="s">
        <v>54</v>
      </c>
      <c r="T574" t="s">
        <v>499</v>
      </c>
      <c r="U574" t="s">
        <v>79</v>
      </c>
      <c r="V574" t="s">
        <v>421</v>
      </c>
      <c r="W574" t="s">
        <v>79</v>
      </c>
      <c r="Z574" t="s">
        <v>169</v>
      </c>
      <c r="AA574" t="s">
        <v>170</v>
      </c>
      <c r="AB574">
        <v>1</v>
      </c>
      <c r="AD574" t="s">
        <v>63</v>
      </c>
      <c r="AG574" t="s">
        <v>54</v>
      </c>
      <c r="AH574" t="s">
        <v>65</v>
      </c>
      <c r="AI574" t="s">
        <v>248</v>
      </c>
      <c r="AJ574" t="s">
        <v>54</v>
      </c>
      <c r="AK574" t="s">
        <v>4104</v>
      </c>
      <c r="AL574" t="s">
        <v>1020</v>
      </c>
      <c r="AN574" s="19">
        <f>IF(ISBLANK(Mentors[[#This Row],[Onboarded Date]]),"",Mentors[[#This Row],[Onboarded Date]]-WEEKDAY(Mentors[[#This Row],[Onboarded Date]],2)+1)</f>
        <v>45656</v>
      </c>
    </row>
    <row r="575" spans="1:40" ht="19.2" customHeight="1" x14ac:dyDescent="0.3">
      <c r="A575" t="s">
        <v>4130</v>
      </c>
      <c r="C575" t="s">
        <v>986</v>
      </c>
      <c r="F575">
        <v>2013</v>
      </c>
      <c r="G575">
        <f>IF(OR(Mentors[[#This Row],[Career Start Year]]="NA",ISBLANK(Mentors[[#This Row],[Career Start Year]])),"",2026 - Mentors[[#This Row],[Career Start Year]])</f>
        <v>13</v>
      </c>
      <c r="H57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75" t="s">
        <v>51</v>
      </c>
      <c r="J575" t="s">
        <v>196</v>
      </c>
      <c r="M575" s="19">
        <v>45658</v>
      </c>
      <c r="N575" t="s">
        <v>4</v>
      </c>
      <c r="Q575" t="s">
        <v>54</v>
      </c>
      <c r="R575" t="s">
        <v>54</v>
      </c>
      <c r="S575" t="s">
        <v>54</v>
      </c>
      <c r="T575" t="s">
        <v>499</v>
      </c>
      <c r="U575" t="s">
        <v>79</v>
      </c>
      <c r="V575" t="s">
        <v>421</v>
      </c>
      <c r="W575" t="s">
        <v>79</v>
      </c>
      <c r="Z575" t="s">
        <v>169</v>
      </c>
      <c r="AA575" t="s">
        <v>170</v>
      </c>
      <c r="AB575">
        <v>1</v>
      </c>
      <c r="AD575" t="s">
        <v>63</v>
      </c>
      <c r="AG575" t="s">
        <v>54</v>
      </c>
      <c r="AH575" t="s">
        <v>65</v>
      </c>
      <c r="AI575" t="s">
        <v>248</v>
      </c>
      <c r="AJ575" t="s">
        <v>54</v>
      </c>
      <c r="AK575" t="s">
        <v>4104</v>
      </c>
      <c r="AL575" t="s">
        <v>1020</v>
      </c>
      <c r="AN575" s="19">
        <f>IF(ISBLANK(Mentors[[#This Row],[Onboarded Date]]),"",Mentors[[#This Row],[Onboarded Date]]-WEEKDAY(Mentors[[#This Row],[Onboarded Date]],2)+1)</f>
        <v>45656</v>
      </c>
    </row>
    <row r="576" spans="1:40" ht="19.2" customHeight="1" x14ac:dyDescent="0.3">
      <c r="A576" t="s">
        <v>4131</v>
      </c>
      <c r="C576" t="s">
        <v>986</v>
      </c>
      <c r="F576">
        <v>2013</v>
      </c>
      <c r="G576">
        <f>IF(OR(Mentors[[#This Row],[Career Start Year]]="NA",ISBLANK(Mentors[[#This Row],[Career Start Year]])),"",2026 - Mentors[[#This Row],[Career Start Year]])</f>
        <v>13</v>
      </c>
      <c r="H57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76" t="s">
        <v>51</v>
      </c>
      <c r="J576" t="s">
        <v>140</v>
      </c>
      <c r="M576" s="19">
        <v>45658</v>
      </c>
      <c r="N576" t="s">
        <v>4</v>
      </c>
      <c r="Q576" t="s">
        <v>54</v>
      </c>
      <c r="R576" t="s">
        <v>54</v>
      </c>
      <c r="S576" t="s">
        <v>54</v>
      </c>
      <c r="T576" t="s">
        <v>499</v>
      </c>
      <c r="U576" t="s">
        <v>79</v>
      </c>
      <c r="V576" t="s">
        <v>421</v>
      </c>
      <c r="W576" t="s">
        <v>79</v>
      </c>
      <c r="Z576" t="s">
        <v>169</v>
      </c>
      <c r="AA576" t="s">
        <v>170</v>
      </c>
      <c r="AB576">
        <v>1</v>
      </c>
      <c r="AD576" t="s">
        <v>63</v>
      </c>
      <c r="AG576" t="s">
        <v>54</v>
      </c>
      <c r="AH576" t="s">
        <v>65</v>
      </c>
      <c r="AI576" t="s">
        <v>248</v>
      </c>
      <c r="AJ576" t="s">
        <v>54</v>
      </c>
      <c r="AK576" t="s">
        <v>4104</v>
      </c>
      <c r="AL576" t="s">
        <v>1020</v>
      </c>
      <c r="AN576" s="19">
        <f>IF(ISBLANK(Mentors[[#This Row],[Onboarded Date]]),"",Mentors[[#This Row],[Onboarded Date]]-WEEKDAY(Mentors[[#This Row],[Onboarded Date]],2)+1)</f>
        <v>45656</v>
      </c>
    </row>
    <row r="577" spans="1:40" ht="19.2" customHeight="1" x14ac:dyDescent="0.3">
      <c r="A577" t="s">
        <v>4132</v>
      </c>
      <c r="C577" t="s">
        <v>986</v>
      </c>
      <c r="F577">
        <v>2013</v>
      </c>
      <c r="G577">
        <f>IF(OR(Mentors[[#This Row],[Career Start Year]]="NA",ISBLANK(Mentors[[#This Row],[Career Start Year]])),"",2026 - Mentors[[#This Row],[Career Start Year]])</f>
        <v>13</v>
      </c>
      <c r="H57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77" t="s">
        <v>51</v>
      </c>
      <c r="J577" t="s">
        <v>52</v>
      </c>
      <c r="M577" s="19">
        <v>45658</v>
      </c>
      <c r="N577" t="s">
        <v>4</v>
      </c>
      <c r="Q577" t="s">
        <v>54</v>
      </c>
      <c r="R577" t="s">
        <v>54</v>
      </c>
      <c r="S577" t="s">
        <v>54</v>
      </c>
      <c r="T577" t="s">
        <v>499</v>
      </c>
      <c r="U577" t="s">
        <v>79</v>
      </c>
      <c r="V577" t="s">
        <v>421</v>
      </c>
      <c r="W577" t="s">
        <v>79</v>
      </c>
      <c r="Z577" t="s">
        <v>169</v>
      </c>
      <c r="AA577" t="s">
        <v>170</v>
      </c>
      <c r="AB577">
        <v>1</v>
      </c>
      <c r="AD577" t="s">
        <v>63</v>
      </c>
      <c r="AG577" t="s">
        <v>54</v>
      </c>
      <c r="AH577" t="s">
        <v>65</v>
      </c>
      <c r="AI577" t="s">
        <v>248</v>
      </c>
      <c r="AJ577" t="s">
        <v>54</v>
      </c>
      <c r="AK577" t="s">
        <v>4104</v>
      </c>
      <c r="AL577" t="s">
        <v>1020</v>
      </c>
      <c r="AN577" s="19">
        <f>IF(ISBLANK(Mentors[[#This Row],[Onboarded Date]]),"",Mentors[[#This Row],[Onboarded Date]]-WEEKDAY(Mentors[[#This Row],[Onboarded Date]],2)+1)</f>
        <v>45656</v>
      </c>
    </row>
    <row r="578" spans="1:40" ht="19.2" customHeight="1" x14ac:dyDescent="0.3">
      <c r="A578" t="s">
        <v>4133</v>
      </c>
      <c r="B578" t="s">
        <v>152</v>
      </c>
      <c r="C578" t="s">
        <v>4134</v>
      </c>
      <c r="D578" s="24" t="s">
        <v>4135</v>
      </c>
      <c r="E578" t="s">
        <v>4136</v>
      </c>
      <c r="F578">
        <v>2004</v>
      </c>
      <c r="G578">
        <f>IF(OR(Mentors[[#This Row],[Career Start Year]]="NA",ISBLANK(Mentors[[#This Row],[Career Start Year]])),"",2026 - Mentors[[#This Row],[Career Start Year]])</f>
        <v>22</v>
      </c>
      <c r="H57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78" t="s">
        <v>51</v>
      </c>
      <c r="J578" t="s">
        <v>196</v>
      </c>
      <c r="K578" t="s">
        <v>4137</v>
      </c>
      <c r="M578" s="19">
        <v>45658</v>
      </c>
      <c r="N578" t="s">
        <v>3678</v>
      </c>
      <c r="O578" t="s">
        <v>0</v>
      </c>
      <c r="Q578" t="s">
        <v>54</v>
      </c>
      <c r="R578" t="s">
        <v>63</v>
      </c>
      <c r="S578" t="s">
        <v>63</v>
      </c>
      <c r="T578" t="s">
        <v>4138</v>
      </c>
      <c r="U578" t="s">
        <v>77</v>
      </c>
      <c r="V578" t="s">
        <v>57</v>
      </c>
      <c r="W578" t="s">
        <v>79</v>
      </c>
      <c r="X578" t="s">
        <v>59</v>
      </c>
      <c r="Y578" t="s">
        <v>60</v>
      </c>
      <c r="Z578" t="s">
        <v>81</v>
      </c>
      <c r="AA578" t="s">
        <v>62</v>
      </c>
      <c r="AB578">
        <v>1</v>
      </c>
      <c r="AD578" t="s">
        <v>54</v>
      </c>
      <c r="AE578" t="s">
        <v>63</v>
      </c>
      <c r="AF578" t="s">
        <v>64</v>
      </c>
      <c r="AG578" t="s">
        <v>54</v>
      </c>
      <c r="AH578" t="s">
        <v>152</v>
      </c>
      <c r="AI578" t="s">
        <v>248</v>
      </c>
      <c r="AJ578" t="s">
        <v>54</v>
      </c>
      <c r="AK578" t="s">
        <v>4139</v>
      </c>
      <c r="AL578" t="s">
        <v>988</v>
      </c>
      <c r="AN578" s="19">
        <f>IF(ISBLANK(Mentors[[#This Row],[Onboarded Date]]),"",Mentors[[#This Row],[Onboarded Date]]-WEEKDAY(Mentors[[#This Row],[Onboarded Date]],2)+1)</f>
        <v>45656</v>
      </c>
    </row>
    <row r="579" spans="1:40" ht="19.2" customHeight="1" x14ac:dyDescent="0.3">
      <c r="A579" t="s">
        <v>4140</v>
      </c>
      <c r="B579" t="s">
        <v>4141</v>
      </c>
      <c r="C579" t="s">
        <v>4142</v>
      </c>
      <c r="D579" s="24" t="s">
        <v>4143</v>
      </c>
      <c r="E579" t="s">
        <v>4144</v>
      </c>
      <c r="F579">
        <v>2017</v>
      </c>
      <c r="G579">
        <f>IF(OR(Mentors[[#This Row],[Career Start Year]]="NA",ISBLANK(Mentors[[#This Row],[Career Start Year]])),"",2026 - Mentors[[#This Row],[Career Start Year]])</f>
        <v>9</v>
      </c>
      <c r="H57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579" t="s">
        <v>51</v>
      </c>
      <c r="J579" t="s">
        <v>1007</v>
      </c>
      <c r="K579" t="s">
        <v>4145</v>
      </c>
      <c r="L579" s="17">
        <v>9354634683</v>
      </c>
      <c r="M579" s="19">
        <v>45658</v>
      </c>
      <c r="O579" t="s">
        <v>0</v>
      </c>
      <c r="Q579" t="s">
        <v>54</v>
      </c>
      <c r="R579" t="s">
        <v>54</v>
      </c>
      <c r="S579" t="s">
        <v>63</v>
      </c>
      <c r="T579" t="s">
        <v>77</v>
      </c>
      <c r="U579" t="s">
        <v>65</v>
      </c>
      <c r="V579" t="s">
        <v>481</v>
      </c>
      <c r="W579" t="s">
        <v>79</v>
      </c>
      <c r="X579" t="s">
        <v>59</v>
      </c>
      <c r="Z579" t="s">
        <v>101</v>
      </c>
      <c r="AA579" t="s">
        <v>62</v>
      </c>
      <c r="AB579">
        <v>1</v>
      </c>
      <c r="AD579" t="s">
        <v>54</v>
      </c>
      <c r="AE579" t="s">
        <v>63</v>
      </c>
      <c r="AG579" t="s">
        <v>54</v>
      </c>
      <c r="AH579" t="s">
        <v>152</v>
      </c>
      <c r="AI579" t="s">
        <v>412</v>
      </c>
      <c r="AJ579" t="s">
        <v>54</v>
      </c>
      <c r="AK579" t="s">
        <v>4146</v>
      </c>
      <c r="AL579" t="s">
        <v>4147</v>
      </c>
      <c r="AN579" s="19">
        <f>IF(ISBLANK(Mentors[[#This Row],[Onboarded Date]]),"",Mentors[[#This Row],[Onboarded Date]]-WEEKDAY(Mentors[[#This Row],[Onboarded Date]],2)+1)</f>
        <v>45656</v>
      </c>
    </row>
    <row r="580" spans="1:40" ht="19.2" customHeight="1" x14ac:dyDescent="0.3">
      <c r="A580" t="s">
        <v>4148</v>
      </c>
      <c r="B580" t="s">
        <v>4149</v>
      </c>
      <c r="C580" t="s">
        <v>4150</v>
      </c>
      <c r="D580" s="24" t="s">
        <v>4151</v>
      </c>
      <c r="E580" t="s">
        <v>4152</v>
      </c>
      <c r="F580">
        <v>2011</v>
      </c>
      <c r="G580">
        <f>IF(OR(Mentors[[#This Row],[Career Start Year]]="NA",ISBLANK(Mentors[[#This Row],[Career Start Year]])),"",2026 - Mentors[[#This Row],[Career Start Year]])</f>
        <v>15</v>
      </c>
      <c r="H58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80" t="s">
        <v>51</v>
      </c>
      <c r="J580" t="s">
        <v>1007</v>
      </c>
      <c r="K580" t="s">
        <v>4153</v>
      </c>
      <c r="L580" s="17">
        <v>9791297866</v>
      </c>
      <c r="M580" s="19">
        <v>45658</v>
      </c>
      <c r="O580" t="s">
        <v>0</v>
      </c>
      <c r="Q580" t="s">
        <v>54</v>
      </c>
      <c r="R580" t="s">
        <v>54</v>
      </c>
      <c r="S580" t="s">
        <v>63</v>
      </c>
      <c r="T580" t="s">
        <v>99</v>
      </c>
      <c r="U580" t="s">
        <v>100</v>
      </c>
      <c r="V580" t="s">
        <v>57</v>
      </c>
      <c r="W580" t="s">
        <v>79</v>
      </c>
      <c r="Z580" t="s">
        <v>4154</v>
      </c>
      <c r="AA580" t="s">
        <v>62</v>
      </c>
      <c r="AB580">
        <v>1</v>
      </c>
      <c r="AD580" t="s">
        <v>54</v>
      </c>
      <c r="AG580" t="s">
        <v>63</v>
      </c>
      <c r="AH580" t="s">
        <v>131</v>
      </c>
      <c r="AI580" t="s">
        <v>248</v>
      </c>
      <c r="AJ580" t="s">
        <v>54</v>
      </c>
      <c r="AK580" t="s">
        <v>4155</v>
      </c>
      <c r="AL580" t="s">
        <v>99</v>
      </c>
      <c r="AN580" s="19">
        <f>IF(ISBLANK(Mentors[[#This Row],[Onboarded Date]]),"",Mentors[[#This Row],[Onboarded Date]]-WEEKDAY(Mentors[[#This Row],[Onboarded Date]],2)+1)</f>
        <v>45656</v>
      </c>
    </row>
    <row r="581" spans="1:40" ht="19.2" customHeight="1" x14ac:dyDescent="0.3">
      <c r="A581" t="s">
        <v>4156</v>
      </c>
      <c r="B581" t="s">
        <v>4157</v>
      </c>
      <c r="C581" t="s">
        <v>4158</v>
      </c>
      <c r="D581" s="24" t="s">
        <v>4159</v>
      </c>
      <c r="E581" t="s">
        <v>4160</v>
      </c>
      <c r="F581">
        <v>2003</v>
      </c>
      <c r="G581">
        <f>IF(OR(Mentors[[#This Row],[Career Start Year]]="NA",ISBLANK(Mentors[[#This Row],[Career Start Year]])),"",2026 - Mentors[[#This Row],[Career Start Year]])</f>
        <v>23</v>
      </c>
      <c r="H58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81" t="s">
        <v>51</v>
      </c>
      <c r="J581" t="s">
        <v>917</v>
      </c>
      <c r="K581" t="s">
        <v>4161</v>
      </c>
      <c r="L581" s="17">
        <v>9599661807</v>
      </c>
      <c r="M581" s="19">
        <v>45658</v>
      </c>
      <c r="O581" t="s">
        <v>0</v>
      </c>
      <c r="Q581" t="s">
        <v>54</v>
      </c>
      <c r="R581" t="s">
        <v>54</v>
      </c>
      <c r="S581" t="s">
        <v>63</v>
      </c>
      <c r="T581" t="s">
        <v>77</v>
      </c>
      <c r="U581" t="s">
        <v>65</v>
      </c>
      <c r="V581" t="s">
        <v>78</v>
      </c>
      <c r="W581" t="s">
        <v>79</v>
      </c>
      <c r="X581" t="s">
        <v>59</v>
      </c>
      <c r="Y581" t="s">
        <v>60</v>
      </c>
      <c r="Z581" t="s">
        <v>169</v>
      </c>
      <c r="AA581" t="s">
        <v>170</v>
      </c>
      <c r="AB581">
        <v>1</v>
      </c>
      <c r="AD581" t="s">
        <v>54</v>
      </c>
      <c r="AE581" t="s">
        <v>63</v>
      </c>
      <c r="AG581" t="s">
        <v>54</v>
      </c>
      <c r="AH581" t="s">
        <v>215</v>
      </c>
      <c r="AI581" t="s">
        <v>248</v>
      </c>
      <c r="AJ581" t="s">
        <v>54</v>
      </c>
      <c r="AK581" t="s">
        <v>188</v>
      </c>
      <c r="AL581" t="s">
        <v>188</v>
      </c>
      <c r="AN581" s="19">
        <f>IF(ISBLANK(Mentors[[#This Row],[Onboarded Date]]),"",Mentors[[#This Row],[Onboarded Date]]-WEEKDAY(Mentors[[#This Row],[Onboarded Date]],2)+1)</f>
        <v>45656</v>
      </c>
    </row>
    <row r="582" spans="1:40" ht="19.2" customHeight="1" x14ac:dyDescent="0.3">
      <c r="A582" t="s">
        <v>4162</v>
      </c>
      <c r="B582" t="s">
        <v>4163</v>
      </c>
      <c r="C582" t="s">
        <v>4164</v>
      </c>
      <c r="D582" s="24" t="s">
        <v>4165</v>
      </c>
      <c r="E582" t="s">
        <v>4166</v>
      </c>
      <c r="F582">
        <v>2015</v>
      </c>
      <c r="G582">
        <f>IF(OR(Mentors[[#This Row],[Career Start Year]]="NA",ISBLANK(Mentors[[#This Row],[Career Start Year]])),"",2026 - Mentors[[#This Row],[Career Start Year]])</f>
        <v>11</v>
      </c>
      <c r="H58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82" t="s">
        <v>51</v>
      </c>
      <c r="J582" t="s">
        <v>819</v>
      </c>
      <c r="K582" t="s">
        <v>4167</v>
      </c>
      <c r="L582" s="17" t="s">
        <v>4168</v>
      </c>
      <c r="M582" s="19">
        <v>45658</v>
      </c>
      <c r="O582" t="s">
        <v>0</v>
      </c>
      <c r="Q582" t="s">
        <v>54</v>
      </c>
      <c r="R582" t="s">
        <v>54</v>
      </c>
      <c r="S582" t="s">
        <v>54</v>
      </c>
      <c r="T582" t="s">
        <v>77</v>
      </c>
      <c r="U582" t="s">
        <v>99</v>
      </c>
      <c r="V582" t="s">
        <v>78</v>
      </c>
      <c r="W582" t="s">
        <v>79</v>
      </c>
      <c r="X582" t="s">
        <v>59</v>
      </c>
      <c r="Z582" t="s">
        <v>81</v>
      </c>
      <c r="AA582" t="s">
        <v>62</v>
      </c>
      <c r="AB582">
        <v>1</v>
      </c>
      <c r="AD582" t="s">
        <v>54</v>
      </c>
      <c r="AE582" t="s">
        <v>54</v>
      </c>
      <c r="AG582" t="s">
        <v>63</v>
      </c>
      <c r="AH582" t="s">
        <v>65</v>
      </c>
      <c r="AI582" t="s">
        <v>76</v>
      </c>
      <c r="AJ582" t="s">
        <v>54</v>
      </c>
      <c r="AK582" t="s">
        <v>2635</v>
      </c>
      <c r="AL582" t="s">
        <v>1033</v>
      </c>
      <c r="AN582" s="19">
        <f>IF(ISBLANK(Mentors[[#This Row],[Onboarded Date]]),"",Mentors[[#This Row],[Onboarded Date]]-WEEKDAY(Mentors[[#This Row],[Onboarded Date]],2)+1)</f>
        <v>45656</v>
      </c>
    </row>
    <row r="583" spans="1:40" ht="19.2" customHeight="1" x14ac:dyDescent="0.3">
      <c r="A583" t="s">
        <v>4169</v>
      </c>
      <c r="B583" t="s">
        <v>4170</v>
      </c>
      <c r="C583" t="s">
        <v>4171</v>
      </c>
      <c r="D583" s="24" t="s">
        <v>4172</v>
      </c>
      <c r="E583" t="s">
        <v>4173</v>
      </c>
      <c r="F583">
        <v>2008</v>
      </c>
      <c r="G583">
        <f>IF(OR(Mentors[[#This Row],[Career Start Year]]="NA",ISBLANK(Mentors[[#This Row],[Career Start Year]])),"",2026 - Mentors[[#This Row],[Career Start Year]])</f>
        <v>18</v>
      </c>
      <c r="H58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583" t="s">
        <v>51</v>
      </c>
      <c r="J583" t="s">
        <v>819</v>
      </c>
      <c r="K583" t="s">
        <v>4174</v>
      </c>
      <c r="L583" s="17">
        <v>8800692443</v>
      </c>
      <c r="M583" s="19">
        <v>45658</v>
      </c>
      <c r="N583" t="s">
        <v>3678</v>
      </c>
      <c r="O583" t="s">
        <v>0</v>
      </c>
      <c r="Q583" t="s">
        <v>54</v>
      </c>
      <c r="R583" t="s">
        <v>54</v>
      </c>
      <c r="S583" t="s">
        <v>54</v>
      </c>
      <c r="T583" t="s">
        <v>2543</v>
      </c>
      <c r="U583" t="s">
        <v>65</v>
      </c>
      <c r="V583" t="s">
        <v>120</v>
      </c>
      <c r="W583" t="s">
        <v>79</v>
      </c>
      <c r="X583" t="s">
        <v>59</v>
      </c>
      <c r="Z583" t="s">
        <v>81</v>
      </c>
      <c r="AA583" t="s">
        <v>62</v>
      </c>
      <c r="AB583">
        <v>1</v>
      </c>
      <c r="AD583" t="s">
        <v>54</v>
      </c>
      <c r="AE583" t="s">
        <v>54</v>
      </c>
      <c r="AG583" t="s">
        <v>63</v>
      </c>
      <c r="AH583" t="s">
        <v>65</v>
      </c>
      <c r="AI583" t="s">
        <v>248</v>
      </c>
      <c r="AJ583" t="s">
        <v>54</v>
      </c>
      <c r="AK583" t="s">
        <v>2635</v>
      </c>
      <c r="AL583" t="s">
        <v>4175</v>
      </c>
      <c r="AN583" s="19">
        <f>IF(ISBLANK(Mentors[[#This Row],[Onboarded Date]]),"",Mentors[[#This Row],[Onboarded Date]]-WEEKDAY(Mentors[[#This Row],[Onboarded Date]],2)+1)</f>
        <v>45656</v>
      </c>
    </row>
    <row r="584" spans="1:40" ht="19.2" customHeight="1" x14ac:dyDescent="0.3">
      <c r="A584" t="s">
        <v>4176</v>
      </c>
      <c r="B584" t="s">
        <v>4177</v>
      </c>
      <c r="C584" t="s">
        <v>4178</v>
      </c>
      <c r="D584" s="24" t="s">
        <v>4179</v>
      </c>
      <c r="E584" t="s">
        <v>4180</v>
      </c>
      <c r="F584">
        <v>2016</v>
      </c>
      <c r="G584">
        <f>IF(OR(Mentors[[#This Row],[Career Start Year]]="NA",ISBLANK(Mentors[[#This Row],[Career Start Year]])),"",2026 - Mentors[[#This Row],[Career Start Year]])</f>
        <v>10</v>
      </c>
      <c r="H58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584" t="s">
        <v>51</v>
      </c>
      <c r="J584" t="s">
        <v>4181</v>
      </c>
      <c r="K584" t="s">
        <v>4182</v>
      </c>
      <c r="L584" s="17">
        <v>9650465240</v>
      </c>
      <c r="M584" s="19">
        <v>45658</v>
      </c>
      <c r="O584" t="s">
        <v>0</v>
      </c>
      <c r="Q584" t="s">
        <v>54</v>
      </c>
      <c r="R584" t="s">
        <v>54</v>
      </c>
      <c r="S584" t="s">
        <v>54</v>
      </c>
      <c r="T584" t="s">
        <v>77</v>
      </c>
      <c r="U584" t="s">
        <v>65</v>
      </c>
      <c r="V584" t="s">
        <v>58</v>
      </c>
      <c r="W584" s="4" t="s">
        <v>58</v>
      </c>
      <c r="X584" s="4" t="s">
        <v>59</v>
      </c>
      <c r="Y584" s="4"/>
      <c r="Z584" t="s">
        <v>81</v>
      </c>
      <c r="AA584" t="s">
        <v>62</v>
      </c>
      <c r="AB584">
        <v>1</v>
      </c>
      <c r="AD584" t="s">
        <v>54</v>
      </c>
      <c r="AE584" t="s">
        <v>54</v>
      </c>
      <c r="AG584" t="s">
        <v>63</v>
      </c>
      <c r="AH584" t="s">
        <v>65</v>
      </c>
      <c r="AI584" t="s">
        <v>248</v>
      </c>
      <c r="AJ584" t="s">
        <v>54</v>
      </c>
      <c r="AK584" t="s">
        <v>4139</v>
      </c>
      <c r="AL584" t="s">
        <v>1033</v>
      </c>
      <c r="AN584" s="19">
        <f>IF(ISBLANK(Mentors[[#This Row],[Onboarded Date]]),"",Mentors[[#This Row],[Onboarded Date]]-WEEKDAY(Mentors[[#This Row],[Onboarded Date]],2)+1)</f>
        <v>45656</v>
      </c>
    </row>
    <row r="585" spans="1:40" ht="19.2" customHeight="1" x14ac:dyDescent="0.3">
      <c r="A585" t="s">
        <v>4183</v>
      </c>
      <c r="B585" t="s">
        <v>4184</v>
      </c>
      <c r="C585" t="s">
        <v>4185</v>
      </c>
      <c r="D585" s="24" t="s">
        <v>4186</v>
      </c>
      <c r="E585" t="s">
        <v>4187</v>
      </c>
      <c r="F585">
        <v>2003</v>
      </c>
      <c r="G585">
        <f>IF(OR(Mentors[[#This Row],[Career Start Year]]="NA",ISBLANK(Mentors[[#This Row],[Career Start Year]])),"",2026 - Mentors[[#This Row],[Career Start Year]])</f>
        <v>23</v>
      </c>
      <c r="H58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85" t="s">
        <v>51</v>
      </c>
      <c r="J585" t="s">
        <v>389</v>
      </c>
      <c r="K585" t="s">
        <v>4188</v>
      </c>
      <c r="L585" s="17">
        <v>8291096625</v>
      </c>
      <c r="M585" s="19">
        <v>45658</v>
      </c>
      <c r="O585" t="s">
        <v>0</v>
      </c>
      <c r="Q585" t="s">
        <v>63</v>
      </c>
      <c r="R585" t="s">
        <v>63</v>
      </c>
      <c r="S585" t="s">
        <v>54</v>
      </c>
      <c r="T585" t="s">
        <v>99</v>
      </c>
      <c r="U585" t="s">
        <v>76</v>
      </c>
      <c r="V585" t="s">
        <v>198</v>
      </c>
      <c r="W585" t="s">
        <v>79</v>
      </c>
      <c r="X585" t="s">
        <v>59</v>
      </c>
      <c r="Z585" t="s">
        <v>81</v>
      </c>
      <c r="AA585" t="s">
        <v>62</v>
      </c>
      <c r="AB585">
        <v>1</v>
      </c>
      <c r="AD585" t="s">
        <v>54</v>
      </c>
      <c r="AE585" t="s">
        <v>63</v>
      </c>
      <c r="AG585" t="s">
        <v>54</v>
      </c>
      <c r="AH585" t="s">
        <v>215</v>
      </c>
      <c r="AI585" t="s">
        <v>248</v>
      </c>
      <c r="AJ585" t="s">
        <v>54</v>
      </c>
      <c r="AK585" t="s">
        <v>188</v>
      </c>
      <c r="AL585" t="s">
        <v>188</v>
      </c>
      <c r="AN585" s="19">
        <f>IF(ISBLANK(Mentors[[#This Row],[Onboarded Date]]),"",Mentors[[#This Row],[Onboarded Date]]-WEEKDAY(Mentors[[#This Row],[Onboarded Date]],2)+1)</f>
        <v>45656</v>
      </c>
    </row>
    <row r="586" spans="1:40" ht="19.2" customHeight="1" x14ac:dyDescent="0.3">
      <c r="A586" t="s">
        <v>4189</v>
      </c>
      <c r="B586" t="s">
        <v>260</v>
      </c>
      <c r="C586" t="s">
        <v>4190</v>
      </c>
      <c r="D586" s="24" t="s">
        <v>4191</v>
      </c>
      <c r="E586" t="s">
        <v>4192</v>
      </c>
      <c r="F586">
        <v>2006</v>
      </c>
      <c r="G586">
        <f>IF(OR(Mentors[[#This Row],[Career Start Year]]="NA",ISBLANK(Mentors[[#This Row],[Career Start Year]])),"",2026 - Mentors[[#This Row],[Career Start Year]])</f>
        <v>20</v>
      </c>
      <c r="H58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586" t="s">
        <v>51</v>
      </c>
      <c r="J586" t="s">
        <v>389</v>
      </c>
      <c r="K586" t="s">
        <v>4193</v>
      </c>
      <c r="L586" s="17">
        <v>7048942365</v>
      </c>
      <c r="M586" s="19">
        <v>45658</v>
      </c>
      <c r="O586" t="s">
        <v>0</v>
      </c>
      <c r="Q586" t="s">
        <v>63</v>
      </c>
      <c r="R586" t="s">
        <v>4194</v>
      </c>
      <c r="S586" t="s">
        <v>63</v>
      </c>
      <c r="T586" t="s">
        <v>187</v>
      </c>
      <c r="U586" t="s">
        <v>99</v>
      </c>
      <c r="V586" t="s">
        <v>78</v>
      </c>
      <c r="W586" t="s">
        <v>79</v>
      </c>
      <c r="Z586" t="s">
        <v>81</v>
      </c>
      <c r="AA586" t="s">
        <v>62</v>
      </c>
      <c r="AB586">
        <v>1</v>
      </c>
      <c r="AD586" t="s">
        <v>54</v>
      </c>
      <c r="AE586" t="s">
        <v>63</v>
      </c>
      <c r="AG586" t="s">
        <v>54</v>
      </c>
      <c r="AH586" t="s">
        <v>152</v>
      </c>
      <c r="AI586" t="s">
        <v>132</v>
      </c>
      <c r="AJ586" t="s">
        <v>63</v>
      </c>
      <c r="AK586" t="s">
        <v>4195</v>
      </c>
      <c r="AL586" t="s">
        <v>188</v>
      </c>
      <c r="AN586" s="19">
        <f>IF(ISBLANK(Mentors[[#This Row],[Onboarded Date]]),"",Mentors[[#This Row],[Onboarded Date]]-WEEKDAY(Mentors[[#This Row],[Onboarded Date]],2)+1)</f>
        <v>45656</v>
      </c>
    </row>
    <row r="587" spans="1:40" ht="19.2" customHeight="1" x14ac:dyDescent="0.3">
      <c r="A587" t="s">
        <v>4196</v>
      </c>
      <c r="B587" t="s">
        <v>1302</v>
      </c>
      <c r="C587" t="s">
        <v>4197</v>
      </c>
      <c r="D587" s="24" t="s">
        <v>4198</v>
      </c>
      <c r="E587" t="s">
        <v>4199</v>
      </c>
      <c r="F587">
        <v>2006</v>
      </c>
      <c r="G587">
        <f>IF(OR(Mentors[[#This Row],[Career Start Year]]="NA",ISBLANK(Mentors[[#This Row],[Career Start Year]])),"",2026 - Mentors[[#This Row],[Career Start Year]])</f>
        <v>20</v>
      </c>
      <c r="H58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587" t="s">
        <v>51</v>
      </c>
      <c r="J587" t="s">
        <v>1039</v>
      </c>
      <c r="K587" t="s">
        <v>4200</v>
      </c>
      <c r="L587" s="17">
        <v>9962658337</v>
      </c>
      <c r="M587" s="19">
        <v>45658</v>
      </c>
      <c r="O587" t="s">
        <v>0</v>
      </c>
      <c r="Q587" t="s">
        <v>54</v>
      </c>
      <c r="R587" t="s">
        <v>63</v>
      </c>
      <c r="S587" t="s">
        <v>54</v>
      </c>
      <c r="T587" s="4" t="s">
        <v>756</v>
      </c>
      <c r="U587" t="s">
        <v>77</v>
      </c>
      <c r="V587" t="s">
        <v>57</v>
      </c>
      <c r="W587" t="s">
        <v>79</v>
      </c>
      <c r="X587" t="s">
        <v>59</v>
      </c>
      <c r="Z587" t="s">
        <v>169</v>
      </c>
      <c r="AA587" t="s">
        <v>170</v>
      </c>
      <c r="AB587">
        <v>1</v>
      </c>
      <c r="AD587" t="s">
        <v>63</v>
      </c>
      <c r="AE587" t="s">
        <v>54</v>
      </c>
      <c r="AG587" t="s">
        <v>54</v>
      </c>
      <c r="AH587" t="s">
        <v>215</v>
      </c>
      <c r="AI587" t="s">
        <v>1064</v>
      </c>
      <c r="AJ587" t="s">
        <v>54</v>
      </c>
      <c r="AK587" t="s">
        <v>4201</v>
      </c>
      <c r="AL587" t="s">
        <v>4202</v>
      </c>
      <c r="AN587" s="19">
        <f>IF(ISBLANK(Mentors[[#This Row],[Onboarded Date]]),"",Mentors[[#This Row],[Onboarded Date]]-WEEKDAY(Mentors[[#This Row],[Onboarded Date]],2)+1)</f>
        <v>45656</v>
      </c>
    </row>
    <row r="588" spans="1:40" ht="19.2" customHeight="1" x14ac:dyDescent="0.3">
      <c r="A588" t="s">
        <v>4203</v>
      </c>
      <c r="B588" t="s">
        <v>3009</v>
      </c>
      <c r="C588" t="s">
        <v>4204</v>
      </c>
      <c r="D588" s="24" t="s">
        <v>4205</v>
      </c>
      <c r="E588" t="s">
        <v>4206</v>
      </c>
      <c r="F588">
        <v>1991</v>
      </c>
      <c r="G588">
        <f>IF(OR(Mentors[[#This Row],[Career Start Year]]="NA",ISBLANK(Mentors[[#This Row],[Career Start Year]])),"",2026 - Mentors[[#This Row],[Career Start Year]])</f>
        <v>35</v>
      </c>
      <c r="H58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88" t="s">
        <v>51</v>
      </c>
      <c r="J588" t="s">
        <v>1039</v>
      </c>
      <c r="K588" t="s">
        <v>4207</v>
      </c>
      <c r="L588" s="17">
        <v>8105966200</v>
      </c>
      <c r="M588" s="19">
        <v>45658</v>
      </c>
      <c r="O588" t="s">
        <v>0</v>
      </c>
      <c r="Q588" t="s">
        <v>54</v>
      </c>
      <c r="R588" t="s">
        <v>63</v>
      </c>
      <c r="S588" t="s">
        <v>63</v>
      </c>
      <c r="T588" t="s">
        <v>77</v>
      </c>
      <c r="U588" t="s">
        <v>65</v>
      </c>
      <c r="V588" s="4" t="s">
        <v>481</v>
      </c>
      <c r="W588" t="s">
        <v>79</v>
      </c>
      <c r="X588" t="s">
        <v>80</v>
      </c>
      <c r="Y588" t="s">
        <v>60</v>
      </c>
      <c r="Z588" t="s">
        <v>169</v>
      </c>
      <c r="AA588" t="s">
        <v>170</v>
      </c>
      <c r="AB588">
        <v>1</v>
      </c>
      <c r="AD588" t="s">
        <v>63</v>
      </c>
      <c r="AE588" t="s">
        <v>63</v>
      </c>
      <c r="AG588" t="s">
        <v>54</v>
      </c>
      <c r="AH588" t="s">
        <v>152</v>
      </c>
      <c r="AI588" t="s">
        <v>1064</v>
      </c>
      <c r="AJ588" t="s">
        <v>54</v>
      </c>
      <c r="AK588" t="s">
        <v>4208</v>
      </c>
      <c r="AL588" t="s">
        <v>644</v>
      </c>
      <c r="AN588" s="19">
        <f>IF(ISBLANK(Mentors[[#This Row],[Onboarded Date]]),"",Mentors[[#This Row],[Onboarded Date]]-WEEKDAY(Mentors[[#This Row],[Onboarded Date]],2)+1)</f>
        <v>45656</v>
      </c>
    </row>
    <row r="589" spans="1:40" ht="19.2" customHeight="1" x14ac:dyDescent="0.3">
      <c r="A589" t="s">
        <v>4209</v>
      </c>
      <c r="B589" t="s">
        <v>4210</v>
      </c>
      <c r="C589" t="s">
        <v>4211</v>
      </c>
      <c r="D589" s="24" t="s">
        <v>4212</v>
      </c>
      <c r="E589" s="7" t="s">
        <v>4213</v>
      </c>
      <c r="G589" t="str">
        <f>IF(OR(Mentors[[#This Row],[Career Start Year]]="NA",ISBLANK(Mentors[[#This Row],[Career Start Year]])),"",2026 - Mentors[[#This Row],[Career Start Year]])</f>
        <v/>
      </c>
      <c r="H58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
      </c>
      <c r="I589" t="s">
        <v>51</v>
      </c>
      <c r="J589" t="s">
        <v>1039</v>
      </c>
      <c r="K589" t="s">
        <v>4214</v>
      </c>
      <c r="L589" s="17">
        <v>9611196052</v>
      </c>
      <c r="M589" s="19">
        <v>45658</v>
      </c>
      <c r="N589" t="s">
        <v>3678</v>
      </c>
      <c r="O589" t="s">
        <v>0</v>
      </c>
      <c r="Q589" t="s">
        <v>54</v>
      </c>
      <c r="R589" t="s">
        <v>54</v>
      </c>
      <c r="S589" t="s">
        <v>54</v>
      </c>
      <c r="T589" t="s">
        <v>2543</v>
      </c>
      <c r="U589" t="s">
        <v>65</v>
      </c>
      <c r="V589" t="s">
        <v>198</v>
      </c>
      <c r="W589" t="s">
        <v>79</v>
      </c>
      <c r="X589" t="s">
        <v>80</v>
      </c>
      <c r="Z589" t="s">
        <v>169</v>
      </c>
      <c r="AA589" t="s">
        <v>170</v>
      </c>
      <c r="AB589">
        <v>1</v>
      </c>
      <c r="AD589" t="s">
        <v>63</v>
      </c>
      <c r="AE589" t="s">
        <v>54</v>
      </c>
      <c r="AG589" t="s">
        <v>54</v>
      </c>
      <c r="AH589" t="s">
        <v>131</v>
      </c>
      <c r="AI589" t="s">
        <v>1064</v>
      </c>
      <c r="AJ589" t="s">
        <v>54</v>
      </c>
      <c r="AK589" t="s">
        <v>4208</v>
      </c>
      <c r="AL589" t="s">
        <v>4215</v>
      </c>
      <c r="AN589" s="19">
        <f>IF(ISBLANK(Mentors[[#This Row],[Onboarded Date]]),"",Mentors[[#This Row],[Onboarded Date]]-WEEKDAY(Mentors[[#This Row],[Onboarded Date]],2)+1)</f>
        <v>45656</v>
      </c>
    </row>
    <row r="590" spans="1:40" ht="19.2" customHeight="1" x14ac:dyDescent="0.3">
      <c r="A590" t="s">
        <v>4216</v>
      </c>
      <c r="B590" t="s">
        <v>2931</v>
      </c>
      <c r="C590" t="s">
        <v>4217</v>
      </c>
      <c r="D590" s="24" t="s">
        <v>4218</v>
      </c>
      <c r="E590" t="s">
        <v>4219</v>
      </c>
      <c r="F590">
        <v>2010</v>
      </c>
      <c r="G590">
        <f>IF(OR(Mentors[[#This Row],[Career Start Year]]="NA",ISBLANK(Mentors[[#This Row],[Career Start Year]])),"",2026 - Mentors[[#This Row],[Career Start Year]])</f>
        <v>16</v>
      </c>
      <c r="H59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590" t="s">
        <v>51</v>
      </c>
      <c r="J590" t="s">
        <v>4220</v>
      </c>
      <c r="K590" t="s">
        <v>4221</v>
      </c>
      <c r="L590" s="17">
        <v>8592884455</v>
      </c>
      <c r="M590" s="19">
        <v>45658</v>
      </c>
      <c r="O590" t="s">
        <v>0</v>
      </c>
      <c r="Q590" t="s">
        <v>54</v>
      </c>
      <c r="R590" t="s">
        <v>54</v>
      </c>
      <c r="S590" t="s">
        <v>54</v>
      </c>
      <c r="T590" t="s">
        <v>187</v>
      </c>
      <c r="U590" t="s">
        <v>65</v>
      </c>
      <c r="V590" t="s">
        <v>78</v>
      </c>
      <c r="W590" t="s">
        <v>79</v>
      </c>
      <c r="Z590" t="s">
        <v>4154</v>
      </c>
      <c r="AA590" t="s">
        <v>62</v>
      </c>
      <c r="AB590">
        <v>1</v>
      </c>
      <c r="AD590" t="s">
        <v>63</v>
      </c>
      <c r="AE590" t="s">
        <v>54</v>
      </c>
      <c r="AG590" t="s">
        <v>63</v>
      </c>
      <c r="AH590" t="s">
        <v>131</v>
      </c>
      <c r="AI590" t="s">
        <v>132</v>
      </c>
      <c r="AJ590" t="s">
        <v>54</v>
      </c>
      <c r="AK590" t="s">
        <v>4222</v>
      </c>
      <c r="AL590" t="s">
        <v>4223</v>
      </c>
      <c r="AN590" s="19">
        <f>IF(ISBLANK(Mentors[[#This Row],[Onboarded Date]]),"",Mentors[[#This Row],[Onboarded Date]]-WEEKDAY(Mentors[[#This Row],[Onboarded Date]],2)+1)</f>
        <v>45656</v>
      </c>
    </row>
    <row r="591" spans="1:40" ht="19.2" customHeight="1" x14ac:dyDescent="0.3">
      <c r="A591" t="s">
        <v>4224</v>
      </c>
      <c r="B591" s="4" t="s">
        <v>4225</v>
      </c>
      <c r="C591" t="s">
        <v>4226</v>
      </c>
      <c r="D591" s="24" t="s">
        <v>4227</v>
      </c>
      <c r="E591" t="s">
        <v>4228</v>
      </c>
      <c r="F591">
        <v>2014</v>
      </c>
      <c r="G591">
        <f>IF(OR(Mentors[[#This Row],[Career Start Year]]="NA",ISBLANK(Mentors[[#This Row],[Career Start Year]])),"",2026 - Mentors[[#This Row],[Career Start Year]])</f>
        <v>12</v>
      </c>
      <c r="H59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91" t="s">
        <v>927</v>
      </c>
      <c r="J591" t="s">
        <v>4229</v>
      </c>
      <c r="K591" t="s">
        <v>4230</v>
      </c>
      <c r="L591" s="17">
        <v>9053252905</v>
      </c>
      <c r="M591" s="19">
        <v>45658</v>
      </c>
      <c r="O591" t="s">
        <v>0</v>
      </c>
      <c r="Q591" t="s">
        <v>63</v>
      </c>
      <c r="R591" t="s">
        <v>63</v>
      </c>
      <c r="S591" t="s">
        <v>63</v>
      </c>
      <c r="T591" t="s">
        <v>99</v>
      </c>
      <c r="U591" t="s">
        <v>187</v>
      </c>
      <c r="V591" t="s">
        <v>78</v>
      </c>
      <c r="W591" t="s">
        <v>79</v>
      </c>
      <c r="X591" t="s">
        <v>80</v>
      </c>
      <c r="Y591" t="s">
        <v>60</v>
      </c>
      <c r="Z591" t="s">
        <v>81</v>
      </c>
      <c r="AA591" t="s">
        <v>62</v>
      </c>
      <c r="AB591">
        <v>1</v>
      </c>
      <c r="AD591" t="s">
        <v>54</v>
      </c>
      <c r="AE591" t="s">
        <v>54</v>
      </c>
      <c r="AG591" t="s">
        <v>54</v>
      </c>
      <c r="AH591" t="s">
        <v>215</v>
      </c>
      <c r="AI591" t="s">
        <v>248</v>
      </c>
      <c r="AJ591" t="s">
        <v>63</v>
      </c>
      <c r="AK591" t="s">
        <v>4231</v>
      </c>
      <c r="AL591" t="s">
        <v>188</v>
      </c>
      <c r="AN591" s="19">
        <f>IF(ISBLANK(Mentors[[#This Row],[Onboarded Date]]),"",Mentors[[#This Row],[Onboarded Date]]-WEEKDAY(Mentors[[#This Row],[Onboarded Date]],2)+1)</f>
        <v>45656</v>
      </c>
    </row>
    <row r="592" spans="1:40" ht="19.2" customHeight="1" x14ac:dyDescent="0.3">
      <c r="A592" t="s">
        <v>4232</v>
      </c>
      <c r="B592" t="s">
        <v>2372</v>
      </c>
      <c r="C592" t="s">
        <v>4233</v>
      </c>
      <c r="D592" s="24" t="s">
        <v>4234</v>
      </c>
      <c r="E592" t="s">
        <v>4235</v>
      </c>
      <c r="F592">
        <v>2005</v>
      </c>
      <c r="G592">
        <f>IF(OR(Mentors[[#This Row],[Career Start Year]]="NA",ISBLANK(Mentors[[#This Row],[Career Start Year]])),"",2026 - Mentors[[#This Row],[Career Start Year]])</f>
        <v>21</v>
      </c>
      <c r="H59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92" t="s">
        <v>1071</v>
      </c>
      <c r="J592" t="s">
        <v>297</v>
      </c>
      <c r="K592" t="s">
        <v>4236</v>
      </c>
      <c r="L592" s="17">
        <v>8130120222</v>
      </c>
      <c r="M592" s="19">
        <v>45992</v>
      </c>
      <c r="O592" t="s">
        <v>0</v>
      </c>
      <c r="Q592" t="s">
        <v>54</v>
      </c>
      <c r="R592" t="s">
        <v>54</v>
      </c>
      <c r="S592" t="s">
        <v>54</v>
      </c>
      <c r="T592" t="s">
        <v>77</v>
      </c>
      <c r="U592" t="s">
        <v>100</v>
      </c>
      <c r="V592" t="s">
        <v>78</v>
      </c>
      <c r="W592" t="s">
        <v>79</v>
      </c>
      <c r="X592" t="s">
        <v>59</v>
      </c>
      <c r="Y592" t="s">
        <v>60</v>
      </c>
      <c r="Z592" t="s">
        <v>169</v>
      </c>
      <c r="AA592" t="s">
        <v>170</v>
      </c>
      <c r="AB592">
        <v>1</v>
      </c>
      <c r="AD592" t="s">
        <v>63</v>
      </c>
      <c r="AE592" t="s">
        <v>54</v>
      </c>
      <c r="AG592" t="s">
        <v>54</v>
      </c>
      <c r="AH592" t="s">
        <v>131</v>
      </c>
      <c r="AI592" t="s">
        <v>248</v>
      </c>
      <c r="AJ592" t="s">
        <v>54</v>
      </c>
      <c r="AK592" t="s">
        <v>1129</v>
      </c>
      <c r="AL592" t="s">
        <v>1129</v>
      </c>
      <c r="AN592" s="19">
        <f>IF(ISBLANK(Mentors[[#This Row],[Onboarded Date]]),"",Mentors[[#This Row],[Onboarded Date]]-WEEKDAY(Mentors[[#This Row],[Onboarded Date]],2)+1)</f>
        <v>45992</v>
      </c>
    </row>
    <row r="593" spans="1:40" ht="19.2" customHeight="1" x14ac:dyDescent="0.3">
      <c r="A593" t="s">
        <v>4237</v>
      </c>
      <c r="B593" t="s">
        <v>2808</v>
      </c>
      <c r="C593" t="s">
        <v>4238</v>
      </c>
      <c r="D593" s="24" t="s">
        <v>4239</v>
      </c>
      <c r="E593" t="s">
        <v>4240</v>
      </c>
      <c r="F593">
        <v>1994</v>
      </c>
      <c r="G593">
        <f>IF(OR(Mentors[[#This Row],[Career Start Year]]="NA",ISBLANK(Mentors[[#This Row],[Career Start Year]])),"",2026 - Mentors[[#This Row],[Career Start Year]])</f>
        <v>32</v>
      </c>
      <c r="H59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93" t="s">
        <v>51</v>
      </c>
      <c r="J593" t="s">
        <v>3902</v>
      </c>
      <c r="K593" t="s">
        <v>4241</v>
      </c>
      <c r="L593" s="17">
        <v>9810259395</v>
      </c>
      <c r="M593" s="19">
        <v>45658</v>
      </c>
      <c r="O593" t="s">
        <v>0</v>
      </c>
      <c r="Q593" t="s">
        <v>54</v>
      </c>
      <c r="R593" t="s">
        <v>63</v>
      </c>
      <c r="S593" t="s">
        <v>63</v>
      </c>
      <c r="T593" s="4" t="s">
        <v>756</v>
      </c>
      <c r="U593" t="s">
        <v>65</v>
      </c>
      <c r="V593" t="s">
        <v>57</v>
      </c>
      <c r="W593" t="s">
        <v>79</v>
      </c>
      <c r="X593" t="s">
        <v>59</v>
      </c>
      <c r="Y593" t="s">
        <v>60</v>
      </c>
      <c r="Z593" t="s">
        <v>169</v>
      </c>
      <c r="AA593" t="s">
        <v>170</v>
      </c>
      <c r="AB593">
        <v>1</v>
      </c>
      <c r="AD593" t="s">
        <v>63</v>
      </c>
      <c r="AE593" t="s">
        <v>63</v>
      </c>
      <c r="AG593" t="s">
        <v>54</v>
      </c>
      <c r="AH593" t="s">
        <v>152</v>
      </c>
      <c r="AI593" t="s">
        <v>1064</v>
      </c>
      <c r="AJ593" t="s">
        <v>54</v>
      </c>
      <c r="AK593" t="s">
        <v>4242</v>
      </c>
      <c r="AL593" t="s">
        <v>4243</v>
      </c>
      <c r="AN593" s="19">
        <f>IF(ISBLANK(Mentors[[#This Row],[Onboarded Date]]),"",Mentors[[#This Row],[Onboarded Date]]-WEEKDAY(Mentors[[#This Row],[Onboarded Date]],2)+1)</f>
        <v>45656</v>
      </c>
    </row>
    <row r="594" spans="1:40" ht="19.2" customHeight="1" x14ac:dyDescent="0.3">
      <c r="A594" t="s">
        <v>4244</v>
      </c>
      <c r="B594" t="s">
        <v>4245</v>
      </c>
      <c r="C594" t="s">
        <v>4246</v>
      </c>
      <c r="D594" s="24" t="s">
        <v>4247</v>
      </c>
      <c r="E594" t="s">
        <v>4248</v>
      </c>
      <c r="F594">
        <v>2012</v>
      </c>
      <c r="G594">
        <f>IF(OR(Mentors[[#This Row],[Career Start Year]]="NA",ISBLANK(Mentors[[#This Row],[Career Start Year]])),"",2026 - Mentors[[#This Row],[Career Start Year]])</f>
        <v>14</v>
      </c>
      <c r="H59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94" t="s">
        <v>51</v>
      </c>
      <c r="J594" t="s">
        <v>4249</v>
      </c>
      <c r="K594" t="s">
        <v>4250</v>
      </c>
      <c r="L594" s="17">
        <v>7009818855</v>
      </c>
      <c r="M594" s="19">
        <v>45658</v>
      </c>
      <c r="O594" t="s">
        <v>0</v>
      </c>
      <c r="Q594" t="s">
        <v>54</v>
      </c>
      <c r="R594" t="s">
        <v>4194</v>
      </c>
      <c r="S594" t="s">
        <v>4194</v>
      </c>
      <c r="T594" t="s">
        <v>76</v>
      </c>
      <c r="U594" t="s">
        <v>99</v>
      </c>
      <c r="V594" t="s">
        <v>78</v>
      </c>
      <c r="W594" t="s">
        <v>79</v>
      </c>
      <c r="X594" t="s">
        <v>59</v>
      </c>
      <c r="Z594" t="s">
        <v>81</v>
      </c>
      <c r="AA594" t="s">
        <v>62</v>
      </c>
      <c r="AB594">
        <v>1</v>
      </c>
      <c r="AD594" t="s">
        <v>54</v>
      </c>
      <c r="AE594" t="s">
        <v>63</v>
      </c>
      <c r="AG594" t="s">
        <v>4251</v>
      </c>
      <c r="AH594" t="s">
        <v>152</v>
      </c>
      <c r="AI594" t="s">
        <v>248</v>
      </c>
      <c r="AJ594" t="s">
        <v>54</v>
      </c>
      <c r="AK594" t="s">
        <v>4252</v>
      </c>
      <c r="AL594" t="s">
        <v>613</v>
      </c>
      <c r="AN594" s="19">
        <f>IF(ISBLANK(Mentors[[#This Row],[Onboarded Date]]),"",Mentors[[#This Row],[Onboarded Date]]-WEEKDAY(Mentors[[#This Row],[Onboarded Date]],2)+1)</f>
        <v>45656</v>
      </c>
    </row>
    <row r="595" spans="1:40" ht="19.2" customHeight="1" x14ac:dyDescent="0.3">
      <c r="A595" t="s">
        <v>4253</v>
      </c>
      <c r="B595" t="s">
        <v>4067</v>
      </c>
      <c r="C595" t="s">
        <v>4254</v>
      </c>
      <c r="D595" s="24" t="s">
        <v>4255</v>
      </c>
      <c r="E595" t="s">
        <v>4256</v>
      </c>
      <c r="F595">
        <v>1992</v>
      </c>
      <c r="G595">
        <f>IF(OR(Mentors[[#This Row],[Career Start Year]]="NA",ISBLANK(Mentors[[#This Row],[Career Start Year]])),"",2026 - Mentors[[#This Row],[Career Start Year]])</f>
        <v>34</v>
      </c>
      <c r="H59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95" t="s">
        <v>51</v>
      </c>
      <c r="J595" t="s">
        <v>1054</v>
      </c>
      <c r="K595" t="s">
        <v>4257</v>
      </c>
      <c r="L595" s="17">
        <v>7008387008</v>
      </c>
      <c r="M595" s="19">
        <v>45658</v>
      </c>
      <c r="N595" t="s">
        <v>3678</v>
      </c>
      <c r="O595" t="s">
        <v>0</v>
      </c>
      <c r="Q595" t="s">
        <v>63</v>
      </c>
      <c r="R595" t="s">
        <v>54</v>
      </c>
      <c r="S595" t="s">
        <v>63</v>
      </c>
      <c r="T595" t="s">
        <v>411</v>
      </c>
      <c r="U595" t="s">
        <v>77</v>
      </c>
      <c r="V595" t="s">
        <v>644</v>
      </c>
      <c r="W595" t="s">
        <v>79</v>
      </c>
      <c r="X595" t="s">
        <v>80</v>
      </c>
      <c r="Y595" t="s">
        <v>59</v>
      </c>
      <c r="Z595" t="s">
        <v>101</v>
      </c>
      <c r="AA595" t="s">
        <v>62</v>
      </c>
      <c r="AB595">
        <v>1</v>
      </c>
      <c r="AD595" t="s">
        <v>54</v>
      </c>
      <c r="AE595" t="s">
        <v>54</v>
      </c>
      <c r="AG595" t="s">
        <v>54</v>
      </c>
      <c r="AH595" t="s">
        <v>215</v>
      </c>
      <c r="AI595" t="s">
        <v>248</v>
      </c>
      <c r="AJ595" t="s">
        <v>63</v>
      </c>
      <c r="AK595" t="s">
        <v>4195</v>
      </c>
      <c r="AL595" t="s">
        <v>613</v>
      </c>
      <c r="AN595" s="19">
        <f>IF(ISBLANK(Mentors[[#This Row],[Onboarded Date]]),"",Mentors[[#This Row],[Onboarded Date]]-WEEKDAY(Mentors[[#This Row],[Onboarded Date]],2)+1)</f>
        <v>45656</v>
      </c>
    </row>
    <row r="596" spans="1:40" ht="19.2" customHeight="1" x14ac:dyDescent="0.3">
      <c r="A596" t="s">
        <v>4258</v>
      </c>
      <c r="B596" t="s">
        <v>1780</v>
      </c>
      <c r="C596" t="s">
        <v>4259</v>
      </c>
      <c r="D596" s="24" t="s">
        <v>4260</v>
      </c>
      <c r="E596" t="s">
        <v>4261</v>
      </c>
      <c r="F596">
        <v>2005</v>
      </c>
      <c r="G596">
        <f>IF(OR(Mentors[[#This Row],[Career Start Year]]="NA",ISBLANK(Mentors[[#This Row],[Career Start Year]])),"",2026 - Mentors[[#This Row],[Career Start Year]])</f>
        <v>21</v>
      </c>
      <c r="H59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96" t="s">
        <v>51</v>
      </c>
      <c r="J596" t="s">
        <v>4262</v>
      </c>
      <c r="K596" t="s">
        <v>4263</v>
      </c>
      <c r="L596" s="17">
        <v>9880622008</v>
      </c>
      <c r="M596" s="19">
        <v>45658</v>
      </c>
      <c r="O596" t="s">
        <v>0</v>
      </c>
      <c r="Q596" t="s">
        <v>54</v>
      </c>
      <c r="R596" t="s">
        <v>54</v>
      </c>
      <c r="S596" t="s">
        <v>54</v>
      </c>
      <c r="T596" t="s">
        <v>99</v>
      </c>
      <c r="U596" t="s">
        <v>77</v>
      </c>
      <c r="V596" t="s">
        <v>78</v>
      </c>
      <c r="W596" t="s">
        <v>79</v>
      </c>
      <c r="X596" t="s">
        <v>59</v>
      </c>
      <c r="Z596" t="s">
        <v>4154</v>
      </c>
      <c r="AA596" t="s">
        <v>62</v>
      </c>
      <c r="AB596">
        <v>1</v>
      </c>
      <c r="AD596" t="s">
        <v>54</v>
      </c>
      <c r="AE596" t="s">
        <v>54</v>
      </c>
      <c r="AG596" t="s">
        <v>63</v>
      </c>
      <c r="AH596" t="s">
        <v>215</v>
      </c>
      <c r="AI596" t="s">
        <v>248</v>
      </c>
      <c r="AJ596" t="s">
        <v>54</v>
      </c>
      <c r="AK596" t="s">
        <v>4264</v>
      </c>
      <c r="AL596" t="s">
        <v>1033</v>
      </c>
      <c r="AN596" s="19">
        <f>IF(ISBLANK(Mentors[[#This Row],[Onboarded Date]]),"",Mentors[[#This Row],[Onboarded Date]]-WEEKDAY(Mentors[[#This Row],[Onboarded Date]],2)+1)</f>
        <v>45656</v>
      </c>
    </row>
    <row r="597" spans="1:40" ht="19.2" customHeight="1" x14ac:dyDescent="0.3">
      <c r="A597" t="s">
        <v>4265</v>
      </c>
      <c r="B597" t="s">
        <v>1338</v>
      </c>
      <c r="C597" t="s">
        <v>4266</v>
      </c>
      <c r="D597" s="24" t="s">
        <v>4267</v>
      </c>
      <c r="E597" t="s">
        <v>4268</v>
      </c>
      <c r="F597">
        <v>2019</v>
      </c>
      <c r="G597">
        <f>IF(OR(Mentors[[#This Row],[Career Start Year]]="NA",ISBLANK(Mentors[[#This Row],[Career Start Year]])),"",2026 - Mentors[[#This Row],[Career Start Year]])</f>
        <v>7</v>
      </c>
      <c r="H59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1-10 Yrs</v>
      </c>
      <c r="I597" t="s">
        <v>1185</v>
      </c>
      <c r="J597" t="s">
        <v>4269</v>
      </c>
      <c r="K597" t="s">
        <v>4270</v>
      </c>
      <c r="L597" s="17">
        <v>7865540579</v>
      </c>
      <c r="M597" s="19">
        <v>45658</v>
      </c>
      <c r="N597" t="s">
        <v>3678</v>
      </c>
      <c r="O597" t="s">
        <v>0</v>
      </c>
      <c r="Q597" t="s">
        <v>54</v>
      </c>
      <c r="R597" t="s">
        <v>4194</v>
      </c>
      <c r="S597" t="s">
        <v>63</v>
      </c>
      <c r="T597" t="s">
        <v>1143</v>
      </c>
      <c r="U597" t="s">
        <v>99</v>
      </c>
      <c r="V597" t="s">
        <v>256</v>
      </c>
      <c r="W597" t="s">
        <v>79</v>
      </c>
      <c r="X597" t="s">
        <v>80</v>
      </c>
      <c r="Y597" t="s">
        <v>59</v>
      </c>
      <c r="Z597" t="s">
        <v>169</v>
      </c>
      <c r="AA597" t="s">
        <v>170</v>
      </c>
      <c r="AB597">
        <v>1</v>
      </c>
      <c r="AD597" t="s">
        <v>63</v>
      </c>
      <c r="AE597" t="s">
        <v>63</v>
      </c>
      <c r="AG597" t="s">
        <v>54</v>
      </c>
      <c r="AH597" t="s">
        <v>131</v>
      </c>
      <c r="AI597" t="s">
        <v>248</v>
      </c>
      <c r="AJ597" t="s">
        <v>54</v>
      </c>
      <c r="AK597" t="s">
        <v>4271</v>
      </c>
      <c r="AL597" t="s">
        <v>4272</v>
      </c>
      <c r="AN597" s="19">
        <f>IF(ISBLANK(Mentors[[#This Row],[Onboarded Date]]),"",Mentors[[#This Row],[Onboarded Date]]-WEEKDAY(Mentors[[#This Row],[Onboarded Date]],2)+1)</f>
        <v>45656</v>
      </c>
    </row>
    <row r="598" spans="1:40" ht="19.2" customHeight="1" x14ac:dyDescent="0.3">
      <c r="A598" t="s">
        <v>4273</v>
      </c>
      <c r="B598" t="s">
        <v>4274</v>
      </c>
      <c r="C598" t="s">
        <v>4275</v>
      </c>
      <c r="D598" s="24" t="s">
        <v>4276</v>
      </c>
      <c r="E598" t="s">
        <v>4277</v>
      </c>
      <c r="F598">
        <v>1993</v>
      </c>
      <c r="G598">
        <f>IF(OR(Mentors[[#This Row],[Career Start Year]]="NA",ISBLANK(Mentors[[#This Row],[Career Start Year]])),"",2026 - Mentors[[#This Row],[Career Start Year]])</f>
        <v>33</v>
      </c>
      <c r="H59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598" t="s">
        <v>51</v>
      </c>
      <c r="J598" t="s">
        <v>1039</v>
      </c>
      <c r="K598" t="s">
        <v>4278</v>
      </c>
      <c r="L598" s="17" t="s">
        <v>4279</v>
      </c>
      <c r="M598" s="19">
        <v>45658</v>
      </c>
      <c r="O598" t="s">
        <v>0</v>
      </c>
      <c r="Q598" t="s">
        <v>54</v>
      </c>
      <c r="R598" t="s">
        <v>54</v>
      </c>
      <c r="S598" t="s">
        <v>54</v>
      </c>
      <c r="T598" t="s">
        <v>166</v>
      </c>
      <c r="U598" t="s">
        <v>187</v>
      </c>
      <c r="V598" t="s">
        <v>78</v>
      </c>
      <c r="W598" t="s">
        <v>79</v>
      </c>
      <c r="X598" t="s">
        <v>59</v>
      </c>
      <c r="Z598" t="s">
        <v>169</v>
      </c>
      <c r="AA598" t="s">
        <v>170</v>
      </c>
      <c r="AB598">
        <v>1</v>
      </c>
      <c r="AD598" t="s">
        <v>63</v>
      </c>
      <c r="AE598" t="s">
        <v>54</v>
      </c>
      <c r="AG598" t="s">
        <v>54</v>
      </c>
      <c r="AH598" t="s">
        <v>131</v>
      </c>
      <c r="AI598" t="s">
        <v>248</v>
      </c>
      <c r="AJ598" t="s">
        <v>54</v>
      </c>
      <c r="AK598" t="s">
        <v>4280</v>
      </c>
      <c r="AL598" t="s">
        <v>188</v>
      </c>
      <c r="AN598" s="19">
        <f>IF(ISBLANK(Mentors[[#This Row],[Onboarded Date]]),"",Mentors[[#This Row],[Onboarded Date]]-WEEKDAY(Mentors[[#This Row],[Onboarded Date]],2)+1)</f>
        <v>45656</v>
      </c>
    </row>
    <row r="599" spans="1:40" ht="19.2" customHeight="1" x14ac:dyDescent="0.3">
      <c r="A599" t="s">
        <v>4281</v>
      </c>
      <c r="B599" t="s">
        <v>4282</v>
      </c>
      <c r="C599" t="s">
        <v>4283</v>
      </c>
      <c r="D599" s="24" t="s">
        <v>4284</v>
      </c>
      <c r="E599" t="s">
        <v>4285</v>
      </c>
      <c r="F599">
        <v>2015</v>
      </c>
      <c r="G599">
        <f>IF(OR(Mentors[[#This Row],[Career Start Year]]="NA",ISBLANK(Mentors[[#This Row],[Career Start Year]])),"",2026 - Mentors[[#This Row],[Career Start Year]])</f>
        <v>11</v>
      </c>
      <c r="H59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599" t="s">
        <v>51</v>
      </c>
      <c r="J599" t="s">
        <v>819</v>
      </c>
      <c r="K599" t="s">
        <v>4286</v>
      </c>
      <c r="L599" s="17">
        <v>8377888939</v>
      </c>
      <c r="M599" s="19">
        <v>45658</v>
      </c>
      <c r="N599" t="s">
        <v>3678</v>
      </c>
      <c r="O599" t="s">
        <v>0</v>
      </c>
      <c r="Q599" t="s">
        <v>54</v>
      </c>
      <c r="R599" t="s">
        <v>54</v>
      </c>
      <c r="S599" t="s">
        <v>54</v>
      </c>
      <c r="T599" s="11" t="s">
        <v>247</v>
      </c>
      <c r="U599" t="s">
        <v>79</v>
      </c>
      <c r="V599" t="s">
        <v>306</v>
      </c>
      <c r="W599" t="s">
        <v>79</v>
      </c>
      <c r="X599" t="s">
        <v>59</v>
      </c>
      <c r="Z599" t="s">
        <v>169</v>
      </c>
      <c r="AA599" t="s">
        <v>170</v>
      </c>
      <c r="AB599">
        <v>1</v>
      </c>
      <c r="AD599" t="s">
        <v>63</v>
      </c>
      <c r="AE599" t="s">
        <v>54</v>
      </c>
      <c r="AG599" t="s">
        <v>54</v>
      </c>
      <c r="AH599" t="s">
        <v>65</v>
      </c>
      <c r="AI599" t="s">
        <v>248</v>
      </c>
      <c r="AJ599" t="s">
        <v>54</v>
      </c>
      <c r="AK599" t="s">
        <v>4287</v>
      </c>
      <c r="AL599" t="s">
        <v>1033</v>
      </c>
      <c r="AN599" s="19">
        <f>IF(ISBLANK(Mentors[[#This Row],[Onboarded Date]]),"",Mentors[[#This Row],[Onboarded Date]]-WEEKDAY(Mentors[[#This Row],[Onboarded Date]],2)+1)</f>
        <v>45656</v>
      </c>
    </row>
    <row r="600" spans="1:40" ht="19.2" customHeight="1" x14ac:dyDescent="0.3">
      <c r="A600" t="s">
        <v>4288</v>
      </c>
      <c r="B600" t="s">
        <v>4289</v>
      </c>
      <c r="C600" t="s">
        <v>4290</v>
      </c>
      <c r="D600" s="24" t="s">
        <v>4291</v>
      </c>
      <c r="E600" t="s">
        <v>4292</v>
      </c>
      <c r="F600">
        <v>2012</v>
      </c>
      <c r="G600">
        <f>IF(OR(Mentors[[#This Row],[Career Start Year]]="NA",ISBLANK(Mentors[[#This Row],[Career Start Year]])),"",2026 - Mentors[[#This Row],[Career Start Year]])</f>
        <v>14</v>
      </c>
      <c r="H60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600" t="s">
        <v>51</v>
      </c>
      <c r="J600" t="s">
        <v>74</v>
      </c>
      <c r="K600" t="s">
        <v>4293</v>
      </c>
      <c r="L600" s="17">
        <v>9818953653</v>
      </c>
      <c r="M600" s="19">
        <v>45996</v>
      </c>
      <c r="N600" t="s">
        <v>3678</v>
      </c>
      <c r="O600" t="s">
        <v>0</v>
      </c>
      <c r="Q600" t="s">
        <v>54</v>
      </c>
      <c r="R600" t="s">
        <v>54</v>
      </c>
      <c r="S600" t="s">
        <v>54</v>
      </c>
      <c r="T600" s="11" t="s">
        <v>247</v>
      </c>
      <c r="U600" t="s">
        <v>79</v>
      </c>
      <c r="V600" t="s">
        <v>306</v>
      </c>
      <c r="W600" t="s">
        <v>79</v>
      </c>
      <c r="X600" t="s">
        <v>80</v>
      </c>
      <c r="Y600" t="s">
        <v>59</v>
      </c>
      <c r="Z600" t="s">
        <v>169</v>
      </c>
      <c r="AA600" t="s">
        <v>170</v>
      </c>
      <c r="AB600">
        <v>1</v>
      </c>
      <c r="AD600" t="s">
        <v>63</v>
      </c>
      <c r="AE600" t="s">
        <v>54</v>
      </c>
      <c r="AG600" t="s">
        <v>54</v>
      </c>
      <c r="AH600" t="s">
        <v>65</v>
      </c>
      <c r="AI600" t="s">
        <v>248</v>
      </c>
      <c r="AJ600" t="s">
        <v>54</v>
      </c>
      <c r="AK600" t="s">
        <v>1129</v>
      </c>
      <c r="AL600" t="s">
        <v>1129</v>
      </c>
      <c r="AN600" s="19">
        <f>IF(ISBLANK(Mentors[[#This Row],[Onboarded Date]]),"",Mentors[[#This Row],[Onboarded Date]]-WEEKDAY(Mentors[[#This Row],[Onboarded Date]],2)+1)</f>
        <v>45992</v>
      </c>
    </row>
    <row r="601" spans="1:40" ht="19.2" customHeight="1" x14ac:dyDescent="0.3">
      <c r="A601" t="s">
        <v>4294</v>
      </c>
      <c r="B601" t="s">
        <v>260</v>
      </c>
      <c r="C601" t="s">
        <v>4295</v>
      </c>
      <c r="D601" s="24" t="s">
        <v>4296</v>
      </c>
      <c r="E601" t="s">
        <v>4297</v>
      </c>
      <c r="F601">
        <v>2007</v>
      </c>
      <c r="G601">
        <f>IF(OR(Mentors[[#This Row],[Career Start Year]]="NA",ISBLANK(Mentors[[#This Row],[Career Start Year]])),"",2026 - Mentors[[#This Row],[Career Start Year]])</f>
        <v>19</v>
      </c>
      <c r="H60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01" t="s">
        <v>51</v>
      </c>
      <c r="J601" t="s">
        <v>74</v>
      </c>
      <c r="K601" t="s">
        <v>4298</v>
      </c>
      <c r="L601" s="17">
        <v>9810011821</v>
      </c>
      <c r="M601" s="19">
        <v>45658</v>
      </c>
      <c r="O601" t="s">
        <v>0</v>
      </c>
      <c r="Q601" t="s">
        <v>63</v>
      </c>
      <c r="R601" t="s">
        <v>63</v>
      </c>
      <c r="S601" t="s">
        <v>63</v>
      </c>
      <c r="T601" t="s">
        <v>99</v>
      </c>
      <c r="U601" t="s">
        <v>76</v>
      </c>
      <c r="V601" t="s">
        <v>78</v>
      </c>
      <c r="W601" t="s">
        <v>58</v>
      </c>
      <c r="X601" t="s">
        <v>80</v>
      </c>
      <c r="Y601" t="s">
        <v>60</v>
      </c>
      <c r="Z601" t="s">
        <v>169</v>
      </c>
      <c r="AA601" t="s">
        <v>170</v>
      </c>
      <c r="AB601">
        <v>1</v>
      </c>
      <c r="AD601" t="s">
        <v>63</v>
      </c>
      <c r="AE601" t="s">
        <v>63</v>
      </c>
      <c r="AG601" t="s">
        <v>54</v>
      </c>
      <c r="AH601" t="s">
        <v>152</v>
      </c>
      <c r="AI601" t="s">
        <v>248</v>
      </c>
      <c r="AJ601" t="s">
        <v>54</v>
      </c>
      <c r="AK601" t="s">
        <v>4299</v>
      </c>
      <c r="AL601" t="s">
        <v>4300</v>
      </c>
      <c r="AN601" s="19">
        <f>IF(ISBLANK(Mentors[[#This Row],[Onboarded Date]]),"",Mentors[[#This Row],[Onboarded Date]]-WEEKDAY(Mentors[[#This Row],[Onboarded Date]],2)+1)</f>
        <v>45656</v>
      </c>
    </row>
    <row r="602" spans="1:40" ht="19.2" customHeight="1" x14ac:dyDescent="0.3">
      <c r="A602" t="s">
        <v>4301</v>
      </c>
      <c r="B602" t="s">
        <v>152</v>
      </c>
      <c r="C602" t="s">
        <v>4302</v>
      </c>
      <c r="D602" s="24" t="s">
        <v>4303</v>
      </c>
      <c r="E602" t="s">
        <v>4304</v>
      </c>
      <c r="F602">
        <v>2008</v>
      </c>
      <c r="G602">
        <f>IF(OR(Mentors[[#This Row],[Career Start Year]]="NA",ISBLANK(Mentors[[#This Row],[Career Start Year]])),"",2026 - Mentors[[#This Row],[Career Start Year]])</f>
        <v>18</v>
      </c>
      <c r="H60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02" t="s">
        <v>51</v>
      </c>
      <c r="J602" t="s">
        <v>570</v>
      </c>
      <c r="K602" t="s">
        <v>4305</v>
      </c>
      <c r="L602" s="17">
        <v>9928905550</v>
      </c>
      <c r="M602" s="19">
        <v>45658</v>
      </c>
      <c r="O602" t="s">
        <v>0</v>
      </c>
      <c r="Q602" t="s">
        <v>54</v>
      </c>
      <c r="R602" t="s">
        <v>63</v>
      </c>
      <c r="S602" t="s">
        <v>63</v>
      </c>
      <c r="T602" t="s">
        <v>99</v>
      </c>
      <c r="U602" t="s">
        <v>187</v>
      </c>
      <c r="V602" t="s">
        <v>78</v>
      </c>
      <c r="W602" t="s">
        <v>57</v>
      </c>
      <c r="X602" t="s">
        <v>59</v>
      </c>
      <c r="Z602" t="s">
        <v>169</v>
      </c>
      <c r="AA602" t="s">
        <v>170</v>
      </c>
      <c r="AB602">
        <v>1</v>
      </c>
      <c r="AD602" t="s">
        <v>63</v>
      </c>
      <c r="AE602" t="s">
        <v>63</v>
      </c>
      <c r="AG602" t="s">
        <v>4306</v>
      </c>
      <c r="AH602" t="s">
        <v>152</v>
      </c>
      <c r="AI602" t="s">
        <v>248</v>
      </c>
      <c r="AJ602" t="s">
        <v>54</v>
      </c>
      <c r="AK602" t="s">
        <v>4307</v>
      </c>
      <c r="AL602" t="s">
        <v>188</v>
      </c>
      <c r="AN602" s="19">
        <f>IF(ISBLANK(Mentors[[#This Row],[Onboarded Date]]),"",Mentors[[#This Row],[Onboarded Date]]-WEEKDAY(Mentors[[#This Row],[Onboarded Date]],2)+1)</f>
        <v>45656</v>
      </c>
    </row>
    <row r="603" spans="1:40" ht="19.2" customHeight="1" x14ac:dyDescent="0.3">
      <c r="A603" t="s">
        <v>4308</v>
      </c>
      <c r="B603" t="s">
        <v>4309</v>
      </c>
      <c r="C603" t="s">
        <v>4310</v>
      </c>
      <c r="D603" s="24" t="s">
        <v>4311</v>
      </c>
      <c r="E603" t="s">
        <v>4312</v>
      </c>
      <c r="F603">
        <v>2012</v>
      </c>
      <c r="G603">
        <f>IF(OR(Mentors[[#This Row],[Career Start Year]]="NA",ISBLANK(Mentors[[#This Row],[Career Start Year]])),"",2026 - Mentors[[#This Row],[Career Start Year]])</f>
        <v>14</v>
      </c>
      <c r="H60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603" t="s">
        <v>51</v>
      </c>
      <c r="J603" t="s">
        <v>1007</v>
      </c>
      <c r="K603" t="s">
        <v>4313</v>
      </c>
      <c r="L603" s="17">
        <v>7530056797</v>
      </c>
      <c r="M603" s="19">
        <v>45658</v>
      </c>
      <c r="O603" t="s">
        <v>0</v>
      </c>
      <c r="Q603" t="s">
        <v>54</v>
      </c>
      <c r="R603" t="s">
        <v>63</v>
      </c>
      <c r="S603" t="s">
        <v>63</v>
      </c>
      <c r="T603" t="s">
        <v>110</v>
      </c>
      <c r="U603" t="s">
        <v>265</v>
      </c>
      <c r="V603" t="s">
        <v>78</v>
      </c>
      <c r="W603" t="s">
        <v>79</v>
      </c>
      <c r="Z603" t="s">
        <v>4154</v>
      </c>
      <c r="AA603" t="s">
        <v>62</v>
      </c>
      <c r="AB603">
        <v>1</v>
      </c>
      <c r="AD603" t="s">
        <v>54</v>
      </c>
      <c r="AE603" t="s">
        <v>63</v>
      </c>
      <c r="AG603" t="s">
        <v>54</v>
      </c>
      <c r="AH603" t="s">
        <v>152</v>
      </c>
      <c r="AI603" t="s">
        <v>248</v>
      </c>
      <c r="AJ603" t="s">
        <v>54</v>
      </c>
      <c r="AK603" t="s">
        <v>4314</v>
      </c>
      <c r="AL603" t="s">
        <v>120</v>
      </c>
      <c r="AN603" s="19">
        <f>IF(ISBLANK(Mentors[[#This Row],[Onboarded Date]]),"",Mentors[[#This Row],[Onboarded Date]]-WEEKDAY(Mentors[[#This Row],[Onboarded Date]],2)+1)</f>
        <v>45656</v>
      </c>
    </row>
    <row r="604" spans="1:40" ht="19.2" customHeight="1" x14ac:dyDescent="0.3">
      <c r="A604" t="s">
        <v>4315</v>
      </c>
      <c r="B604" t="s">
        <v>4316</v>
      </c>
      <c r="C604" t="s">
        <v>4317</v>
      </c>
      <c r="D604" s="24" t="s">
        <v>4318</v>
      </c>
      <c r="E604" t="s">
        <v>4319</v>
      </c>
      <c r="F604">
        <v>2006</v>
      </c>
      <c r="G604">
        <f>IF(OR(Mentors[[#This Row],[Career Start Year]]="NA",ISBLANK(Mentors[[#This Row],[Career Start Year]])),"",2026 - Mentors[[#This Row],[Career Start Year]])</f>
        <v>20</v>
      </c>
      <c r="H60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04" t="s">
        <v>51</v>
      </c>
      <c r="J604" t="s">
        <v>140</v>
      </c>
      <c r="K604" t="s">
        <v>4320</v>
      </c>
      <c r="L604" s="17">
        <v>9540231999</v>
      </c>
      <c r="M604" s="19">
        <v>45658</v>
      </c>
      <c r="O604" t="s">
        <v>0</v>
      </c>
      <c r="Q604" t="s">
        <v>54</v>
      </c>
      <c r="R604" t="s">
        <v>54</v>
      </c>
      <c r="S604" t="s">
        <v>54</v>
      </c>
      <c r="T604" t="s">
        <v>166</v>
      </c>
      <c r="U604" t="s">
        <v>90</v>
      </c>
      <c r="V604" t="s">
        <v>57</v>
      </c>
      <c r="W604" t="s">
        <v>65</v>
      </c>
      <c r="X604" t="s">
        <v>1120</v>
      </c>
      <c r="Z604" t="s">
        <v>169</v>
      </c>
      <c r="AA604" t="s">
        <v>170</v>
      </c>
      <c r="AB604">
        <v>1</v>
      </c>
      <c r="AD604" t="s">
        <v>63</v>
      </c>
      <c r="AE604" t="s">
        <v>54</v>
      </c>
      <c r="AG604" t="s">
        <v>54</v>
      </c>
      <c r="AH604" t="s">
        <v>65</v>
      </c>
      <c r="AI604" t="s">
        <v>76</v>
      </c>
      <c r="AJ604" t="s">
        <v>54</v>
      </c>
      <c r="AK604" t="s">
        <v>4321</v>
      </c>
      <c r="AL604" t="s">
        <v>613</v>
      </c>
      <c r="AN604" s="19">
        <f>IF(ISBLANK(Mentors[[#This Row],[Onboarded Date]]),"",Mentors[[#This Row],[Onboarded Date]]-WEEKDAY(Mentors[[#This Row],[Onboarded Date]],2)+1)</f>
        <v>45656</v>
      </c>
    </row>
    <row r="605" spans="1:40" ht="19.2" customHeight="1" x14ac:dyDescent="0.3">
      <c r="A605" t="s">
        <v>4322</v>
      </c>
      <c r="B605" t="s">
        <v>1163</v>
      </c>
      <c r="C605" t="s">
        <v>4323</v>
      </c>
      <c r="D605" s="24" t="s">
        <v>4324</v>
      </c>
      <c r="E605" s="7" t="s">
        <v>4325</v>
      </c>
      <c r="F605">
        <v>2011</v>
      </c>
      <c r="G605">
        <f>IF(OR(Mentors[[#This Row],[Career Start Year]]="NA",ISBLANK(Mentors[[#This Row],[Career Start Year]])),"",2026 - Mentors[[#This Row],[Career Start Year]])</f>
        <v>15</v>
      </c>
      <c r="H60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605" t="s">
        <v>1071</v>
      </c>
      <c r="J605" t="s">
        <v>118</v>
      </c>
      <c r="L605" s="17">
        <v>9322779571</v>
      </c>
      <c r="M605" s="19">
        <v>45658</v>
      </c>
      <c r="O605" t="s">
        <v>0</v>
      </c>
      <c r="Q605" t="s">
        <v>54</v>
      </c>
      <c r="R605" t="s">
        <v>63</v>
      </c>
      <c r="S605" t="s">
        <v>63</v>
      </c>
      <c r="T605" t="s">
        <v>56</v>
      </c>
      <c r="U605" t="s">
        <v>187</v>
      </c>
      <c r="V605" t="s">
        <v>78</v>
      </c>
      <c r="W605" t="s">
        <v>79</v>
      </c>
      <c r="Z605" t="s">
        <v>169</v>
      </c>
      <c r="AA605" t="s">
        <v>170</v>
      </c>
      <c r="AB605">
        <v>1</v>
      </c>
      <c r="AD605" t="s">
        <v>63</v>
      </c>
      <c r="AE605" t="s">
        <v>63</v>
      </c>
      <c r="AG605" t="s">
        <v>54</v>
      </c>
      <c r="AH605" t="s">
        <v>152</v>
      </c>
      <c r="AI605" t="s">
        <v>132</v>
      </c>
      <c r="AJ605" t="s">
        <v>54</v>
      </c>
      <c r="AK605" t="s">
        <v>4326</v>
      </c>
      <c r="AL605" t="s">
        <v>1538</v>
      </c>
      <c r="AN605" s="19">
        <f>IF(ISBLANK(Mentors[[#This Row],[Onboarded Date]]),"",Mentors[[#This Row],[Onboarded Date]]-WEEKDAY(Mentors[[#This Row],[Onboarded Date]],2)+1)</f>
        <v>45656</v>
      </c>
    </row>
    <row r="606" spans="1:40" ht="19.2" customHeight="1" x14ac:dyDescent="0.3">
      <c r="A606" t="s">
        <v>4327</v>
      </c>
      <c r="B606" t="s">
        <v>152</v>
      </c>
      <c r="C606" t="s">
        <v>4328</v>
      </c>
      <c r="D606" s="24" t="s">
        <v>4329</v>
      </c>
      <c r="E606" t="s">
        <v>4330</v>
      </c>
      <c r="F606">
        <v>2012</v>
      </c>
      <c r="G606">
        <f>IF(OR(Mentors[[#This Row],[Career Start Year]]="NA",ISBLANK(Mentors[[#This Row],[Career Start Year]])),"",2026 - Mentors[[#This Row],[Career Start Year]])</f>
        <v>14</v>
      </c>
      <c r="H60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606" t="s">
        <v>51</v>
      </c>
      <c r="J606" t="s">
        <v>74</v>
      </c>
      <c r="K606" t="s">
        <v>4331</v>
      </c>
      <c r="L606" s="17">
        <v>8800932090</v>
      </c>
      <c r="M606" s="19">
        <v>45658</v>
      </c>
      <c r="O606" t="s">
        <v>0</v>
      </c>
      <c r="Q606" t="s">
        <v>54</v>
      </c>
      <c r="R606" t="s">
        <v>63</v>
      </c>
      <c r="S606" t="s">
        <v>63</v>
      </c>
      <c r="T606" t="s">
        <v>76</v>
      </c>
      <c r="U606" t="s">
        <v>99</v>
      </c>
      <c r="V606" t="s">
        <v>78</v>
      </c>
      <c r="W606" t="s">
        <v>79</v>
      </c>
      <c r="Z606" t="s">
        <v>169</v>
      </c>
      <c r="AA606" t="s">
        <v>170</v>
      </c>
      <c r="AB606">
        <v>1</v>
      </c>
      <c r="AD606" t="s">
        <v>63</v>
      </c>
      <c r="AE606" t="s">
        <v>63</v>
      </c>
      <c r="AG606" t="s">
        <v>54</v>
      </c>
      <c r="AH606" t="s">
        <v>152</v>
      </c>
      <c r="AI606" t="s">
        <v>248</v>
      </c>
      <c r="AJ606" t="s">
        <v>54</v>
      </c>
      <c r="AK606" t="s">
        <v>4332</v>
      </c>
      <c r="AL606" t="s">
        <v>4333</v>
      </c>
      <c r="AN606" s="19">
        <f>IF(ISBLANK(Mentors[[#This Row],[Onboarded Date]]),"",Mentors[[#This Row],[Onboarded Date]]-WEEKDAY(Mentors[[#This Row],[Onboarded Date]],2)+1)</f>
        <v>45656</v>
      </c>
    </row>
    <row r="607" spans="1:40" ht="19.2" customHeight="1" x14ac:dyDescent="0.3">
      <c r="A607" t="s">
        <v>4334</v>
      </c>
      <c r="B607" t="s">
        <v>3838</v>
      </c>
      <c r="C607" t="s">
        <v>4335</v>
      </c>
      <c r="D607" s="24" t="s">
        <v>4336</v>
      </c>
      <c r="E607" t="s">
        <v>4337</v>
      </c>
      <c r="F607">
        <v>2007</v>
      </c>
      <c r="G607">
        <f>IF(OR(Mentors[[#This Row],[Career Start Year]]="NA",ISBLANK(Mentors[[#This Row],[Career Start Year]])),"",2026 - Mentors[[#This Row],[Career Start Year]])</f>
        <v>19</v>
      </c>
      <c r="H60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07" t="s">
        <v>51</v>
      </c>
      <c r="J607" t="s">
        <v>74</v>
      </c>
      <c r="K607" t="s">
        <v>4338</v>
      </c>
      <c r="L607" s="17">
        <v>991016559</v>
      </c>
      <c r="M607" s="19">
        <v>45658</v>
      </c>
      <c r="O607" t="s">
        <v>0</v>
      </c>
      <c r="Q607" t="s">
        <v>63</v>
      </c>
      <c r="R607" t="s">
        <v>63</v>
      </c>
      <c r="S607" t="s">
        <v>63</v>
      </c>
      <c r="T607" t="s">
        <v>99</v>
      </c>
      <c r="U607" t="s">
        <v>76</v>
      </c>
      <c r="V607" t="s">
        <v>57</v>
      </c>
      <c r="W607" t="s">
        <v>78</v>
      </c>
      <c r="X607" t="s">
        <v>80</v>
      </c>
      <c r="Y607" t="s">
        <v>59</v>
      </c>
      <c r="Z607" t="s">
        <v>169</v>
      </c>
      <c r="AA607" t="s">
        <v>170</v>
      </c>
      <c r="AB607">
        <v>1</v>
      </c>
      <c r="AD607" t="s">
        <v>63</v>
      </c>
      <c r="AE607" t="s">
        <v>63</v>
      </c>
      <c r="AG607" t="s">
        <v>54</v>
      </c>
      <c r="AH607" t="s">
        <v>152</v>
      </c>
      <c r="AI607" t="s">
        <v>248</v>
      </c>
      <c r="AJ607" t="s">
        <v>54</v>
      </c>
      <c r="AK607" t="s">
        <v>4339</v>
      </c>
      <c r="AL607" t="s">
        <v>188</v>
      </c>
      <c r="AN607" s="19">
        <f>IF(ISBLANK(Mentors[[#This Row],[Onboarded Date]]),"",Mentors[[#This Row],[Onboarded Date]]-WEEKDAY(Mentors[[#This Row],[Onboarded Date]],2)+1)</f>
        <v>45656</v>
      </c>
    </row>
    <row r="608" spans="1:40" ht="19.2" customHeight="1" x14ac:dyDescent="0.3">
      <c r="A608" t="s">
        <v>4340</v>
      </c>
      <c r="B608" t="s">
        <v>4341</v>
      </c>
      <c r="C608" t="s">
        <v>4342</v>
      </c>
      <c r="D608" s="24" t="s">
        <v>4343</v>
      </c>
      <c r="E608" t="s">
        <v>4344</v>
      </c>
      <c r="F608">
        <v>2011</v>
      </c>
      <c r="G608">
        <f>IF(OR(Mentors[[#This Row],[Career Start Year]]="NA",ISBLANK(Mentors[[#This Row],[Career Start Year]])),"",2026 - Mentors[[#This Row],[Career Start Year]])</f>
        <v>15</v>
      </c>
      <c r="H60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608" t="s">
        <v>1071</v>
      </c>
      <c r="J608" t="s">
        <v>4345</v>
      </c>
      <c r="K608" t="s">
        <v>4346</v>
      </c>
      <c r="L608" s="17">
        <v>8879937209</v>
      </c>
      <c r="M608" s="19">
        <v>45658</v>
      </c>
      <c r="O608" t="s">
        <v>0</v>
      </c>
      <c r="Q608" t="s">
        <v>54</v>
      </c>
      <c r="R608" t="s">
        <v>54</v>
      </c>
      <c r="S608" t="s">
        <v>54</v>
      </c>
      <c r="T608" t="s">
        <v>77</v>
      </c>
      <c r="U608" t="s">
        <v>65</v>
      </c>
      <c r="V608" t="s">
        <v>57</v>
      </c>
      <c r="W608" t="s">
        <v>79</v>
      </c>
      <c r="X608" t="s">
        <v>59</v>
      </c>
      <c r="Z608" t="s">
        <v>169</v>
      </c>
      <c r="AA608" t="s">
        <v>170</v>
      </c>
      <c r="AB608">
        <v>1</v>
      </c>
      <c r="AD608" t="s">
        <v>63</v>
      </c>
      <c r="AE608" t="s">
        <v>54</v>
      </c>
      <c r="AG608" t="s">
        <v>54</v>
      </c>
      <c r="AH608" t="s">
        <v>65</v>
      </c>
      <c r="AI608" t="s">
        <v>1064</v>
      </c>
      <c r="AJ608" t="s">
        <v>54</v>
      </c>
      <c r="AK608" t="s">
        <v>4347</v>
      </c>
      <c r="AL608" t="s">
        <v>644</v>
      </c>
      <c r="AN608" s="19">
        <f>IF(ISBLANK(Mentors[[#This Row],[Onboarded Date]]),"",Mentors[[#This Row],[Onboarded Date]]-WEEKDAY(Mentors[[#This Row],[Onboarded Date]],2)+1)</f>
        <v>45656</v>
      </c>
    </row>
    <row r="609" spans="1:40" ht="19.2" customHeight="1" x14ac:dyDescent="0.3">
      <c r="A609" t="s">
        <v>4348</v>
      </c>
      <c r="B609" t="s">
        <v>4349</v>
      </c>
      <c r="D609" s="24" t="s">
        <v>4350</v>
      </c>
      <c r="E609" t="s">
        <v>4351</v>
      </c>
      <c r="F609">
        <v>2004</v>
      </c>
      <c r="G609">
        <f>IF(OR(Mentors[[#This Row],[Career Start Year]]="NA",ISBLANK(Mentors[[#This Row],[Career Start Year]])),"",2026 - Mentors[[#This Row],[Career Start Year]])</f>
        <v>22</v>
      </c>
      <c r="H60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09" t="s">
        <v>51</v>
      </c>
      <c r="J609" t="s">
        <v>314</v>
      </c>
      <c r="K609" t="s">
        <v>4352</v>
      </c>
      <c r="L609" s="17">
        <v>9840278231</v>
      </c>
      <c r="M609" s="19">
        <v>45658</v>
      </c>
      <c r="O609" t="s">
        <v>0</v>
      </c>
      <c r="Q609" t="s">
        <v>54</v>
      </c>
      <c r="R609" t="s">
        <v>54</v>
      </c>
      <c r="S609" t="s">
        <v>54</v>
      </c>
      <c r="T609" t="s">
        <v>56</v>
      </c>
      <c r="U609" t="s">
        <v>381</v>
      </c>
      <c r="V609" t="s">
        <v>120</v>
      </c>
      <c r="W609" t="s">
        <v>78</v>
      </c>
      <c r="X609" t="s">
        <v>59</v>
      </c>
      <c r="Y609" t="s">
        <v>60</v>
      </c>
      <c r="Z609" t="s">
        <v>4154</v>
      </c>
      <c r="AA609" t="s">
        <v>62</v>
      </c>
      <c r="AB609">
        <v>1</v>
      </c>
      <c r="AD609" t="s">
        <v>54</v>
      </c>
      <c r="AE609" t="s">
        <v>54</v>
      </c>
      <c r="AG609" t="s">
        <v>54</v>
      </c>
      <c r="AH609" t="s">
        <v>65</v>
      </c>
      <c r="AI609" t="s">
        <v>248</v>
      </c>
      <c r="AJ609" t="s">
        <v>54</v>
      </c>
      <c r="AK609" t="s">
        <v>4353</v>
      </c>
      <c r="AL609" t="s">
        <v>120</v>
      </c>
      <c r="AN609" s="19">
        <f>IF(ISBLANK(Mentors[[#This Row],[Onboarded Date]]),"",Mentors[[#This Row],[Onboarded Date]]-WEEKDAY(Mentors[[#This Row],[Onboarded Date]],2)+1)</f>
        <v>45656</v>
      </c>
    </row>
    <row r="610" spans="1:40" ht="19.2" customHeight="1" x14ac:dyDescent="0.3">
      <c r="A610" t="s">
        <v>4354</v>
      </c>
      <c r="B610" t="s">
        <v>3838</v>
      </c>
      <c r="C610" t="s">
        <v>4355</v>
      </c>
      <c r="D610" s="24" t="s">
        <v>4356</v>
      </c>
      <c r="E610" s="7" t="s">
        <v>4357</v>
      </c>
      <c r="F610">
        <v>1996</v>
      </c>
      <c r="G610">
        <f>IF(OR(Mentors[[#This Row],[Career Start Year]]="NA",ISBLANK(Mentors[[#This Row],[Career Start Year]])),"",2026 - Mentors[[#This Row],[Career Start Year]])</f>
        <v>30</v>
      </c>
      <c r="H61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10" t="s">
        <v>51</v>
      </c>
      <c r="J610" t="s">
        <v>280</v>
      </c>
      <c r="M610" s="19">
        <v>45658</v>
      </c>
      <c r="O610" t="s">
        <v>0</v>
      </c>
      <c r="Q610" t="s">
        <v>54</v>
      </c>
      <c r="R610" t="s">
        <v>54</v>
      </c>
      <c r="S610" t="s">
        <v>63</v>
      </c>
      <c r="T610" t="s">
        <v>77</v>
      </c>
      <c r="U610" t="s">
        <v>187</v>
      </c>
      <c r="V610" t="s">
        <v>282</v>
      </c>
      <c r="W610" t="s">
        <v>58</v>
      </c>
      <c r="X610" t="s">
        <v>60</v>
      </c>
      <c r="Z610" t="s">
        <v>169</v>
      </c>
      <c r="AA610" t="s">
        <v>170</v>
      </c>
      <c r="AB610">
        <v>1</v>
      </c>
      <c r="AD610" t="s">
        <v>63</v>
      </c>
      <c r="AE610" t="s">
        <v>63</v>
      </c>
      <c r="AG610" t="s">
        <v>54</v>
      </c>
      <c r="AH610" t="s">
        <v>152</v>
      </c>
      <c r="AI610" t="s">
        <v>248</v>
      </c>
      <c r="AJ610" t="s">
        <v>54</v>
      </c>
      <c r="AK610" t="s">
        <v>3953</v>
      </c>
      <c r="AL610" t="s">
        <v>1080</v>
      </c>
      <c r="AN610" s="19">
        <f>IF(ISBLANK(Mentors[[#This Row],[Onboarded Date]]),"",Mentors[[#This Row],[Onboarded Date]]-WEEKDAY(Mentors[[#This Row],[Onboarded Date]],2)+1)</f>
        <v>45656</v>
      </c>
    </row>
    <row r="611" spans="1:40" ht="19.2" customHeight="1" x14ac:dyDescent="0.3">
      <c r="A611" t="s">
        <v>4358</v>
      </c>
      <c r="B611" t="s">
        <v>4359</v>
      </c>
      <c r="C611" t="s">
        <v>4360</v>
      </c>
      <c r="D611" s="9" t="s">
        <v>4361</v>
      </c>
      <c r="E611" s="7" t="s">
        <v>4362</v>
      </c>
      <c r="F611">
        <v>2011</v>
      </c>
      <c r="G611">
        <f>IF(OR(Mentors[[#This Row],[Career Start Year]]="NA",ISBLANK(Mentors[[#This Row],[Career Start Year]])),"",2026 - Mentors[[#This Row],[Career Start Year]])</f>
        <v>15</v>
      </c>
      <c r="H61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611" t="s">
        <v>1071</v>
      </c>
      <c r="J611" t="s">
        <v>314</v>
      </c>
      <c r="L611" s="17">
        <v>9840788449</v>
      </c>
      <c r="M611" s="19">
        <v>45658</v>
      </c>
      <c r="O611" t="s">
        <v>0</v>
      </c>
      <c r="Q611" t="s">
        <v>54</v>
      </c>
      <c r="R611" t="s">
        <v>54</v>
      </c>
      <c r="S611" t="s">
        <v>54</v>
      </c>
      <c r="T611" t="s">
        <v>56</v>
      </c>
      <c r="U611" t="s">
        <v>381</v>
      </c>
      <c r="V611" t="s">
        <v>78</v>
      </c>
      <c r="W611" t="s">
        <v>79</v>
      </c>
      <c r="X611" t="s">
        <v>60</v>
      </c>
      <c r="Z611" t="s">
        <v>169</v>
      </c>
      <c r="AA611" t="s">
        <v>170</v>
      </c>
      <c r="AB611">
        <v>1</v>
      </c>
      <c r="AD611" t="s">
        <v>63</v>
      </c>
      <c r="AE611" t="s">
        <v>54</v>
      </c>
      <c r="AG611" t="s">
        <v>54</v>
      </c>
      <c r="AH611" t="s">
        <v>131</v>
      </c>
      <c r="AI611" t="s">
        <v>132</v>
      </c>
      <c r="AJ611" t="s">
        <v>54</v>
      </c>
      <c r="AK611" t="s">
        <v>4363</v>
      </c>
      <c r="AL611" t="s">
        <v>382</v>
      </c>
      <c r="AN611" s="19">
        <f>IF(ISBLANK(Mentors[[#This Row],[Onboarded Date]]),"",Mentors[[#This Row],[Onboarded Date]]-WEEKDAY(Mentors[[#This Row],[Onboarded Date]],2)+1)</f>
        <v>45656</v>
      </c>
    </row>
    <row r="612" spans="1:40" ht="19.2" customHeight="1" x14ac:dyDescent="0.3">
      <c r="A612" t="s">
        <v>4364</v>
      </c>
      <c r="B612" t="s">
        <v>4365</v>
      </c>
      <c r="C612" t="s">
        <v>4366</v>
      </c>
      <c r="D612" s="24" t="s">
        <v>4367</v>
      </c>
      <c r="E612" t="s">
        <v>4368</v>
      </c>
      <c r="F612">
        <v>2002</v>
      </c>
      <c r="G612">
        <f>IF(OR(Mentors[[#This Row],[Career Start Year]]="NA",ISBLANK(Mentors[[#This Row],[Career Start Year]])),"",2026 - Mentors[[#This Row],[Career Start Year]])</f>
        <v>24</v>
      </c>
      <c r="H61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12" t="s">
        <v>51</v>
      </c>
      <c r="J612" t="s">
        <v>3902</v>
      </c>
      <c r="K612" t="s">
        <v>4369</v>
      </c>
      <c r="L612" s="17">
        <v>9810766029</v>
      </c>
      <c r="M612" s="19">
        <v>45658</v>
      </c>
      <c r="O612" t="s">
        <v>0</v>
      </c>
      <c r="Q612" t="s">
        <v>54</v>
      </c>
      <c r="R612" t="s">
        <v>54</v>
      </c>
      <c r="S612" t="s">
        <v>54</v>
      </c>
      <c r="T612" t="s">
        <v>56</v>
      </c>
      <c r="U612" t="s">
        <v>381</v>
      </c>
      <c r="V612" t="s">
        <v>78</v>
      </c>
      <c r="W612" t="s">
        <v>57</v>
      </c>
      <c r="X612" t="s">
        <v>60</v>
      </c>
      <c r="Y612" t="s">
        <v>230</v>
      </c>
      <c r="Z612" t="s">
        <v>169</v>
      </c>
      <c r="AA612" t="s">
        <v>170</v>
      </c>
      <c r="AB612">
        <v>1</v>
      </c>
      <c r="AD612" t="s">
        <v>63</v>
      </c>
      <c r="AE612" t="s">
        <v>54</v>
      </c>
      <c r="AG612" t="s">
        <v>54</v>
      </c>
      <c r="AH612" t="s">
        <v>65</v>
      </c>
      <c r="AI612" t="s">
        <v>132</v>
      </c>
      <c r="AJ612" t="s">
        <v>54</v>
      </c>
      <c r="AK612" t="s">
        <v>4370</v>
      </c>
      <c r="AL612" t="s">
        <v>4371</v>
      </c>
      <c r="AN612" s="19">
        <f>IF(ISBLANK(Mentors[[#This Row],[Onboarded Date]]),"",Mentors[[#This Row],[Onboarded Date]]-WEEKDAY(Mentors[[#This Row],[Onboarded Date]],2)+1)</f>
        <v>45656</v>
      </c>
    </row>
    <row r="613" spans="1:40" ht="19.2" customHeight="1" x14ac:dyDescent="0.3">
      <c r="A613" t="s">
        <v>4372</v>
      </c>
      <c r="B613" t="s">
        <v>94</v>
      </c>
      <c r="C613" t="s">
        <v>4373</v>
      </c>
      <c r="D613" s="24" t="s">
        <v>4374</v>
      </c>
      <c r="E613" t="s">
        <v>4375</v>
      </c>
      <c r="F613">
        <v>1993</v>
      </c>
      <c r="G613">
        <f>IF(OR(Mentors[[#This Row],[Career Start Year]]="NA",ISBLANK(Mentors[[#This Row],[Career Start Year]])),"",2026 - Mentors[[#This Row],[Career Start Year]])</f>
        <v>33</v>
      </c>
      <c r="H61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13" t="s">
        <v>478</v>
      </c>
      <c r="J613" t="s">
        <v>478</v>
      </c>
      <c r="K613" t="s">
        <v>4376</v>
      </c>
      <c r="L613" s="17" t="s">
        <v>4377</v>
      </c>
      <c r="M613" s="19">
        <v>46028</v>
      </c>
      <c r="O613" t="s">
        <v>0</v>
      </c>
      <c r="Q613" t="s">
        <v>54</v>
      </c>
      <c r="R613" t="s">
        <v>54</v>
      </c>
      <c r="S613" t="s">
        <v>54</v>
      </c>
      <c r="T613" t="s">
        <v>77</v>
      </c>
      <c r="U613" t="s">
        <v>166</v>
      </c>
      <c r="V613" t="s">
        <v>78</v>
      </c>
      <c r="W613" t="s">
        <v>79</v>
      </c>
      <c r="X613" t="s">
        <v>59</v>
      </c>
      <c r="Z613" t="s">
        <v>169</v>
      </c>
      <c r="AA613" t="s">
        <v>170</v>
      </c>
      <c r="AB613">
        <v>1</v>
      </c>
      <c r="AE613" t="s">
        <v>54</v>
      </c>
      <c r="AG613" t="s">
        <v>54</v>
      </c>
      <c r="AH613" t="s">
        <v>94</v>
      </c>
      <c r="AI613" t="s">
        <v>77</v>
      </c>
      <c r="AJ613" t="s">
        <v>54</v>
      </c>
      <c r="AK613" t="s">
        <v>1129</v>
      </c>
      <c r="AL613" t="s">
        <v>1129</v>
      </c>
      <c r="AN613" s="19">
        <f>IF(ISBLANK(Mentors[[#This Row],[Onboarded Date]]),"",Mentors[[#This Row],[Onboarded Date]]-WEEKDAY(Mentors[[#This Row],[Onboarded Date]],2)+1)</f>
        <v>46027</v>
      </c>
    </row>
    <row r="614" spans="1:40" ht="19.2" customHeight="1" x14ac:dyDescent="0.3">
      <c r="A614" t="s">
        <v>4378</v>
      </c>
      <c r="D614" s="24" t="s">
        <v>4379</v>
      </c>
      <c r="E614" s="7" t="s">
        <v>4380</v>
      </c>
      <c r="F614">
        <v>2010</v>
      </c>
      <c r="G614">
        <f>IF(OR(Mentors[[#This Row],[Career Start Year]]="NA",ISBLANK(Mentors[[#This Row],[Career Start Year]])),"",2026 - Mentors[[#This Row],[Career Start Year]])</f>
        <v>16</v>
      </c>
      <c r="H61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14" t="s">
        <v>1071</v>
      </c>
      <c r="J614" t="s">
        <v>297</v>
      </c>
      <c r="K614" s="7" t="s">
        <v>4381</v>
      </c>
      <c r="L614" s="17">
        <v>7680822888</v>
      </c>
      <c r="M614" s="19">
        <v>45658</v>
      </c>
      <c r="O614" t="s">
        <v>0</v>
      </c>
      <c r="Q614" t="s">
        <v>54</v>
      </c>
      <c r="R614" t="s">
        <v>54</v>
      </c>
      <c r="S614" t="s">
        <v>54</v>
      </c>
      <c r="T614" t="s">
        <v>76</v>
      </c>
      <c r="U614" t="s">
        <v>99</v>
      </c>
      <c r="V614" t="s">
        <v>256</v>
      </c>
      <c r="W614" t="s">
        <v>78</v>
      </c>
      <c r="X614" t="s">
        <v>80</v>
      </c>
      <c r="Z614" t="s">
        <v>169</v>
      </c>
      <c r="AA614" t="s">
        <v>170</v>
      </c>
      <c r="AB614">
        <v>1</v>
      </c>
      <c r="AD614" t="s">
        <v>63</v>
      </c>
      <c r="AE614" t="s">
        <v>54</v>
      </c>
      <c r="AG614" t="s">
        <v>54</v>
      </c>
      <c r="AH614" t="s">
        <v>215</v>
      </c>
      <c r="AI614" t="s">
        <v>76</v>
      </c>
      <c r="AJ614" t="s">
        <v>54</v>
      </c>
      <c r="AK614" t="s">
        <v>4382</v>
      </c>
      <c r="AL614" t="s">
        <v>988</v>
      </c>
      <c r="AN614" s="19">
        <f>IF(ISBLANK(Mentors[[#This Row],[Onboarded Date]]),"",Mentors[[#This Row],[Onboarded Date]]-WEEKDAY(Mentors[[#This Row],[Onboarded Date]],2)+1)</f>
        <v>45656</v>
      </c>
    </row>
    <row r="615" spans="1:40" ht="19.2" customHeight="1" x14ac:dyDescent="0.3">
      <c r="A615" t="s">
        <v>4383</v>
      </c>
      <c r="D615" s="24" t="s">
        <v>4384</v>
      </c>
      <c r="E615" t="s">
        <v>4385</v>
      </c>
      <c r="F615">
        <v>2008</v>
      </c>
      <c r="G615">
        <f>IF(OR(Mentors[[#This Row],[Career Start Year]]="NA",ISBLANK(Mentors[[#This Row],[Career Start Year]])),"",2026 - Mentors[[#This Row],[Career Start Year]])</f>
        <v>18</v>
      </c>
      <c r="H61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15" t="s">
        <v>51</v>
      </c>
      <c r="J615" t="s">
        <v>140</v>
      </c>
      <c r="M615" s="19">
        <v>45658</v>
      </c>
      <c r="O615" t="s">
        <v>0</v>
      </c>
      <c r="Q615" t="s">
        <v>54</v>
      </c>
      <c r="R615" t="s">
        <v>54</v>
      </c>
      <c r="S615" t="s">
        <v>54</v>
      </c>
      <c r="T615" s="4" t="s">
        <v>756</v>
      </c>
      <c r="U615" t="s">
        <v>919</v>
      </c>
      <c r="V615" t="s">
        <v>58</v>
      </c>
      <c r="W615" t="s">
        <v>421</v>
      </c>
      <c r="Z615" t="s">
        <v>169</v>
      </c>
      <c r="AA615" t="s">
        <v>170</v>
      </c>
      <c r="AB615">
        <v>1</v>
      </c>
      <c r="AD615" t="s">
        <v>63</v>
      </c>
      <c r="AE615" t="s">
        <v>54</v>
      </c>
      <c r="AG615" t="s">
        <v>54</v>
      </c>
      <c r="AH615" t="s">
        <v>131</v>
      </c>
      <c r="AI615" t="s">
        <v>412</v>
      </c>
      <c r="AJ615" t="s">
        <v>54</v>
      </c>
      <c r="AK615" t="s">
        <v>412</v>
      </c>
      <c r="AL615" t="s">
        <v>1080</v>
      </c>
      <c r="AN615" s="19">
        <f>IF(ISBLANK(Mentors[[#This Row],[Onboarded Date]]),"",Mentors[[#This Row],[Onboarded Date]]-WEEKDAY(Mentors[[#This Row],[Onboarded Date]],2)+1)</f>
        <v>45656</v>
      </c>
    </row>
    <row r="616" spans="1:40" ht="19.2" customHeight="1" x14ac:dyDescent="0.3">
      <c r="A616" t="s">
        <v>4386</v>
      </c>
      <c r="B616" s="4" t="s">
        <v>4387</v>
      </c>
      <c r="C616" s="23" t="s">
        <v>4388</v>
      </c>
      <c r="D616" s="24" t="s">
        <v>4389</v>
      </c>
      <c r="E616" t="s">
        <v>4390</v>
      </c>
      <c r="F616">
        <v>2005</v>
      </c>
      <c r="G616">
        <f>IF(OR(Mentors[[#This Row],[Career Start Year]]="NA",ISBLANK(Mentors[[#This Row],[Career Start Year]])),"",2026 - Mentors[[#This Row],[Career Start Year]])</f>
        <v>21</v>
      </c>
      <c r="H61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16" t="s">
        <v>51</v>
      </c>
      <c r="J616" t="s">
        <v>196</v>
      </c>
      <c r="K616" s="7" t="s">
        <v>4391</v>
      </c>
      <c r="L616">
        <v>9535677441</v>
      </c>
      <c r="M616" s="19">
        <v>45658</v>
      </c>
      <c r="N616" t="s">
        <v>3678</v>
      </c>
      <c r="O616" t="s">
        <v>0</v>
      </c>
      <c r="Q616" t="s">
        <v>54</v>
      </c>
      <c r="R616" t="s">
        <v>54</v>
      </c>
      <c r="S616" t="s">
        <v>54</v>
      </c>
      <c r="T616" t="s">
        <v>55</v>
      </c>
      <c r="U616" t="s">
        <v>90</v>
      </c>
      <c r="V616" t="s">
        <v>644</v>
      </c>
      <c r="W616" t="s">
        <v>256</v>
      </c>
      <c r="X616" t="s">
        <v>80</v>
      </c>
      <c r="Y616" t="s">
        <v>60</v>
      </c>
      <c r="Z616" t="s">
        <v>169</v>
      </c>
      <c r="AA616" t="s">
        <v>170</v>
      </c>
      <c r="AB616">
        <v>1</v>
      </c>
      <c r="AD616" t="s">
        <v>63</v>
      </c>
      <c r="AE616" t="s">
        <v>54</v>
      </c>
      <c r="AG616" t="s">
        <v>54</v>
      </c>
      <c r="AH616" t="s">
        <v>65</v>
      </c>
      <c r="AI616" t="s">
        <v>66</v>
      </c>
      <c r="AJ616" t="s">
        <v>54</v>
      </c>
      <c r="AK616" t="s">
        <v>4139</v>
      </c>
      <c r="AL616" t="s">
        <v>644</v>
      </c>
      <c r="AN616" s="19">
        <f>IF(ISBLANK(Mentors[[#This Row],[Onboarded Date]]),"",Mentors[[#This Row],[Onboarded Date]]-WEEKDAY(Mentors[[#This Row],[Onboarded Date]],2)+1)</f>
        <v>45656</v>
      </c>
    </row>
    <row r="617" spans="1:40" ht="19.2" customHeight="1" x14ac:dyDescent="0.3">
      <c r="A617" t="s">
        <v>4392</v>
      </c>
      <c r="D617" s="24" t="s">
        <v>4393</v>
      </c>
      <c r="E617" t="s">
        <v>4394</v>
      </c>
      <c r="F617">
        <v>2010</v>
      </c>
      <c r="G617">
        <f>IF(OR(Mentors[[#This Row],[Career Start Year]]="NA",ISBLANK(Mentors[[#This Row],[Career Start Year]])),"",2026 - Mentors[[#This Row],[Career Start Year]])</f>
        <v>16</v>
      </c>
      <c r="H61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17" t="s">
        <v>51</v>
      </c>
      <c r="J617" t="s">
        <v>196</v>
      </c>
      <c r="M617" s="19">
        <v>45658</v>
      </c>
      <c r="O617" t="s">
        <v>0</v>
      </c>
      <c r="Q617" t="s">
        <v>54</v>
      </c>
      <c r="R617" t="s">
        <v>54</v>
      </c>
      <c r="S617" t="s">
        <v>54</v>
      </c>
      <c r="T617" t="s">
        <v>56</v>
      </c>
      <c r="U617" t="s">
        <v>381</v>
      </c>
      <c r="V617" t="s">
        <v>57</v>
      </c>
      <c r="W617" t="s">
        <v>78</v>
      </c>
      <c r="X617" t="s">
        <v>59</v>
      </c>
      <c r="Z617" t="s">
        <v>169</v>
      </c>
      <c r="AA617" t="s">
        <v>170</v>
      </c>
      <c r="AB617">
        <v>1</v>
      </c>
      <c r="AD617" t="s">
        <v>63</v>
      </c>
      <c r="AE617" t="s">
        <v>54</v>
      </c>
      <c r="AG617" t="s">
        <v>54</v>
      </c>
      <c r="AH617" t="s">
        <v>65</v>
      </c>
      <c r="AI617" t="s">
        <v>412</v>
      </c>
      <c r="AJ617" t="s">
        <v>54</v>
      </c>
      <c r="AK617" t="s">
        <v>4370</v>
      </c>
      <c r="AL617" t="s">
        <v>613</v>
      </c>
      <c r="AN617" s="19">
        <f>IF(ISBLANK(Mentors[[#This Row],[Onboarded Date]]),"",Mentors[[#This Row],[Onboarded Date]]-WEEKDAY(Mentors[[#This Row],[Onboarded Date]],2)+1)</f>
        <v>45656</v>
      </c>
    </row>
    <row r="618" spans="1:40" ht="19.2" customHeight="1" x14ac:dyDescent="0.3">
      <c r="A618" t="s">
        <v>4395</v>
      </c>
      <c r="D618" s="24" t="s">
        <v>4396</v>
      </c>
      <c r="E618" t="s">
        <v>4397</v>
      </c>
      <c r="F618">
        <v>2011</v>
      </c>
      <c r="G618">
        <f>IF(OR(Mentors[[#This Row],[Career Start Year]]="NA",ISBLANK(Mentors[[#This Row],[Career Start Year]])),"",2026 - Mentors[[#This Row],[Career Start Year]])</f>
        <v>15</v>
      </c>
      <c r="H61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618" t="s">
        <v>51</v>
      </c>
      <c r="J618" t="s">
        <v>140</v>
      </c>
      <c r="M618" s="19">
        <v>45658</v>
      </c>
      <c r="O618" t="s">
        <v>0</v>
      </c>
      <c r="Q618" t="s">
        <v>54</v>
      </c>
      <c r="R618" t="s">
        <v>54</v>
      </c>
      <c r="S618" t="s">
        <v>54</v>
      </c>
      <c r="T618" t="s">
        <v>265</v>
      </c>
      <c r="U618" t="s">
        <v>110</v>
      </c>
      <c r="V618" t="s">
        <v>120</v>
      </c>
      <c r="W618" t="s">
        <v>168</v>
      </c>
      <c r="Z618" t="s">
        <v>169</v>
      </c>
      <c r="AA618" t="s">
        <v>170</v>
      </c>
      <c r="AB618">
        <v>1</v>
      </c>
      <c r="AD618" t="s">
        <v>63</v>
      </c>
      <c r="AE618" t="s">
        <v>54</v>
      </c>
      <c r="AG618" t="s">
        <v>54</v>
      </c>
      <c r="AH618" t="s">
        <v>65</v>
      </c>
      <c r="AI618" t="s">
        <v>122</v>
      </c>
      <c r="AJ618" t="s">
        <v>54</v>
      </c>
      <c r="AK618" t="s">
        <v>4398</v>
      </c>
      <c r="AL618" t="s">
        <v>1221</v>
      </c>
      <c r="AN618" s="19">
        <f>IF(ISBLANK(Mentors[[#This Row],[Onboarded Date]]),"",Mentors[[#This Row],[Onboarded Date]]-WEEKDAY(Mentors[[#This Row],[Onboarded Date]],2)+1)</f>
        <v>45656</v>
      </c>
    </row>
    <row r="619" spans="1:40" ht="19.2" customHeight="1" x14ac:dyDescent="0.3">
      <c r="A619" t="s">
        <v>4399</v>
      </c>
      <c r="D619" s="24" t="s">
        <v>4400</v>
      </c>
      <c r="E619" t="s">
        <v>4401</v>
      </c>
      <c r="F619">
        <v>2000</v>
      </c>
      <c r="G619">
        <f>IF(OR(Mentors[[#This Row],[Career Start Year]]="NA",ISBLANK(Mentors[[#This Row],[Career Start Year]])),"",2026 - Mentors[[#This Row],[Career Start Year]])</f>
        <v>26</v>
      </c>
      <c r="H61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19" t="s">
        <v>1116</v>
      </c>
      <c r="J619" t="s">
        <v>479</v>
      </c>
      <c r="M619" s="19">
        <v>45658</v>
      </c>
      <c r="O619" t="s">
        <v>0</v>
      </c>
      <c r="Q619" t="s">
        <v>54</v>
      </c>
      <c r="R619" t="s">
        <v>54</v>
      </c>
      <c r="S619" t="s">
        <v>63</v>
      </c>
      <c r="T619" t="s">
        <v>77</v>
      </c>
      <c r="U619" t="s">
        <v>76</v>
      </c>
      <c r="V619" t="s">
        <v>421</v>
      </c>
      <c r="W619" t="s">
        <v>58</v>
      </c>
      <c r="X619" t="s">
        <v>80</v>
      </c>
      <c r="Z619" t="s">
        <v>169</v>
      </c>
      <c r="AA619" t="s">
        <v>170</v>
      </c>
      <c r="AB619">
        <v>1</v>
      </c>
      <c r="AD619" t="s">
        <v>63</v>
      </c>
      <c r="AE619" t="s">
        <v>63</v>
      </c>
      <c r="AG619" t="s">
        <v>54</v>
      </c>
      <c r="AH619" t="s">
        <v>152</v>
      </c>
      <c r="AI619" t="s">
        <v>248</v>
      </c>
      <c r="AJ619" t="s">
        <v>54</v>
      </c>
      <c r="AK619" t="s">
        <v>4402</v>
      </c>
      <c r="AL619" t="s">
        <v>4403</v>
      </c>
      <c r="AN619" s="19">
        <f>IF(ISBLANK(Mentors[[#This Row],[Onboarded Date]]),"",Mentors[[#This Row],[Onboarded Date]]-WEEKDAY(Mentors[[#This Row],[Onboarded Date]],2)+1)</f>
        <v>45656</v>
      </c>
    </row>
    <row r="620" spans="1:40" ht="19.2" customHeight="1" x14ac:dyDescent="0.3">
      <c r="A620" t="s">
        <v>4404</v>
      </c>
      <c r="D620" s="24" t="s">
        <v>4405</v>
      </c>
      <c r="E620" t="s">
        <v>4406</v>
      </c>
      <c r="F620">
        <v>2007</v>
      </c>
      <c r="G620">
        <f>IF(OR(Mentors[[#This Row],[Career Start Year]]="NA",ISBLANK(Mentors[[#This Row],[Career Start Year]])),"",2026 - Mentors[[#This Row],[Career Start Year]])</f>
        <v>19</v>
      </c>
      <c r="H62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20" t="s">
        <v>51</v>
      </c>
      <c r="J620" t="s">
        <v>196</v>
      </c>
      <c r="M620" s="19">
        <v>45658</v>
      </c>
      <c r="O620" t="s">
        <v>0</v>
      </c>
      <c r="Q620" t="s">
        <v>54</v>
      </c>
      <c r="R620" t="s">
        <v>54</v>
      </c>
      <c r="S620" t="s">
        <v>63</v>
      </c>
      <c r="T620" t="s">
        <v>77</v>
      </c>
      <c r="U620" t="s">
        <v>99</v>
      </c>
      <c r="V620" t="s">
        <v>198</v>
      </c>
      <c r="W620" t="s">
        <v>57</v>
      </c>
      <c r="X620" t="s">
        <v>59</v>
      </c>
      <c r="Z620" t="s">
        <v>169</v>
      </c>
      <c r="AA620" t="s">
        <v>170</v>
      </c>
      <c r="AB620">
        <v>1</v>
      </c>
      <c r="AD620" t="s">
        <v>63</v>
      </c>
      <c r="AE620" t="s">
        <v>63</v>
      </c>
      <c r="AG620" t="s">
        <v>54</v>
      </c>
      <c r="AH620" t="s">
        <v>152</v>
      </c>
      <c r="AI620" t="s">
        <v>248</v>
      </c>
      <c r="AJ620" t="s">
        <v>54</v>
      </c>
      <c r="AK620" t="s">
        <v>4208</v>
      </c>
      <c r="AL620" t="s">
        <v>4403</v>
      </c>
      <c r="AN620" s="19">
        <f>IF(ISBLANK(Mentors[[#This Row],[Onboarded Date]]),"",Mentors[[#This Row],[Onboarded Date]]-WEEKDAY(Mentors[[#This Row],[Onboarded Date]],2)+1)</f>
        <v>45656</v>
      </c>
    </row>
    <row r="621" spans="1:40" ht="19.2" customHeight="1" x14ac:dyDescent="0.3">
      <c r="A621" t="s">
        <v>4407</v>
      </c>
      <c r="B621" t="s">
        <v>4408</v>
      </c>
      <c r="C621" t="s">
        <v>4409</v>
      </c>
      <c r="D621" s="24" t="s">
        <v>4410</v>
      </c>
      <c r="E621" t="s">
        <v>4411</v>
      </c>
      <c r="F621">
        <v>1997</v>
      </c>
      <c r="G621">
        <f>IF(OR(Mentors[[#This Row],[Career Start Year]]="NA",ISBLANK(Mentors[[#This Row],[Career Start Year]])),"",2026 - Mentors[[#This Row],[Career Start Year]])</f>
        <v>29</v>
      </c>
      <c r="H62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21" t="s">
        <v>51</v>
      </c>
      <c r="J621" t="s">
        <v>52</v>
      </c>
      <c r="M621" s="19">
        <v>45658</v>
      </c>
      <c r="O621" t="s">
        <v>0</v>
      </c>
      <c r="Q621" t="s">
        <v>54</v>
      </c>
      <c r="R621" t="s">
        <v>54</v>
      </c>
      <c r="S621" t="s">
        <v>63</v>
      </c>
      <c r="T621" t="s">
        <v>77</v>
      </c>
      <c r="U621" t="s">
        <v>99</v>
      </c>
      <c r="V621" t="s">
        <v>481</v>
      </c>
      <c r="W621" t="s">
        <v>1268</v>
      </c>
      <c r="X621" t="s">
        <v>59</v>
      </c>
      <c r="Z621" t="s">
        <v>169</v>
      </c>
      <c r="AA621" t="s">
        <v>170</v>
      </c>
      <c r="AB621">
        <v>1</v>
      </c>
      <c r="AD621" t="s">
        <v>63</v>
      </c>
      <c r="AE621" t="s">
        <v>54</v>
      </c>
      <c r="AG621" t="s">
        <v>54</v>
      </c>
      <c r="AH621" t="s">
        <v>152</v>
      </c>
      <c r="AI621" t="s">
        <v>248</v>
      </c>
      <c r="AJ621" t="s">
        <v>63</v>
      </c>
      <c r="AK621" t="s">
        <v>4231</v>
      </c>
      <c r="AL621" t="s">
        <v>4412</v>
      </c>
      <c r="AN621" s="19">
        <f>IF(ISBLANK(Mentors[[#This Row],[Onboarded Date]]),"",Mentors[[#This Row],[Onboarded Date]]-WEEKDAY(Mentors[[#This Row],[Onboarded Date]],2)+1)</f>
        <v>45656</v>
      </c>
    </row>
    <row r="622" spans="1:40" ht="19.2" customHeight="1" x14ac:dyDescent="0.3">
      <c r="A622" t="s">
        <v>4413</v>
      </c>
      <c r="B622" t="s">
        <v>4414</v>
      </c>
      <c r="D622" s="24" t="s">
        <v>4415</v>
      </c>
      <c r="E622" t="s">
        <v>4416</v>
      </c>
      <c r="F622">
        <v>2003</v>
      </c>
      <c r="G622">
        <f>IF(OR(Mentors[[#This Row],[Career Start Year]]="NA",ISBLANK(Mentors[[#This Row],[Career Start Year]])),"",2026 - Mentors[[#This Row],[Career Start Year]])</f>
        <v>23</v>
      </c>
      <c r="H62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22" t="s">
        <v>51</v>
      </c>
      <c r="J622" t="s">
        <v>52</v>
      </c>
      <c r="K622" t="s">
        <v>4417</v>
      </c>
      <c r="M622" s="19">
        <v>45658</v>
      </c>
      <c r="O622" t="s">
        <v>0</v>
      </c>
      <c r="Q622" t="s">
        <v>54</v>
      </c>
      <c r="R622" t="s">
        <v>54</v>
      </c>
      <c r="S622" t="s">
        <v>54</v>
      </c>
      <c r="T622" t="s">
        <v>77</v>
      </c>
      <c r="U622" t="s">
        <v>65</v>
      </c>
      <c r="V622" t="s">
        <v>198</v>
      </c>
      <c r="W622" t="s">
        <v>57</v>
      </c>
      <c r="X622" t="s">
        <v>59</v>
      </c>
      <c r="Y622" t="s">
        <v>60</v>
      </c>
      <c r="Z622" t="s">
        <v>169</v>
      </c>
      <c r="AA622" t="s">
        <v>170</v>
      </c>
      <c r="AB622">
        <v>1</v>
      </c>
      <c r="AD622" t="s">
        <v>63</v>
      </c>
      <c r="AE622" t="s">
        <v>54</v>
      </c>
      <c r="AG622" t="s">
        <v>54</v>
      </c>
      <c r="AH622" t="s">
        <v>65</v>
      </c>
      <c r="AI622" t="s">
        <v>1064</v>
      </c>
      <c r="AJ622" t="s">
        <v>54</v>
      </c>
      <c r="AK622" t="s">
        <v>4208</v>
      </c>
      <c r="AL622" t="s">
        <v>4403</v>
      </c>
      <c r="AN622" s="19">
        <f>IF(ISBLANK(Mentors[[#This Row],[Onboarded Date]]),"",Mentors[[#This Row],[Onboarded Date]]-WEEKDAY(Mentors[[#This Row],[Onboarded Date]],2)+1)</f>
        <v>45656</v>
      </c>
    </row>
    <row r="623" spans="1:40" ht="19.2" customHeight="1" x14ac:dyDescent="0.3">
      <c r="A623" t="s">
        <v>4418</v>
      </c>
      <c r="B623" t="s">
        <v>3642</v>
      </c>
      <c r="C623" t="s">
        <v>4419</v>
      </c>
      <c r="D623" s="24" t="s">
        <v>4420</v>
      </c>
      <c r="E623" s="7" t="s">
        <v>4421</v>
      </c>
      <c r="F623">
        <v>1996</v>
      </c>
      <c r="G623">
        <f>IF(OR(Mentors[[#This Row],[Career Start Year]]="NA",ISBLANK(Mentors[[#This Row],[Career Start Year]])),"",2026 - Mentors[[#This Row],[Career Start Year]])</f>
        <v>30</v>
      </c>
      <c r="H62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23" t="s">
        <v>51</v>
      </c>
      <c r="J623" t="s">
        <v>297</v>
      </c>
      <c r="L623" s="17">
        <v>9810274483</v>
      </c>
      <c r="M623" s="19">
        <v>45658</v>
      </c>
      <c r="O623" t="s">
        <v>0</v>
      </c>
      <c r="Q623" t="s">
        <v>54</v>
      </c>
      <c r="R623" t="s">
        <v>54</v>
      </c>
      <c r="S623" t="s">
        <v>54</v>
      </c>
      <c r="T623" t="s">
        <v>99</v>
      </c>
      <c r="U623" t="s">
        <v>76</v>
      </c>
      <c r="V623" t="s">
        <v>256</v>
      </c>
      <c r="W623" t="s">
        <v>481</v>
      </c>
      <c r="X623" t="s">
        <v>59</v>
      </c>
      <c r="Z623" t="s">
        <v>169</v>
      </c>
      <c r="AA623" t="s">
        <v>62</v>
      </c>
      <c r="AB623">
        <v>1</v>
      </c>
      <c r="AD623" t="s">
        <v>63</v>
      </c>
      <c r="AG623" t="s">
        <v>54</v>
      </c>
      <c r="AH623" t="s">
        <v>65</v>
      </c>
      <c r="AI623" t="s">
        <v>248</v>
      </c>
      <c r="AJ623" t="s">
        <v>63</v>
      </c>
      <c r="AK623" t="s">
        <v>4231</v>
      </c>
      <c r="AL623" t="s">
        <v>188</v>
      </c>
      <c r="AN623" s="19">
        <f>IF(ISBLANK(Mentors[[#This Row],[Onboarded Date]]),"",Mentors[[#This Row],[Onboarded Date]]-WEEKDAY(Mentors[[#This Row],[Onboarded Date]],2)+1)</f>
        <v>45656</v>
      </c>
    </row>
    <row r="624" spans="1:40" ht="19.2" customHeight="1" x14ac:dyDescent="0.3">
      <c r="A624" t="s">
        <v>4422</v>
      </c>
      <c r="B624" t="s">
        <v>4423</v>
      </c>
      <c r="C624" t="s">
        <v>4424</v>
      </c>
      <c r="D624" s="24" t="s">
        <v>4425</v>
      </c>
      <c r="E624" t="s">
        <v>4426</v>
      </c>
      <c r="F624">
        <v>1991</v>
      </c>
      <c r="G624">
        <f>IF(OR(Mentors[[#This Row],[Career Start Year]]="NA",ISBLANK(Mentors[[#This Row],[Career Start Year]])),"",2026 - Mentors[[#This Row],[Career Start Year]])</f>
        <v>35</v>
      </c>
      <c r="H62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24" t="s">
        <v>51</v>
      </c>
      <c r="J624" t="s">
        <v>118</v>
      </c>
      <c r="M624" s="19">
        <v>45658</v>
      </c>
      <c r="O624" t="s">
        <v>0</v>
      </c>
      <c r="Q624" t="s">
        <v>54</v>
      </c>
      <c r="R624" t="s">
        <v>54</v>
      </c>
      <c r="S624" t="s">
        <v>54</v>
      </c>
      <c r="T624" t="s">
        <v>77</v>
      </c>
      <c r="U624" t="s">
        <v>65</v>
      </c>
      <c r="V624" t="s">
        <v>57</v>
      </c>
      <c r="W624" t="s">
        <v>79</v>
      </c>
      <c r="X624" t="s">
        <v>60</v>
      </c>
      <c r="Z624" t="s">
        <v>169</v>
      </c>
      <c r="AA624" t="s">
        <v>170</v>
      </c>
      <c r="AB624">
        <v>1</v>
      </c>
      <c r="AD624" t="s">
        <v>63</v>
      </c>
      <c r="AG624" t="s">
        <v>54</v>
      </c>
      <c r="AH624" t="s">
        <v>215</v>
      </c>
      <c r="AI624" t="s">
        <v>1064</v>
      </c>
      <c r="AJ624" t="s">
        <v>54</v>
      </c>
      <c r="AK624" t="s">
        <v>4427</v>
      </c>
      <c r="AL624" t="s">
        <v>1105</v>
      </c>
      <c r="AN624" s="19">
        <f>IF(ISBLANK(Mentors[[#This Row],[Onboarded Date]]),"",Mentors[[#This Row],[Onboarded Date]]-WEEKDAY(Mentors[[#This Row],[Onboarded Date]],2)+1)</f>
        <v>45656</v>
      </c>
    </row>
    <row r="625" spans="1:40" ht="19.2" customHeight="1" x14ac:dyDescent="0.3">
      <c r="A625" t="s">
        <v>4428</v>
      </c>
      <c r="B625" t="s">
        <v>3009</v>
      </c>
      <c r="C625" t="s">
        <v>4429</v>
      </c>
      <c r="D625" s="24" t="s">
        <v>4430</v>
      </c>
      <c r="E625" t="s">
        <v>4431</v>
      </c>
      <c r="F625">
        <v>1979</v>
      </c>
      <c r="G625">
        <f>IF(OR(Mentors[[#This Row],[Career Start Year]]="NA",ISBLANK(Mentors[[#This Row],[Career Start Year]])),"",2026 - Mentors[[#This Row],[Career Start Year]])</f>
        <v>47</v>
      </c>
      <c r="H62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25" t="s">
        <v>51</v>
      </c>
      <c r="J625" t="s">
        <v>280</v>
      </c>
      <c r="M625" s="19">
        <v>45658</v>
      </c>
      <c r="O625" t="s">
        <v>0</v>
      </c>
      <c r="Q625" t="s">
        <v>54</v>
      </c>
      <c r="R625" t="s">
        <v>54</v>
      </c>
      <c r="S625" t="s">
        <v>54</v>
      </c>
      <c r="T625" t="s">
        <v>77</v>
      </c>
      <c r="U625" t="s">
        <v>65</v>
      </c>
      <c r="V625" t="s">
        <v>481</v>
      </c>
      <c r="W625" t="s">
        <v>58</v>
      </c>
      <c r="Z625" t="s">
        <v>169</v>
      </c>
      <c r="AA625" t="s">
        <v>170</v>
      </c>
      <c r="AB625">
        <v>1</v>
      </c>
      <c r="AD625" t="s">
        <v>63</v>
      </c>
      <c r="AG625" t="s">
        <v>54</v>
      </c>
      <c r="AH625" t="s">
        <v>131</v>
      </c>
      <c r="AI625" t="s">
        <v>1064</v>
      </c>
      <c r="AJ625" t="s">
        <v>54</v>
      </c>
      <c r="AK625" t="s">
        <v>4432</v>
      </c>
      <c r="AL625" t="s">
        <v>4433</v>
      </c>
      <c r="AN625" s="19">
        <f>IF(ISBLANK(Mentors[[#This Row],[Onboarded Date]]),"",Mentors[[#This Row],[Onboarded Date]]-WEEKDAY(Mentors[[#This Row],[Onboarded Date]],2)+1)</f>
        <v>45656</v>
      </c>
    </row>
    <row r="626" spans="1:40" ht="19.2" customHeight="1" x14ac:dyDescent="0.3">
      <c r="A626" t="s">
        <v>4434</v>
      </c>
      <c r="B626" t="s">
        <v>4435</v>
      </c>
      <c r="C626" t="s">
        <v>4436</v>
      </c>
      <c r="D626" s="24" t="s">
        <v>4437</v>
      </c>
      <c r="E626" t="s">
        <v>4438</v>
      </c>
      <c r="F626">
        <v>2005</v>
      </c>
      <c r="G626">
        <f>IF(OR(Mentors[[#This Row],[Career Start Year]]="NA",ISBLANK(Mentors[[#This Row],[Career Start Year]])),"",2026 - Mentors[[#This Row],[Career Start Year]])</f>
        <v>21</v>
      </c>
      <c r="H62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26" t="s">
        <v>51</v>
      </c>
      <c r="J626" t="s">
        <v>280</v>
      </c>
      <c r="M626" s="19">
        <v>45658</v>
      </c>
      <c r="O626" t="s">
        <v>0</v>
      </c>
      <c r="Q626" t="s">
        <v>54</v>
      </c>
      <c r="R626" t="s">
        <v>54</v>
      </c>
      <c r="S626" t="s">
        <v>54</v>
      </c>
      <c r="T626" t="s">
        <v>77</v>
      </c>
      <c r="U626" t="s">
        <v>65</v>
      </c>
      <c r="V626" t="s">
        <v>57</v>
      </c>
      <c r="W626" t="s">
        <v>79</v>
      </c>
      <c r="Z626" t="s">
        <v>169</v>
      </c>
      <c r="AA626" t="s">
        <v>170</v>
      </c>
      <c r="AB626">
        <v>1</v>
      </c>
      <c r="AD626" t="s">
        <v>63</v>
      </c>
      <c r="AG626" t="s">
        <v>54</v>
      </c>
      <c r="AH626" t="s">
        <v>131</v>
      </c>
      <c r="AI626" t="s">
        <v>66</v>
      </c>
      <c r="AJ626" t="s">
        <v>54</v>
      </c>
      <c r="AK626" t="s">
        <v>4439</v>
      </c>
      <c r="AL626" t="s">
        <v>4440</v>
      </c>
      <c r="AN626" s="19">
        <f>IF(ISBLANK(Mentors[[#This Row],[Onboarded Date]]),"",Mentors[[#This Row],[Onboarded Date]]-WEEKDAY(Mentors[[#This Row],[Onboarded Date]],2)+1)</f>
        <v>45656</v>
      </c>
    </row>
    <row r="627" spans="1:40" ht="19.2" customHeight="1" x14ac:dyDescent="0.3">
      <c r="A627" t="s">
        <v>4441</v>
      </c>
      <c r="B627" t="s">
        <v>4010</v>
      </c>
      <c r="C627" t="s">
        <v>864</v>
      </c>
      <c r="D627" s="24" t="s">
        <v>4442</v>
      </c>
      <c r="E627" t="s">
        <v>4443</v>
      </c>
      <c r="F627">
        <v>2010</v>
      </c>
      <c r="G627">
        <f>IF(OR(Mentors[[#This Row],[Career Start Year]]="NA",ISBLANK(Mentors[[#This Row],[Career Start Year]])),"",2026 - Mentors[[#This Row],[Career Start Year]])</f>
        <v>16</v>
      </c>
      <c r="H62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27" t="s">
        <v>51</v>
      </c>
      <c r="J627" t="s">
        <v>196</v>
      </c>
      <c r="K627" t="s">
        <v>4444</v>
      </c>
      <c r="L627" s="17">
        <v>8179422888</v>
      </c>
      <c r="M627" s="19">
        <v>45658</v>
      </c>
      <c r="O627" t="s">
        <v>0</v>
      </c>
      <c r="Q627" t="s">
        <v>54</v>
      </c>
      <c r="R627" t="s">
        <v>54</v>
      </c>
      <c r="S627" t="s">
        <v>54</v>
      </c>
      <c r="T627" s="4" t="s">
        <v>756</v>
      </c>
      <c r="U627" t="s">
        <v>445</v>
      </c>
      <c r="V627" t="s">
        <v>78</v>
      </c>
      <c r="W627" t="s">
        <v>79</v>
      </c>
      <c r="Z627" t="s">
        <v>169</v>
      </c>
      <c r="AA627" t="s">
        <v>170</v>
      </c>
      <c r="AB627">
        <v>1</v>
      </c>
      <c r="AD627" t="s">
        <v>63</v>
      </c>
      <c r="AG627" t="s">
        <v>54</v>
      </c>
      <c r="AH627" t="s">
        <v>131</v>
      </c>
      <c r="AI627" t="s">
        <v>412</v>
      </c>
      <c r="AJ627" t="s">
        <v>54</v>
      </c>
      <c r="AK627" t="s">
        <v>412</v>
      </c>
      <c r="AL627" t="s">
        <v>1105</v>
      </c>
      <c r="AN627" s="19">
        <f>IF(ISBLANK(Mentors[[#This Row],[Onboarded Date]]),"",Mentors[[#This Row],[Onboarded Date]]-WEEKDAY(Mentors[[#This Row],[Onboarded Date]],2)+1)</f>
        <v>45656</v>
      </c>
    </row>
    <row r="628" spans="1:40" ht="19.2" customHeight="1" x14ac:dyDescent="0.3">
      <c r="A628" t="s">
        <v>4445</v>
      </c>
      <c r="B628" t="s">
        <v>1461</v>
      </c>
      <c r="C628" t="s">
        <v>4446</v>
      </c>
      <c r="D628" s="24" t="s">
        <v>4447</v>
      </c>
      <c r="E628" t="s">
        <v>4448</v>
      </c>
      <c r="F628">
        <v>1979</v>
      </c>
      <c r="G628">
        <f>IF(OR(Mentors[[#This Row],[Career Start Year]]="NA",ISBLANK(Mentors[[#This Row],[Career Start Year]])),"",2026 - Mentors[[#This Row],[Career Start Year]])</f>
        <v>47</v>
      </c>
      <c r="H62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28" t="s">
        <v>51</v>
      </c>
      <c r="J628" t="s">
        <v>297</v>
      </c>
      <c r="M628" s="19">
        <v>45658</v>
      </c>
      <c r="N628" t="s">
        <v>3678</v>
      </c>
      <c r="O628" t="s">
        <v>0</v>
      </c>
      <c r="Q628" t="s">
        <v>54</v>
      </c>
      <c r="R628" t="s">
        <v>54</v>
      </c>
      <c r="S628" t="s">
        <v>54</v>
      </c>
      <c r="T628" t="s">
        <v>4449</v>
      </c>
      <c r="U628" t="s">
        <v>79</v>
      </c>
      <c r="V628" t="s">
        <v>78</v>
      </c>
      <c r="W628" t="s">
        <v>79</v>
      </c>
      <c r="X628" t="s">
        <v>80</v>
      </c>
      <c r="Y628" t="s">
        <v>59</v>
      </c>
      <c r="Z628" t="s">
        <v>169</v>
      </c>
      <c r="AA628" t="s">
        <v>170</v>
      </c>
      <c r="AB628">
        <v>1</v>
      </c>
      <c r="AD628" t="s">
        <v>63</v>
      </c>
      <c r="AG628" t="s">
        <v>54</v>
      </c>
      <c r="AH628" t="s">
        <v>131</v>
      </c>
      <c r="AI628" t="s">
        <v>1177</v>
      </c>
      <c r="AJ628" t="s">
        <v>54</v>
      </c>
      <c r="AK628" t="s">
        <v>4450</v>
      </c>
      <c r="AL628" t="s">
        <v>4451</v>
      </c>
      <c r="AN628" s="19">
        <f>IF(ISBLANK(Mentors[[#This Row],[Onboarded Date]]),"",Mentors[[#This Row],[Onboarded Date]]-WEEKDAY(Mentors[[#This Row],[Onboarded Date]],2)+1)</f>
        <v>45656</v>
      </c>
    </row>
    <row r="629" spans="1:40" ht="19.2" customHeight="1" x14ac:dyDescent="0.3">
      <c r="A629" t="s">
        <v>4452</v>
      </c>
      <c r="B629" t="s">
        <v>4453</v>
      </c>
      <c r="C629" t="s">
        <v>4454</v>
      </c>
      <c r="D629" s="24" t="s">
        <v>4455</v>
      </c>
      <c r="E629" t="s">
        <v>4456</v>
      </c>
      <c r="F629">
        <v>2005</v>
      </c>
      <c r="G629">
        <f>IF(OR(Mentors[[#This Row],[Career Start Year]]="NA",ISBLANK(Mentors[[#This Row],[Career Start Year]])),"",2026 - Mentors[[#This Row],[Career Start Year]])</f>
        <v>21</v>
      </c>
      <c r="H62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29" t="s">
        <v>51</v>
      </c>
      <c r="J629" t="s">
        <v>314</v>
      </c>
      <c r="M629" s="19">
        <v>45658</v>
      </c>
      <c r="O629" t="s">
        <v>0</v>
      </c>
      <c r="Q629" t="s">
        <v>54</v>
      </c>
      <c r="R629" t="s">
        <v>54</v>
      </c>
      <c r="S629" t="s">
        <v>54</v>
      </c>
      <c r="T629" t="s">
        <v>499</v>
      </c>
      <c r="U629" t="s">
        <v>919</v>
      </c>
      <c r="V629" t="s">
        <v>421</v>
      </c>
      <c r="W629" t="s">
        <v>58</v>
      </c>
      <c r="Z629" t="s">
        <v>169</v>
      </c>
      <c r="AA629" t="s">
        <v>170</v>
      </c>
      <c r="AB629">
        <v>1</v>
      </c>
      <c r="AD629" t="s">
        <v>63</v>
      </c>
      <c r="AG629" t="s">
        <v>54</v>
      </c>
      <c r="AH629" t="s">
        <v>131</v>
      </c>
      <c r="AI629" t="s">
        <v>77</v>
      </c>
      <c r="AJ629" t="s">
        <v>54</v>
      </c>
      <c r="AK629" t="s">
        <v>4104</v>
      </c>
      <c r="AL629" t="s">
        <v>1020</v>
      </c>
      <c r="AN629" s="19">
        <f>IF(ISBLANK(Mentors[[#This Row],[Onboarded Date]]),"",Mentors[[#This Row],[Onboarded Date]]-WEEKDAY(Mentors[[#This Row],[Onboarded Date]],2)+1)</f>
        <v>45656</v>
      </c>
    </row>
    <row r="630" spans="1:40" ht="19.2" customHeight="1" x14ac:dyDescent="0.3">
      <c r="A630" t="s">
        <v>4457</v>
      </c>
      <c r="B630" t="s">
        <v>4458</v>
      </c>
      <c r="C630" t="s">
        <v>4459</v>
      </c>
      <c r="D630" s="24" t="s">
        <v>4460</v>
      </c>
      <c r="E630" s="7" t="s">
        <v>4461</v>
      </c>
      <c r="F630">
        <v>2000</v>
      </c>
      <c r="G630">
        <f>IF(OR(Mentors[[#This Row],[Career Start Year]]="NA",ISBLANK(Mentors[[#This Row],[Career Start Year]])),"",2026 - Mentors[[#This Row],[Career Start Year]])</f>
        <v>26</v>
      </c>
      <c r="H63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30" t="s">
        <v>51</v>
      </c>
      <c r="J630" t="s">
        <v>314</v>
      </c>
      <c r="M630" s="19">
        <v>45658</v>
      </c>
      <c r="N630" t="s">
        <v>4</v>
      </c>
      <c r="O630" t="s">
        <v>0</v>
      </c>
      <c r="Q630" t="s">
        <v>54</v>
      </c>
      <c r="R630" t="s">
        <v>63</v>
      </c>
      <c r="S630" t="s">
        <v>63</v>
      </c>
      <c r="T630" t="s">
        <v>499</v>
      </c>
      <c r="U630" t="s">
        <v>77</v>
      </c>
      <c r="V630" t="s">
        <v>4462</v>
      </c>
      <c r="W630" t="s">
        <v>58</v>
      </c>
      <c r="X630" t="s">
        <v>59</v>
      </c>
      <c r="Y630" t="s">
        <v>60</v>
      </c>
      <c r="Z630" t="s">
        <v>169</v>
      </c>
      <c r="AA630" t="s">
        <v>170</v>
      </c>
      <c r="AB630">
        <v>1</v>
      </c>
      <c r="AD630" t="s">
        <v>63</v>
      </c>
      <c r="AG630" t="s">
        <v>54</v>
      </c>
      <c r="AH630" t="s">
        <v>215</v>
      </c>
      <c r="AI630" t="s">
        <v>1064</v>
      </c>
      <c r="AJ630" t="s">
        <v>54</v>
      </c>
      <c r="AK630" t="s">
        <v>4463</v>
      </c>
      <c r="AL630" t="s">
        <v>1105</v>
      </c>
      <c r="AN630" s="19">
        <f>IF(ISBLANK(Mentors[[#This Row],[Onboarded Date]]),"",Mentors[[#This Row],[Onboarded Date]]-WEEKDAY(Mentors[[#This Row],[Onboarded Date]],2)+1)</f>
        <v>45656</v>
      </c>
    </row>
    <row r="631" spans="1:40" ht="19.2" customHeight="1" x14ac:dyDescent="0.3">
      <c r="A631" t="s">
        <v>4464</v>
      </c>
      <c r="B631" t="s">
        <v>1287</v>
      </c>
      <c r="C631" t="s">
        <v>4465</v>
      </c>
      <c r="D631" s="24" t="s">
        <v>4466</v>
      </c>
      <c r="E631" t="s">
        <v>4467</v>
      </c>
      <c r="F631">
        <v>2010</v>
      </c>
      <c r="G631">
        <f>IF(OR(Mentors[[#This Row],[Career Start Year]]="NA",ISBLANK(Mentors[[#This Row],[Career Start Year]])),"",2026 - Mentors[[#This Row],[Career Start Year]])</f>
        <v>16</v>
      </c>
      <c r="H63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31" t="s">
        <v>51</v>
      </c>
      <c r="J631" t="s">
        <v>314</v>
      </c>
      <c r="M631" s="19">
        <v>45658</v>
      </c>
      <c r="N631" t="s">
        <v>4</v>
      </c>
      <c r="O631" t="s">
        <v>0</v>
      </c>
      <c r="Q631" t="s">
        <v>54</v>
      </c>
      <c r="R631" t="s">
        <v>63</v>
      </c>
      <c r="S631" t="s">
        <v>63</v>
      </c>
      <c r="T631" t="s">
        <v>4138</v>
      </c>
      <c r="U631" t="s">
        <v>77</v>
      </c>
      <c r="V631" t="s">
        <v>198</v>
      </c>
      <c r="W631" t="s">
        <v>79</v>
      </c>
      <c r="X631" t="s">
        <v>59</v>
      </c>
      <c r="Z631" t="s">
        <v>169</v>
      </c>
      <c r="AA631" t="s">
        <v>170</v>
      </c>
      <c r="AB631">
        <v>1</v>
      </c>
      <c r="AD631" t="s">
        <v>63</v>
      </c>
      <c r="AG631" t="s">
        <v>54</v>
      </c>
      <c r="AH631" t="s">
        <v>94</v>
      </c>
      <c r="AI631" t="s">
        <v>1064</v>
      </c>
      <c r="AJ631" t="s">
        <v>54</v>
      </c>
      <c r="AK631" t="s">
        <v>4468</v>
      </c>
      <c r="AL631" t="s">
        <v>1105</v>
      </c>
      <c r="AN631" s="19">
        <f>IF(ISBLANK(Mentors[[#This Row],[Onboarded Date]]),"",Mentors[[#This Row],[Onboarded Date]]-WEEKDAY(Mentors[[#This Row],[Onboarded Date]],2)+1)</f>
        <v>45656</v>
      </c>
    </row>
    <row r="632" spans="1:40" ht="19.2" customHeight="1" x14ac:dyDescent="0.3">
      <c r="A632" t="s">
        <v>4469</v>
      </c>
      <c r="B632" t="s">
        <v>4470</v>
      </c>
      <c r="C632" t="s">
        <v>4471</v>
      </c>
      <c r="D632" s="24" t="s">
        <v>4472</v>
      </c>
      <c r="E632" t="s">
        <v>4473</v>
      </c>
      <c r="F632">
        <v>1987</v>
      </c>
      <c r="G632">
        <f>IF(OR(Mentors[[#This Row],[Career Start Year]]="NA",ISBLANK(Mentors[[#This Row],[Career Start Year]])),"",2026 - Mentors[[#This Row],[Career Start Year]])</f>
        <v>39</v>
      </c>
      <c r="H63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32" t="s">
        <v>51</v>
      </c>
      <c r="J632" t="s">
        <v>297</v>
      </c>
      <c r="M632" s="19">
        <v>45658</v>
      </c>
      <c r="O632" t="s">
        <v>0</v>
      </c>
      <c r="Q632" t="s">
        <v>54</v>
      </c>
      <c r="R632" t="s">
        <v>54</v>
      </c>
      <c r="S632" t="s">
        <v>54</v>
      </c>
      <c r="T632" t="s">
        <v>77</v>
      </c>
      <c r="U632" t="s">
        <v>65</v>
      </c>
      <c r="V632" t="s">
        <v>481</v>
      </c>
      <c r="W632" t="s">
        <v>79</v>
      </c>
      <c r="Z632" t="s">
        <v>169</v>
      </c>
      <c r="AA632" t="s">
        <v>170</v>
      </c>
      <c r="AB632">
        <v>1</v>
      </c>
      <c r="AD632" t="s">
        <v>63</v>
      </c>
      <c r="AG632" t="s">
        <v>54</v>
      </c>
      <c r="AH632" t="s">
        <v>131</v>
      </c>
      <c r="AI632" t="s">
        <v>1064</v>
      </c>
      <c r="AJ632" t="s">
        <v>54</v>
      </c>
      <c r="AK632" t="s">
        <v>4474</v>
      </c>
      <c r="AL632" t="s">
        <v>4433</v>
      </c>
      <c r="AN632" s="19">
        <f>IF(ISBLANK(Mentors[[#This Row],[Onboarded Date]]),"",Mentors[[#This Row],[Onboarded Date]]-WEEKDAY(Mentors[[#This Row],[Onboarded Date]],2)+1)</f>
        <v>45656</v>
      </c>
    </row>
    <row r="633" spans="1:40" ht="19.2" customHeight="1" x14ac:dyDescent="0.3">
      <c r="A633" t="s">
        <v>4475</v>
      </c>
      <c r="B633" t="s">
        <v>4476</v>
      </c>
      <c r="C633" t="s">
        <v>4477</v>
      </c>
      <c r="D633" s="24" t="s">
        <v>4478</v>
      </c>
      <c r="E633" t="s">
        <v>4479</v>
      </c>
      <c r="F633">
        <v>1986</v>
      </c>
      <c r="G633">
        <f>IF(OR(Mentors[[#This Row],[Career Start Year]]="NA",ISBLANK(Mentors[[#This Row],[Career Start Year]])),"",2026 - Mentors[[#This Row],[Career Start Year]])</f>
        <v>40</v>
      </c>
      <c r="H63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33" t="s">
        <v>51</v>
      </c>
      <c r="J633" t="s">
        <v>297</v>
      </c>
      <c r="M633" s="19">
        <v>45658</v>
      </c>
      <c r="N633" t="s">
        <v>4</v>
      </c>
      <c r="O633" t="s">
        <v>0</v>
      </c>
      <c r="Q633" t="s">
        <v>54</v>
      </c>
      <c r="R633" t="s">
        <v>54</v>
      </c>
      <c r="S633" t="s">
        <v>54</v>
      </c>
      <c r="T633" s="11" t="s">
        <v>247</v>
      </c>
      <c r="U633" t="s">
        <v>77</v>
      </c>
      <c r="V633" t="s">
        <v>198</v>
      </c>
      <c r="W633" t="s">
        <v>79</v>
      </c>
      <c r="X633" t="s">
        <v>80</v>
      </c>
      <c r="Y633" t="s">
        <v>59</v>
      </c>
      <c r="Z633" t="s">
        <v>169</v>
      </c>
      <c r="AA633" t="s">
        <v>170</v>
      </c>
      <c r="AB633">
        <v>1</v>
      </c>
      <c r="AD633" t="s">
        <v>63</v>
      </c>
      <c r="AG633" t="s">
        <v>54</v>
      </c>
      <c r="AH633" t="s">
        <v>131</v>
      </c>
      <c r="AI633" t="s">
        <v>76</v>
      </c>
      <c r="AJ633" t="s">
        <v>54</v>
      </c>
      <c r="AK633" t="s">
        <v>4480</v>
      </c>
      <c r="AL633" t="s">
        <v>613</v>
      </c>
      <c r="AN633" s="19">
        <f>IF(ISBLANK(Mentors[[#This Row],[Onboarded Date]]),"",Mentors[[#This Row],[Onboarded Date]]-WEEKDAY(Mentors[[#This Row],[Onboarded Date]],2)+1)</f>
        <v>45656</v>
      </c>
    </row>
    <row r="634" spans="1:40" ht="19.2" customHeight="1" x14ac:dyDescent="0.3">
      <c r="A634" t="s">
        <v>4481</v>
      </c>
      <c r="B634" t="s">
        <v>4482</v>
      </c>
      <c r="C634" t="s">
        <v>4483</v>
      </c>
      <c r="D634" s="9" t="s">
        <v>4484</v>
      </c>
      <c r="E634" t="s">
        <v>4485</v>
      </c>
      <c r="F634">
        <v>2011</v>
      </c>
      <c r="G634">
        <f>IF(OR(Mentors[[#This Row],[Career Start Year]]="NA",ISBLANK(Mentors[[#This Row],[Career Start Year]])),"",2026 - Mentors[[#This Row],[Career Start Year]])</f>
        <v>15</v>
      </c>
      <c r="H63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634" t="s">
        <v>51</v>
      </c>
      <c r="J634" t="s">
        <v>297</v>
      </c>
      <c r="M634" s="19">
        <v>45658</v>
      </c>
      <c r="N634" t="s">
        <v>4</v>
      </c>
      <c r="O634" t="s">
        <v>0</v>
      </c>
      <c r="Q634" t="s">
        <v>54</v>
      </c>
      <c r="R634" t="s">
        <v>54</v>
      </c>
      <c r="S634" t="s">
        <v>54</v>
      </c>
      <c r="T634" t="s">
        <v>3925</v>
      </c>
      <c r="U634" t="s">
        <v>77</v>
      </c>
      <c r="V634" t="s">
        <v>168</v>
      </c>
      <c r="W634" s="4" t="s">
        <v>1119</v>
      </c>
      <c r="X634" s="4" t="s">
        <v>59</v>
      </c>
      <c r="Y634" s="4"/>
      <c r="Z634" t="s">
        <v>169</v>
      </c>
      <c r="AA634" t="s">
        <v>170</v>
      </c>
      <c r="AB634">
        <v>1</v>
      </c>
      <c r="AD634" t="s">
        <v>63</v>
      </c>
      <c r="AG634" t="s">
        <v>54</v>
      </c>
      <c r="AH634" t="s">
        <v>131</v>
      </c>
      <c r="AI634" t="s">
        <v>248</v>
      </c>
      <c r="AJ634" t="s">
        <v>54</v>
      </c>
      <c r="AK634" t="s">
        <v>4486</v>
      </c>
      <c r="AL634" t="s">
        <v>120</v>
      </c>
      <c r="AN634" s="19">
        <f>IF(ISBLANK(Mentors[[#This Row],[Onboarded Date]]),"",Mentors[[#This Row],[Onboarded Date]]-WEEKDAY(Mentors[[#This Row],[Onboarded Date]],2)+1)</f>
        <v>45656</v>
      </c>
    </row>
    <row r="635" spans="1:40" ht="19.2" customHeight="1" x14ac:dyDescent="0.3">
      <c r="A635" t="s">
        <v>4487</v>
      </c>
      <c r="B635" t="s">
        <v>4488</v>
      </c>
      <c r="C635" t="s">
        <v>4489</v>
      </c>
      <c r="D635" s="24" t="s">
        <v>4490</v>
      </c>
      <c r="E635" t="s">
        <v>4491</v>
      </c>
      <c r="F635">
        <v>1988</v>
      </c>
      <c r="G635">
        <f>IF(OR(Mentors[[#This Row],[Career Start Year]]="NA",ISBLANK(Mentors[[#This Row],[Career Start Year]])),"",2026 - Mentors[[#This Row],[Career Start Year]])</f>
        <v>38</v>
      </c>
      <c r="H63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35" t="s">
        <v>51</v>
      </c>
      <c r="J635" t="s">
        <v>297</v>
      </c>
      <c r="M635" s="19">
        <v>45658</v>
      </c>
      <c r="N635" t="s">
        <v>4</v>
      </c>
      <c r="O635" t="s">
        <v>0</v>
      </c>
      <c r="Q635" t="s">
        <v>54</v>
      </c>
      <c r="R635" t="s">
        <v>54</v>
      </c>
      <c r="S635" t="s">
        <v>54</v>
      </c>
      <c r="T635" t="s">
        <v>1405</v>
      </c>
      <c r="U635" t="s">
        <v>77</v>
      </c>
      <c r="V635" t="s">
        <v>481</v>
      </c>
      <c r="W635" t="s">
        <v>79</v>
      </c>
      <c r="X635" t="s">
        <v>59</v>
      </c>
      <c r="Z635" t="s">
        <v>169</v>
      </c>
      <c r="AA635" t="s">
        <v>170</v>
      </c>
      <c r="AB635">
        <v>1</v>
      </c>
      <c r="AD635" t="s">
        <v>63</v>
      </c>
      <c r="AE635" t="s">
        <v>54</v>
      </c>
      <c r="AG635" t="s">
        <v>54</v>
      </c>
      <c r="AH635" t="s">
        <v>94</v>
      </c>
      <c r="AI635" t="s">
        <v>248</v>
      </c>
      <c r="AJ635" t="s">
        <v>54</v>
      </c>
      <c r="AK635" t="s">
        <v>4492</v>
      </c>
      <c r="AL635" t="s">
        <v>4493</v>
      </c>
      <c r="AN635" s="19">
        <f>IF(ISBLANK(Mentors[[#This Row],[Onboarded Date]]),"",Mentors[[#This Row],[Onboarded Date]]-WEEKDAY(Mentors[[#This Row],[Onboarded Date]],2)+1)</f>
        <v>45656</v>
      </c>
    </row>
    <row r="636" spans="1:40" ht="19.2" customHeight="1" x14ac:dyDescent="0.3">
      <c r="A636" t="s">
        <v>4494</v>
      </c>
      <c r="B636" t="s">
        <v>4495</v>
      </c>
      <c r="C636" t="s">
        <v>4496</v>
      </c>
      <c r="D636" s="24" t="s">
        <v>4497</v>
      </c>
      <c r="E636" t="s">
        <v>4498</v>
      </c>
      <c r="F636">
        <v>1994</v>
      </c>
      <c r="G636">
        <f>IF(OR(Mentors[[#This Row],[Career Start Year]]="NA",ISBLANK(Mentors[[#This Row],[Career Start Year]])),"",2026 - Mentors[[#This Row],[Career Start Year]])</f>
        <v>32</v>
      </c>
      <c r="H63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36" t="s">
        <v>51</v>
      </c>
      <c r="J636" t="s">
        <v>314</v>
      </c>
      <c r="M636" s="19">
        <v>45658</v>
      </c>
      <c r="N636" t="s">
        <v>4</v>
      </c>
      <c r="O636" t="s">
        <v>0</v>
      </c>
      <c r="Q636" t="s">
        <v>54</v>
      </c>
      <c r="R636" t="s">
        <v>54</v>
      </c>
      <c r="S636" t="s">
        <v>54</v>
      </c>
      <c r="T636" t="s">
        <v>4138</v>
      </c>
      <c r="U636" t="s">
        <v>77</v>
      </c>
      <c r="V636" t="s">
        <v>57</v>
      </c>
      <c r="W636" t="s">
        <v>79</v>
      </c>
      <c r="X636" t="s">
        <v>59</v>
      </c>
      <c r="Y636" t="s">
        <v>60</v>
      </c>
      <c r="Z636" t="s">
        <v>169</v>
      </c>
      <c r="AA636" t="s">
        <v>170</v>
      </c>
      <c r="AB636">
        <v>1</v>
      </c>
      <c r="AD636" t="s">
        <v>63</v>
      </c>
      <c r="AE636" t="s">
        <v>54</v>
      </c>
      <c r="AG636" t="s">
        <v>54</v>
      </c>
      <c r="AH636" t="s">
        <v>65</v>
      </c>
      <c r="AI636" t="s">
        <v>248</v>
      </c>
      <c r="AJ636" t="s">
        <v>54</v>
      </c>
      <c r="AK636" t="s">
        <v>4499</v>
      </c>
      <c r="AL636" t="s">
        <v>1105</v>
      </c>
      <c r="AN636" s="19">
        <f>IF(ISBLANK(Mentors[[#This Row],[Onboarded Date]]),"",Mentors[[#This Row],[Onboarded Date]]-WEEKDAY(Mentors[[#This Row],[Onboarded Date]],2)+1)</f>
        <v>45656</v>
      </c>
    </row>
    <row r="637" spans="1:40" ht="19.2" customHeight="1" x14ac:dyDescent="0.3">
      <c r="A637" t="s">
        <v>4500</v>
      </c>
      <c r="B637" t="s">
        <v>4501</v>
      </c>
      <c r="C637" t="s">
        <v>4502</v>
      </c>
      <c r="D637" s="9" t="s">
        <v>4503</v>
      </c>
      <c r="E637" t="s">
        <v>4504</v>
      </c>
      <c r="F637">
        <v>1982</v>
      </c>
      <c r="G637">
        <f>IF(OR(Mentors[[#This Row],[Career Start Year]]="NA",ISBLANK(Mentors[[#This Row],[Career Start Year]])),"",2026 - Mentors[[#This Row],[Career Start Year]])</f>
        <v>44</v>
      </c>
      <c r="H63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37" t="s">
        <v>51</v>
      </c>
      <c r="J637" t="s">
        <v>140</v>
      </c>
      <c r="M637" s="19">
        <v>45658</v>
      </c>
      <c r="O637" t="s">
        <v>0</v>
      </c>
      <c r="Q637" t="s">
        <v>63</v>
      </c>
      <c r="R637" t="s">
        <v>54</v>
      </c>
      <c r="S637" t="s">
        <v>54</v>
      </c>
      <c r="T637" t="s">
        <v>99</v>
      </c>
      <c r="U637" t="s">
        <v>65</v>
      </c>
      <c r="V637" t="s">
        <v>256</v>
      </c>
      <c r="W637" t="s">
        <v>79</v>
      </c>
      <c r="X637" t="s">
        <v>59</v>
      </c>
      <c r="Z637" t="s">
        <v>169</v>
      </c>
      <c r="AA637" t="s">
        <v>170</v>
      </c>
      <c r="AB637">
        <v>1</v>
      </c>
      <c r="AD637" t="s">
        <v>63</v>
      </c>
      <c r="AE637" t="s">
        <v>54</v>
      </c>
      <c r="AG637" t="s">
        <v>54</v>
      </c>
      <c r="AH637" t="s">
        <v>65</v>
      </c>
      <c r="AI637" t="s">
        <v>248</v>
      </c>
      <c r="AJ637" t="s">
        <v>54</v>
      </c>
      <c r="AK637" t="s">
        <v>4505</v>
      </c>
      <c r="AL637" t="s">
        <v>4506</v>
      </c>
      <c r="AN637" s="19">
        <f>IF(ISBLANK(Mentors[[#This Row],[Onboarded Date]]),"",Mentors[[#This Row],[Onboarded Date]]-WEEKDAY(Mentors[[#This Row],[Onboarded Date]],2)+1)</f>
        <v>45656</v>
      </c>
    </row>
    <row r="638" spans="1:40" ht="19.2" customHeight="1" x14ac:dyDescent="0.3">
      <c r="A638" t="s">
        <v>4507</v>
      </c>
      <c r="B638" t="s">
        <v>4508</v>
      </c>
      <c r="C638" t="s">
        <v>4509</v>
      </c>
      <c r="D638" s="9" t="s">
        <v>4510</v>
      </c>
      <c r="E638" t="s">
        <v>4511</v>
      </c>
      <c r="F638">
        <v>2001</v>
      </c>
      <c r="G638">
        <f>IF(OR(Mentors[[#This Row],[Career Start Year]]="NA",ISBLANK(Mentors[[#This Row],[Career Start Year]])),"",2026 - Mentors[[#This Row],[Career Start Year]])</f>
        <v>25</v>
      </c>
      <c r="H63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38" t="s">
        <v>1384</v>
      </c>
      <c r="J638" t="s">
        <v>4512</v>
      </c>
      <c r="M638" s="19">
        <v>45658</v>
      </c>
      <c r="N638" t="s">
        <v>4</v>
      </c>
      <c r="O638" t="s">
        <v>0</v>
      </c>
      <c r="Q638" t="s">
        <v>63</v>
      </c>
      <c r="R638" t="s">
        <v>54</v>
      </c>
      <c r="S638" t="s">
        <v>54</v>
      </c>
      <c r="T638" t="s">
        <v>3067</v>
      </c>
      <c r="U638" t="s">
        <v>77</v>
      </c>
      <c r="V638" t="s">
        <v>198</v>
      </c>
      <c r="W638" t="s">
        <v>79</v>
      </c>
      <c r="X638" t="s">
        <v>59</v>
      </c>
      <c r="Z638" t="s">
        <v>169</v>
      </c>
      <c r="AA638" t="s">
        <v>170</v>
      </c>
      <c r="AB638">
        <v>1</v>
      </c>
      <c r="AD638" t="s">
        <v>63</v>
      </c>
      <c r="AE638" t="s">
        <v>54</v>
      </c>
      <c r="AG638" t="s">
        <v>54</v>
      </c>
      <c r="AH638" t="s">
        <v>131</v>
      </c>
      <c r="AI638" t="s">
        <v>248</v>
      </c>
      <c r="AJ638" t="s">
        <v>54</v>
      </c>
      <c r="AK638" t="s">
        <v>4513</v>
      </c>
      <c r="AL638" t="s">
        <v>1105</v>
      </c>
      <c r="AN638" s="19">
        <f>IF(ISBLANK(Mentors[[#This Row],[Onboarded Date]]),"",Mentors[[#This Row],[Onboarded Date]]-WEEKDAY(Mentors[[#This Row],[Onboarded Date]],2)+1)</f>
        <v>45656</v>
      </c>
    </row>
    <row r="639" spans="1:40" ht="19.2" customHeight="1" x14ac:dyDescent="0.3">
      <c r="A639" t="s">
        <v>4514</v>
      </c>
      <c r="B639" t="s">
        <v>4515</v>
      </c>
      <c r="C639" t="s">
        <v>4516</v>
      </c>
      <c r="D639" s="9" t="s">
        <v>4517</v>
      </c>
      <c r="E639" t="s">
        <v>4518</v>
      </c>
      <c r="F639">
        <v>2000</v>
      </c>
      <c r="G639">
        <f>IF(OR(Mentors[[#This Row],[Career Start Year]]="NA",ISBLANK(Mentors[[#This Row],[Career Start Year]])),"",2026 - Mentors[[#This Row],[Career Start Year]])</f>
        <v>26</v>
      </c>
      <c r="H63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39" t="s">
        <v>4519</v>
      </c>
      <c r="J639" t="s">
        <v>4520</v>
      </c>
      <c r="M639" s="19">
        <v>45658</v>
      </c>
      <c r="O639" t="s">
        <v>0</v>
      </c>
      <c r="Q639" t="s">
        <v>54</v>
      </c>
      <c r="R639" t="s">
        <v>54</v>
      </c>
      <c r="S639" t="s">
        <v>54</v>
      </c>
      <c r="T639" s="4" t="s">
        <v>90</v>
      </c>
      <c r="U639" t="s">
        <v>77</v>
      </c>
      <c r="V639" t="s">
        <v>57</v>
      </c>
      <c r="W639" t="s">
        <v>79</v>
      </c>
      <c r="Z639" t="s">
        <v>169</v>
      </c>
      <c r="AA639" t="s">
        <v>170</v>
      </c>
      <c r="AB639">
        <v>1</v>
      </c>
      <c r="AD639" t="s">
        <v>63</v>
      </c>
      <c r="AE639" t="s">
        <v>54</v>
      </c>
      <c r="AG639" t="s">
        <v>54</v>
      </c>
      <c r="AH639" t="s">
        <v>131</v>
      </c>
      <c r="AI639" t="s">
        <v>66</v>
      </c>
      <c r="AJ639" t="s">
        <v>54</v>
      </c>
      <c r="AK639" t="s">
        <v>4521</v>
      </c>
      <c r="AL639" t="s">
        <v>1105</v>
      </c>
      <c r="AN639" s="19">
        <f>IF(ISBLANK(Mentors[[#This Row],[Onboarded Date]]),"",Mentors[[#This Row],[Onboarded Date]]-WEEKDAY(Mentors[[#This Row],[Onboarded Date]],2)+1)</f>
        <v>45656</v>
      </c>
    </row>
    <row r="640" spans="1:40" ht="19.2" customHeight="1" x14ac:dyDescent="0.3">
      <c r="A640" t="s">
        <v>4522</v>
      </c>
      <c r="B640" t="s">
        <v>4523</v>
      </c>
      <c r="C640" t="s">
        <v>4524</v>
      </c>
      <c r="D640" s="24" t="s">
        <v>4525</v>
      </c>
      <c r="E640" t="s">
        <v>4526</v>
      </c>
      <c r="F640">
        <v>1994</v>
      </c>
      <c r="G640">
        <f>IF(OR(Mentors[[#This Row],[Career Start Year]]="NA",ISBLANK(Mentors[[#This Row],[Career Start Year]])),"",2026 - Mentors[[#This Row],[Career Start Year]])</f>
        <v>32</v>
      </c>
      <c r="H64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40" t="s">
        <v>51</v>
      </c>
      <c r="J640" t="s">
        <v>118</v>
      </c>
      <c r="M640" s="19">
        <v>45658</v>
      </c>
      <c r="O640" t="s">
        <v>0</v>
      </c>
      <c r="Q640" t="s">
        <v>63</v>
      </c>
      <c r="R640" t="s">
        <v>54</v>
      </c>
      <c r="S640" t="s">
        <v>54</v>
      </c>
      <c r="T640" t="s">
        <v>77</v>
      </c>
      <c r="U640" t="s">
        <v>166</v>
      </c>
      <c r="V640" t="s">
        <v>481</v>
      </c>
      <c r="W640" t="s">
        <v>79</v>
      </c>
      <c r="X640" t="s">
        <v>80</v>
      </c>
      <c r="Y640" t="s">
        <v>60</v>
      </c>
      <c r="Z640" t="s">
        <v>169</v>
      </c>
      <c r="AA640" t="s">
        <v>170</v>
      </c>
      <c r="AB640">
        <v>1</v>
      </c>
      <c r="AD640" t="s">
        <v>63</v>
      </c>
      <c r="AE640" t="s">
        <v>54</v>
      </c>
      <c r="AG640" t="s">
        <v>54</v>
      </c>
      <c r="AH640" t="s">
        <v>65</v>
      </c>
      <c r="AI640" t="s">
        <v>248</v>
      </c>
      <c r="AJ640" t="s">
        <v>54</v>
      </c>
      <c r="AK640" t="s">
        <v>4527</v>
      </c>
      <c r="AL640" t="s">
        <v>1105</v>
      </c>
      <c r="AN640" s="19">
        <f>IF(ISBLANK(Mentors[[#This Row],[Onboarded Date]]),"",Mentors[[#This Row],[Onboarded Date]]-WEEKDAY(Mentors[[#This Row],[Onboarded Date]],2)+1)</f>
        <v>45656</v>
      </c>
    </row>
    <row r="641" spans="1:40" ht="19.2" customHeight="1" x14ac:dyDescent="0.3">
      <c r="A641" t="s">
        <v>4528</v>
      </c>
      <c r="B641" t="s">
        <v>4529</v>
      </c>
      <c r="C641" t="s">
        <v>4530</v>
      </c>
      <c r="D641" s="24" t="s">
        <v>4531</v>
      </c>
      <c r="E641" t="s">
        <v>4532</v>
      </c>
      <c r="F641">
        <v>1987</v>
      </c>
      <c r="G641">
        <f>IF(OR(Mentors[[#This Row],[Career Start Year]]="NA",ISBLANK(Mentors[[#This Row],[Career Start Year]])),"",2026 - Mentors[[#This Row],[Career Start Year]])</f>
        <v>39</v>
      </c>
      <c r="H64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41" t="s">
        <v>51</v>
      </c>
      <c r="J641" t="s">
        <v>196</v>
      </c>
      <c r="M641" s="19">
        <v>45658</v>
      </c>
      <c r="N641" t="s">
        <v>4</v>
      </c>
      <c r="O641" t="s">
        <v>0</v>
      </c>
      <c r="Q641" t="s">
        <v>54</v>
      </c>
      <c r="R641" t="s">
        <v>63</v>
      </c>
      <c r="S641" t="s">
        <v>63</v>
      </c>
      <c r="T641" t="s">
        <v>756</v>
      </c>
      <c r="U641" t="s">
        <v>77</v>
      </c>
      <c r="V641" t="s">
        <v>198</v>
      </c>
      <c r="W641" t="s">
        <v>79</v>
      </c>
      <c r="X641" t="s">
        <v>59</v>
      </c>
      <c r="Y641" t="s">
        <v>60</v>
      </c>
      <c r="Z641" t="s">
        <v>169</v>
      </c>
      <c r="AA641" t="s">
        <v>170</v>
      </c>
      <c r="AB641">
        <v>1</v>
      </c>
      <c r="AD641" t="s">
        <v>63</v>
      </c>
      <c r="AE641" t="s">
        <v>63</v>
      </c>
      <c r="AG641" t="s">
        <v>54</v>
      </c>
      <c r="AH641" t="s">
        <v>152</v>
      </c>
      <c r="AI641" t="s">
        <v>248</v>
      </c>
      <c r="AJ641" t="s">
        <v>54</v>
      </c>
      <c r="AK641" t="s">
        <v>4533</v>
      </c>
      <c r="AL641" t="s">
        <v>4534</v>
      </c>
      <c r="AN641" s="19">
        <f>IF(ISBLANK(Mentors[[#This Row],[Onboarded Date]]),"",Mentors[[#This Row],[Onboarded Date]]-WEEKDAY(Mentors[[#This Row],[Onboarded Date]],2)+1)</f>
        <v>45656</v>
      </c>
    </row>
    <row r="642" spans="1:40" ht="19.2" customHeight="1" x14ac:dyDescent="0.3">
      <c r="A642" t="s">
        <v>4535</v>
      </c>
      <c r="B642" t="s">
        <v>4536</v>
      </c>
      <c r="C642" t="s">
        <v>4537</v>
      </c>
      <c r="D642" s="24" t="s">
        <v>4538</v>
      </c>
      <c r="E642" t="s">
        <v>4539</v>
      </c>
      <c r="F642">
        <v>2010</v>
      </c>
      <c r="G642">
        <f>IF(OR(Mentors[[#This Row],[Career Start Year]]="NA",ISBLANK(Mentors[[#This Row],[Career Start Year]])),"",2026 - Mentors[[#This Row],[Career Start Year]])</f>
        <v>16</v>
      </c>
      <c r="H64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42" t="s">
        <v>51</v>
      </c>
      <c r="J642" t="s">
        <v>140</v>
      </c>
      <c r="M642" s="19">
        <v>45658</v>
      </c>
      <c r="N642" t="s">
        <v>4</v>
      </c>
      <c r="O642" t="s">
        <v>0</v>
      </c>
      <c r="Q642" t="s">
        <v>54</v>
      </c>
      <c r="R642" t="s">
        <v>54</v>
      </c>
      <c r="S642" t="s">
        <v>54</v>
      </c>
      <c r="T642" t="s">
        <v>3925</v>
      </c>
      <c r="U642" t="s">
        <v>77</v>
      </c>
      <c r="V642" t="s">
        <v>1538</v>
      </c>
      <c r="W642" t="s">
        <v>79</v>
      </c>
      <c r="Z642" t="s">
        <v>169</v>
      </c>
      <c r="AA642" t="s">
        <v>170</v>
      </c>
      <c r="AB642">
        <v>1</v>
      </c>
      <c r="AD642" t="s">
        <v>63</v>
      </c>
      <c r="AE642" t="s">
        <v>54</v>
      </c>
      <c r="AG642" t="s">
        <v>54</v>
      </c>
      <c r="AH642" t="s">
        <v>65</v>
      </c>
      <c r="AI642" t="s">
        <v>248</v>
      </c>
      <c r="AJ642" t="s">
        <v>54</v>
      </c>
      <c r="AK642" t="s">
        <v>4540</v>
      </c>
      <c r="AL642" t="s">
        <v>4541</v>
      </c>
      <c r="AN642" s="19">
        <f>IF(ISBLANK(Mentors[[#This Row],[Onboarded Date]]),"",Mentors[[#This Row],[Onboarded Date]]-WEEKDAY(Mentors[[#This Row],[Onboarded Date]],2)+1)</f>
        <v>45656</v>
      </c>
    </row>
    <row r="643" spans="1:40" ht="19.2" customHeight="1" x14ac:dyDescent="0.3">
      <c r="A643" t="s">
        <v>4542</v>
      </c>
      <c r="B643" t="s">
        <v>4543</v>
      </c>
      <c r="C643" t="s">
        <v>4544</v>
      </c>
      <c r="D643" s="9" t="s">
        <v>4545</v>
      </c>
      <c r="E643" t="s">
        <v>4546</v>
      </c>
      <c r="F643">
        <v>1999</v>
      </c>
      <c r="G643">
        <f>IF(OR(Mentors[[#This Row],[Career Start Year]]="NA",ISBLANK(Mentors[[#This Row],[Career Start Year]])),"",2026 - Mentors[[#This Row],[Career Start Year]])</f>
        <v>27</v>
      </c>
      <c r="H64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43" t="s">
        <v>51</v>
      </c>
      <c r="J643" t="s">
        <v>196</v>
      </c>
      <c r="M643" s="19">
        <v>45658</v>
      </c>
      <c r="N643" t="s">
        <v>4</v>
      </c>
      <c r="O643" t="s">
        <v>0</v>
      </c>
      <c r="Q643" t="s">
        <v>54</v>
      </c>
      <c r="R643" t="s">
        <v>54</v>
      </c>
      <c r="S643" t="s">
        <v>54</v>
      </c>
      <c r="T643" t="s">
        <v>1569</v>
      </c>
      <c r="U643" t="s">
        <v>77</v>
      </c>
      <c r="V643" t="s">
        <v>120</v>
      </c>
      <c r="W643" t="s">
        <v>168</v>
      </c>
      <c r="X643" t="s">
        <v>59</v>
      </c>
      <c r="Y643" t="s">
        <v>80</v>
      </c>
      <c r="Z643" t="s">
        <v>169</v>
      </c>
      <c r="AA643" t="s">
        <v>170</v>
      </c>
      <c r="AB643">
        <v>1</v>
      </c>
      <c r="AD643" t="s">
        <v>63</v>
      </c>
      <c r="AE643" t="s">
        <v>54</v>
      </c>
      <c r="AG643" t="s">
        <v>54</v>
      </c>
      <c r="AH643" t="s">
        <v>65</v>
      </c>
      <c r="AI643" t="s">
        <v>248</v>
      </c>
      <c r="AJ643" t="s">
        <v>54</v>
      </c>
      <c r="AK643" t="s">
        <v>4547</v>
      </c>
      <c r="AL643" t="s">
        <v>4451</v>
      </c>
      <c r="AN643" s="19">
        <f>IF(ISBLANK(Mentors[[#This Row],[Onboarded Date]]),"",Mentors[[#This Row],[Onboarded Date]]-WEEKDAY(Mentors[[#This Row],[Onboarded Date]],2)+1)</f>
        <v>45656</v>
      </c>
    </row>
    <row r="644" spans="1:40" ht="19.2" customHeight="1" x14ac:dyDescent="0.3">
      <c r="A644" t="s">
        <v>4548</v>
      </c>
      <c r="B644" t="s">
        <v>4549</v>
      </c>
      <c r="C644" t="s">
        <v>4550</v>
      </c>
      <c r="D644" s="24" t="s">
        <v>4551</v>
      </c>
      <c r="E644" t="s">
        <v>4552</v>
      </c>
      <c r="F644">
        <v>2010</v>
      </c>
      <c r="G644">
        <f>IF(OR(Mentors[[#This Row],[Career Start Year]]="NA",ISBLANK(Mentors[[#This Row],[Career Start Year]])),"",2026 - Mentors[[#This Row],[Career Start Year]])</f>
        <v>16</v>
      </c>
      <c r="H64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44" t="s">
        <v>51</v>
      </c>
      <c r="J644" t="s">
        <v>297</v>
      </c>
      <c r="M644" s="19">
        <v>45658</v>
      </c>
      <c r="O644" t="s">
        <v>0</v>
      </c>
      <c r="Q644" t="s">
        <v>54</v>
      </c>
      <c r="R644" t="s">
        <v>54</v>
      </c>
      <c r="S644" t="s">
        <v>54</v>
      </c>
      <c r="T644" s="4" t="s">
        <v>756</v>
      </c>
      <c r="U644" t="s">
        <v>56</v>
      </c>
      <c r="V644" t="s">
        <v>78</v>
      </c>
      <c r="W644" t="s">
        <v>79</v>
      </c>
      <c r="X644" t="s">
        <v>60</v>
      </c>
      <c r="Z644" t="s">
        <v>169</v>
      </c>
      <c r="AA644" t="s">
        <v>170</v>
      </c>
      <c r="AB644">
        <v>1</v>
      </c>
      <c r="AD644" t="s">
        <v>63</v>
      </c>
      <c r="AE644" t="s">
        <v>54</v>
      </c>
      <c r="AG644" t="s">
        <v>54</v>
      </c>
      <c r="AH644" t="s">
        <v>131</v>
      </c>
      <c r="AI644" t="s">
        <v>248</v>
      </c>
      <c r="AJ644" t="s">
        <v>54</v>
      </c>
      <c r="AK644" t="s">
        <v>4553</v>
      </c>
      <c r="AL644" t="s">
        <v>1105</v>
      </c>
      <c r="AN644" s="19">
        <f>IF(ISBLANK(Mentors[[#This Row],[Onboarded Date]]),"",Mentors[[#This Row],[Onboarded Date]]-WEEKDAY(Mentors[[#This Row],[Onboarded Date]],2)+1)</f>
        <v>45656</v>
      </c>
    </row>
    <row r="645" spans="1:40" ht="19.2" customHeight="1" x14ac:dyDescent="0.3">
      <c r="A645" t="s">
        <v>4554</v>
      </c>
      <c r="B645" t="s">
        <v>4555</v>
      </c>
      <c r="C645" t="s">
        <v>4556</v>
      </c>
      <c r="D645" s="24" t="s">
        <v>4557</v>
      </c>
      <c r="E645" t="s">
        <v>4558</v>
      </c>
      <c r="F645">
        <v>1990</v>
      </c>
      <c r="G645">
        <f>IF(OR(Mentors[[#This Row],[Career Start Year]]="NA",ISBLANK(Mentors[[#This Row],[Career Start Year]])),"",2026 - Mentors[[#This Row],[Career Start Year]])</f>
        <v>36</v>
      </c>
      <c r="H64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45" t="s">
        <v>51</v>
      </c>
      <c r="J645" t="s">
        <v>297</v>
      </c>
      <c r="M645" s="19">
        <v>45658</v>
      </c>
      <c r="O645" t="s">
        <v>0</v>
      </c>
      <c r="T645" t="s">
        <v>77</v>
      </c>
      <c r="U645" t="s">
        <v>100</v>
      </c>
      <c r="V645" s="4" t="s">
        <v>481</v>
      </c>
      <c r="W645" s="4" t="s">
        <v>1268</v>
      </c>
      <c r="X645" s="4" t="s">
        <v>59</v>
      </c>
      <c r="Y645" s="4"/>
      <c r="Z645" t="s">
        <v>81</v>
      </c>
      <c r="AA645" t="s">
        <v>62</v>
      </c>
      <c r="AB645">
        <v>1</v>
      </c>
      <c r="AD645" t="s">
        <v>63</v>
      </c>
      <c r="AE645" t="s">
        <v>63</v>
      </c>
      <c r="AG645" t="s">
        <v>54</v>
      </c>
      <c r="AH645" t="s">
        <v>152</v>
      </c>
      <c r="AI645" t="s">
        <v>248</v>
      </c>
      <c r="AJ645" t="s">
        <v>54</v>
      </c>
      <c r="AK645" t="s">
        <v>4559</v>
      </c>
      <c r="AL645" t="s">
        <v>4560</v>
      </c>
      <c r="AN645" s="19">
        <f>IF(ISBLANK(Mentors[[#This Row],[Onboarded Date]]),"",Mentors[[#This Row],[Onboarded Date]]-WEEKDAY(Mentors[[#This Row],[Onboarded Date]],2)+1)</f>
        <v>45656</v>
      </c>
    </row>
    <row r="646" spans="1:40" ht="19.2" customHeight="1" x14ac:dyDescent="0.3">
      <c r="A646" t="s">
        <v>4561</v>
      </c>
      <c r="B646" t="s">
        <v>704</v>
      </c>
      <c r="C646" t="s">
        <v>4562</v>
      </c>
      <c r="D646" s="24" t="s">
        <v>4563</v>
      </c>
      <c r="E646" t="s">
        <v>4564</v>
      </c>
      <c r="F646">
        <v>2008</v>
      </c>
      <c r="G646">
        <f>IF(OR(Mentors[[#This Row],[Career Start Year]]="NA",ISBLANK(Mentors[[#This Row],[Career Start Year]])),"",2026 - Mentors[[#This Row],[Career Start Year]])</f>
        <v>18</v>
      </c>
      <c r="H64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46" t="s">
        <v>51</v>
      </c>
      <c r="J646" t="s">
        <v>74</v>
      </c>
      <c r="K646" t="s">
        <v>4565</v>
      </c>
      <c r="L646" s="17">
        <v>9873371859</v>
      </c>
      <c r="M646" s="19">
        <v>45658</v>
      </c>
      <c r="N646" t="s">
        <v>4</v>
      </c>
      <c r="O646" t="s">
        <v>0</v>
      </c>
      <c r="Q646" t="s">
        <v>54</v>
      </c>
      <c r="R646" t="s">
        <v>54</v>
      </c>
      <c r="S646" t="s">
        <v>54</v>
      </c>
      <c r="T646" t="s">
        <v>1189</v>
      </c>
      <c r="U646" t="s">
        <v>76</v>
      </c>
      <c r="V646" t="s">
        <v>57</v>
      </c>
      <c r="W646" t="s">
        <v>79</v>
      </c>
      <c r="X646" t="s">
        <v>59</v>
      </c>
      <c r="Z646" t="s">
        <v>4154</v>
      </c>
      <c r="AA646" t="s">
        <v>62</v>
      </c>
      <c r="AB646">
        <v>1</v>
      </c>
      <c r="AE646" t="s">
        <v>54</v>
      </c>
      <c r="AG646" t="s">
        <v>54</v>
      </c>
      <c r="AH646" t="s">
        <v>131</v>
      </c>
      <c r="AI646" t="s">
        <v>1064</v>
      </c>
      <c r="AJ646" t="s">
        <v>54</v>
      </c>
      <c r="AK646" t="s">
        <v>4347</v>
      </c>
      <c r="AL646" t="s">
        <v>4566</v>
      </c>
      <c r="AN646" s="19">
        <f>IF(ISBLANK(Mentors[[#This Row],[Onboarded Date]]),"",Mentors[[#This Row],[Onboarded Date]]-WEEKDAY(Mentors[[#This Row],[Onboarded Date]],2)+1)</f>
        <v>45656</v>
      </c>
    </row>
    <row r="647" spans="1:40" ht="19.2" customHeight="1" x14ac:dyDescent="0.3">
      <c r="A647" t="s">
        <v>4567</v>
      </c>
      <c r="B647" t="s">
        <v>4568</v>
      </c>
      <c r="C647" t="s">
        <v>4569</v>
      </c>
      <c r="D647" s="24" t="s">
        <v>4570</v>
      </c>
      <c r="E647" t="s">
        <v>4571</v>
      </c>
      <c r="F647">
        <v>2002</v>
      </c>
      <c r="G647">
        <f>IF(OR(Mentors[[#This Row],[Career Start Year]]="NA",ISBLANK(Mentors[[#This Row],[Career Start Year]])),"",2026 - Mentors[[#This Row],[Career Start Year]])</f>
        <v>24</v>
      </c>
      <c r="H64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47" t="s">
        <v>51</v>
      </c>
      <c r="J647" t="s">
        <v>280</v>
      </c>
      <c r="K647" t="s">
        <v>4572</v>
      </c>
      <c r="M647" s="19">
        <v>45658</v>
      </c>
      <c r="O647" t="s">
        <v>0</v>
      </c>
      <c r="Q647" t="s">
        <v>54</v>
      </c>
      <c r="R647" t="s">
        <v>63</v>
      </c>
      <c r="S647" t="s">
        <v>63</v>
      </c>
      <c r="T647" t="s">
        <v>77</v>
      </c>
      <c r="U647" t="s">
        <v>65</v>
      </c>
      <c r="V647" t="s">
        <v>58</v>
      </c>
      <c r="W647" s="4" t="s">
        <v>58</v>
      </c>
      <c r="X647" s="4" t="s">
        <v>59</v>
      </c>
      <c r="Y647" s="4"/>
      <c r="Z647" t="s">
        <v>4154</v>
      </c>
      <c r="AA647" t="s">
        <v>62</v>
      </c>
      <c r="AB647">
        <v>1</v>
      </c>
      <c r="AE647" t="s">
        <v>63</v>
      </c>
      <c r="AG647" t="s">
        <v>54</v>
      </c>
      <c r="AH647" t="s">
        <v>94</v>
      </c>
      <c r="AI647" t="s">
        <v>132</v>
      </c>
      <c r="AJ647" t="s">
        <v>54</v>
      </c>
      <c r="AK647" t="s">
        <v>4573</v>
      </c>
      <c r="AL647" t="s">
        <v>1129</v>
      </c>
      <c r="AN647" s="19">
        <f>IF(ISBLANK(Mentors[[#This Row],[Onboarded Date]]),"",Mentors[[#This Row],[Onboarded Date]]-WEEKDAY(Mentors[[#This Row],[Onboarded Date]],2)+1)</f>
        <v>45656</v>
      </c>
    </row>
    <row r="648" spans="1:40" ht="19.2" customHeight="1" x14ac:dyDescent="0.3">
      <c r="A648" t="s">
        <v>4574</v>
      </c>
      <c r="B648" t="s">
        <v>152</v>
      </c>
      <c r="C648" t="s">
        <v>4575</v>
      </c>
      <c r="D648" s="24" t="s">
        <v>4576</v>
      </c>
      <c r="E648" t="s">
        <v>4577</v>
      </c>
      <c r="F648">
        <v>2006</v>
      </c>
      <c r="G648">
        <f>IF(OR(Mentors[[#This Row],[Career Start Year]]="NA",ISBLANK(Mentors[[#This Row],[Career Start Year]])),"",2026 - Mentors[[#This Row],[Career Start Year]])</f>
        <v>20</v>
      </c>
      <c r="H64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48" t="s">
        <v>51</v>
      </c>
      <c r="J648" t="s">
        <v>389</v>
      </c>
      <c r="K648" t="s">
        <v>4578</v>
      </c>
      <c r="L648" s="17">
        <v>9971259990</v>
      </c>
      <c r="M648" s="19">
        <v>45658</v>
      </c>
      <c r="O648" t="s">
        <v>0</v>
      </c>
      <c r="Q648" t="s">
        <v>54</v>
      </c>
      <c r="R648" t="s">
        <v>54</v>
      </c>
      <c r="S648" t="s">
        <v>63</v>
      </c>
      <c r="T648" t="s">
        <v>187</v>
      </c>
      <c r="U648" t="s">
        <v>65</v>
      </c>
      <c r="V648" t="s">
        <v>78</v>
      </c>
      <c r="W648" t="s">
        <v>79</v>
      </c>
      <c r="Z648" t="s">
        <v>4154</v>
      </c>
      <c r="AA648" t="s">
        <v>62</v>
      </c>
      <c r="AB648">
        <v>1</v>
      </c>
      <c r="AE648" t="s">
        <v>63</v>
      </c>
      <c r="AG648" t="s">
        <v>54</v>
      </c>
      <c r="AH648" t="s">
        <v>152</v>
      </c>
      <c r="AI648" t="s">
        <v>132</v>
      </c>
      <c r="AJ648" t="s">
        <v>54</v>
      </c>
      <c r="AK648" t="s">
        <v>3740</v>
      </c>
      <c r="AL648" t="s">
        <v>1538</v>
      </c>
      <c r="AN648" s="19">
        <f>IF(ISBLANK(Mentors[[#This Row],[Onboarded Date]]),"",Mentors[[#This Row],[Onboarded Date]]-WEEKDAY(Mentors[[#This Row],[Onboarded Date]],2)+1)</f>
        <v>45656</v>
      </c>
    </row>
    <row r="649" spans="1:40" ht="19.2" customHeight="1" x14ac:dyDescent="0.3">
      <c r="A649" t="s">
        <v>4579</v>
      </c>
      <c r="D649" s="24" t="s">
        <v>4580</v>
      </c>
      <c r="E649" s="7" t="s">
        <v>4581</v>
      </c>
      <c r="F649">
        <v>2004</v>
      </c>
      <c r="G649">
        <f>IF(OR(Mentors[[#This Row],[Career Start Year]]="NA",ISBLANK(Mentors[[#This Row],[Career Start Year]])),"",2026 - Mentors[[#This Row],[Career Start Year]])</f>
        <v>22</v>
      </c>
      <c r="H64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49" t="s">
        <v>1071</v>
      </c>
      <c r="J649" t="s">
        <v>389</v>
      </c>
      <c r="L649" s="17">
        <v>9811040428</v>
      </c>
      <c r="M649" s="19">
        <v>46032</v>
      </c>
      <c r="O649" t="s">
        <v>0</v>
      </c>
      <c r="Q649" t="s">
        <v>54</v>
      </c>
      <c r="R649" t="s">
        <v>54</v>
      </c>
      <c r="S649" t="s">
        <v>54</v>
      </c>
      <c r="T649" t="s">
        <v>77</v>
      </c>
      <c r="U649" t="s">
        <v>65</v>
      </c>
      <c r="V649" t="s">
        <v>57</v>
      </c>
      <c r="W649" t="s">
        <v>79</v>
      </c>
      <c r="X649" t="s">
        <v>60</v>
      </c>
      <c r="Z649" t="s">
        <v>169</v>
      </c>
      <c r="AA649" t="s">
        <v>170</v>
      </c>
      <c r="AB649">
        <v>1</v>
      </c>
      <c r="AD649" t="s">
        <v>63</v>
      </c>
      <c r="AE649" t="s">
        <v>54</v>
      </c>
      <c r="AG649" t="s">
        <v>54</v>
      </c>
      <c r="AH649" t="s">
        <v>215</v>
      </c>
      <c r="AI649" t="s">
        <v>1064</v>
      </c>
      <c r="AJ649" t="s">
        <v>54</v>
      </c>
      <c r="AK649" t="s">
        <v>1129</v>
      </c>
      <c r="AL649" t="s">
        <v>1129</v>
      </c>
      <c r="AN649" s="19">
        <f>IF(ISBLANK(Mentors[[#This Row],[Onboarded Date]]),"",Mentors[[#This Row],[Onboarded Date]]-WEEKDAY(Mentors[[#This Row],[Onboarded Date]],2)+1)</f>
        <v>46027</v>
      </c>
    </row>
    <row r="650" spans="1:40" ht="19.2" customHeight="1" x14ac:dyDescent="0.3">
      <c r="A650" t="s">
        <v>4582</v>
      </c>
      <c r="B650" t="s">
        <v>4583</v>
      </c>
      <c r="C650" t="s">
        <v>4584</v>
      </c>
      <c r="D650" s="24" t="s">
        <v>4585</v>
      </c>
      <c r="E650" s="7" t="s">
        <v>4586</v>
      </c>
      <c r="F650">
        <v>1990</v>
      </c>
      <c r="G650">
        <f>IF(OR(Mentors[[#This Row],[Career Start Year]]="NA",ISBLANK(Mentors[[#This Row],[Career Start Year]])),"",2026 - Mentors[[#This Row],[Career Start Year]])</f>
        <v>36</v>
      </c>
      <c r="H65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50" t="s">
        <v>51</v>
      </c>
      <c r="J650" t="s">
        <v>4587</v>
      </c>
      <c r="K650" t="s">
        <v>4588</v>
      </c>
      <c r="L650" s="17">
        <v>9620664562</v>
      </c>
      <c r="M650" s="19">
        <v>46035</v>
      </c>
      <c r="O650" t="s">
        <v>0</v>
      </c>
      <c r="Q650" t="s">
        <v>54</v>
      </c>
      <c r="R650" t="s">
        <v>54</v>
      </c>
      <c r="S650" t="s">
        <v>54</v>
      </c>
      <c r="T650" t="s">
        <v>77</v>
      </c>
      <c r="U650" t="s">
        <v>65</v>
      </c>
      <c r="V650" t="s">
        <v>58</v>
      </c>
      <c r="W650" s="4" t="s">
        <v>58</v>
      </c>
      <c r="X650" s="4"/>
      <c r="Y650" s="4"/>
      <c r="Z650" t="s">
        <v>169</v>
      </c>
      <c r="AA650" t="s">
        <v>170</v>
      </c>
      <c r="AB650">
        <v>1</v>
      </c>
      <c r="AE650" t="s">
        <v>54</v>
      </c>
      <c r="AG650" t="s">
        <v>54</v>
      </c>
      <c r="AH650" t="s">
        <v>131</v>
      </c>
      <c r="AI650" t="s">
        <v>248</v>
      </c>
      <c r="AJ650" t="s">
        <v>54</v>
      </c>
      <c r="AK650" t="s">
        <v>1129</v>
      </c>
      <c r="AL650" t="s">
        <v>1129</v>
      </c>
      <c r="AN650" s="19">
        <f>IF(ISBLANK(Mentors[[#This Row],[Onboarded Date]]),"",Mentors[[#This Row],[Onboarded Date]]-WEEKDAY(Mentors[[#This Row],[Onboarded Date]],2)+1)</f>
        <v>46034</v>
      </c>
    </row>
    <row r="651" spans="1:40" ht="19.2" customHeight="1" x14ac:dyDescent="0.3">
      <c r="A651" t="s">
        <v>4589</v>
      </c>
      <c r="B651" t="s">
        <v>4590</v>
      </c>
      <c r="C651" t="s">
        <v>4591</v>
      </c>
      <c r="D651" s="24" t="s">
        <v>4592</v>
      </c>
      <c r="E651" s="7" t="s">
        <v>4593</v>
      </c>
      <c r="F651">
        <v>1997</v>
      </c>
      <c r="G651">
        <f>IF(OR(Mentors[[#This Row],[Career Start Year]]="NA",ISBLANK(Mentors[[#This Row],[Career Start Year]])),"",2026 - Mentors[[#This Row],[Career Start Year]])</f>
        <v>29</v>
      </c>
      <c r="H65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51" t="s">
        <v>51</v>
      </c>
      <c r="J651" t="s">
        <v>4594</v>
      </c>
      <c r="K651" t="s">
        <v>4595</v>
      </c>
      <c r="L651" s="17" t="s">
        <v>4596</v>
      </c>
      <c r="M651" s="19">
        <v>46035</v>
      </c>
      <c r="N651" t="s">
        <v>4</v>
      </c>
      <c r="O651" t="s">
        <v>0</v>
      </c>
      <c r="Q651" t="s">
        <v>63</v>
      </c>
      <c r="R651" t="s">
        <v>63</v>
      </c>
      <c r="S651" t="s">
        <v>63</v>
      </c>
      <c r="T651" t="s">
        <v>187</v>
      </c>
      <c r="U651" t="s">
        <v>187</v>
      </c>
      <c r="V651" t="s">
        <v>1538</v>
      </c>
      <c r="W651" t="s">
        <v>79</v>
      </c>
      <c r="X651" t="s">
        <v>1120</v>
      </c>
      <c r="Z651" t="s">
        <v>169</v>
      </c>
      <c r="AA651" t="s">
        <v>170</v>
      </c>
      <c r="AB651">
        <v>1</v>
      </c>
      <c r="AE651" t="s">
        <v>63</v>
      </c>
      <c r="AG651" t="s">
        <v>54</v>
      </c>
      <c r="AH651" t="s">
        <v>215</v>
      </c>
      <c r="AI651" t="s">
        <v>132</v>
      </c>
      <c r="AJ651" t="s">
        <v>54</v>
      </c>
      <c r="AK651" t="s">
        <v>1129</v>
      </c>
      <c r="AL651" t="s">
        <v>1129</v>
      </c>
      <c r="AN651" s="19">
        <f>IF(ISBLANK(Mentors[[#This Row],[Onboarded Date]]),"",Mentors[[#This Row],[Onboarded Date]]-WEEKDAY(Mentors[[#This Row],[Onboarded Date]],2)+1)</f>
        <v>46034</v>
      </c>
    </row>
    <row r="652" spans="1:40" ht="19.2" customHeight="1" x14ac:dyDescent="0.3">
      <c r="A652" t="s">
        <v>4597</v>
      </c>
      <c r="B652" t="s">
        <v>1780</v>
      </c>
      <c r="C652" t="s">
        <v>4598</v>
      </c>
      <c r="D652" s="25" t="s">
        <v>4599</v>
      </c>
      <c r="E652" s="7" t="s">
        <v>4600</v>
      </c>
      <c r="F652">
        <v>2014</v>
      </c>
      <c r="G652">
        <f>IF(OR(Mentors[[#This Row],[Career Start Year]]="NA",ISBLANK(Mentors[[#This Row],[Career Start Year]])),"",2026 - Mentors[[#This Row],[Career Start Year]])</f>
        <v>12</v>
      </c>
      <c r="H65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652" t="s">
        <v>51</v>
      </c>
      <c r="J652" t="s">
        <v>52</v>
      </c>
      <c r="K652" s="7" t="s">
        <v>4601</v>
      </c>
      <c r="L652" s="17" t="s">
        <v>4602</v>
      </c>
      <c r="M652" s="19">
        <v>46037</v>
      </c>
      <c r="N652" t="s">
        <v>10</v>
      </c>
      <c r="Q652" t="s">
        <v>54</v>
      </c>
      <c r="R652" t="s">
        <v>63</v>
      </c>
      <c r="S652" t="s">
        <v>54</v>
      </c>
      <c r="T652" t="s">
        <v>166</v>
      </c>
      <c r="U652" t="s">
        <v>77</v>
      </c>
      <c r="V652" t="s">
        <v>57</v>
      </c>
      <c r="W652" t="s">
        <v>78</v>
      </c>
      <c r="Z652" t="s">
        <v>81</v>
      </c>
      <c r="AA652" t="s">
        <v>62</v>
      </c>
      <c r="AB652">
        <v>1</v>
      </c>
      <c r="AE652" t="s">
        <v>63</v>
      </c>
      <c r="AG652" t="s">
        <v>54</v>
      </c>
      <c r="AH652" t="s">
        <v>215</v>
      </c>
      <c r="AI652" s="4" t="s">
        <v>248</v>
      </c>
      <c r="AJ652" t="s">
        <v>54</v>
      </c>
      <c r="AN652" s="19">
        <f>IF(ISBLANK(Mentors[[#This Row],[Onboarded Date]]),"",Mentors[[#This Row],[Onboarded Date]]-WEEKDAY(Mentors[[#This Row],[Onboarded Date]],2)+1)</f>
        <v>46034</v>
      </c>
    </row>
    <row r="653" spans="1:40" ht="19.2" customHeight="1" x14ac:dyDescent="0.3">
      <c r="A653" t="s">
        <v>4603</v>
      </c>
      <c r="B653" t="s">
        <v>358</v>
      </c>
      <c r="C653" t="s">
        <v>4604</v>
      </c>
      <c r="D653" s="9" t="s">
        <v>4605</v>
      </c>
      <c r="E653" t="s">
        <v>4606</v>
      </c>
      <c r="F653">
        <v>1982</v>
      </c>
      <c r="G653">
        <f>IF(OR(Mentors[[#This Row],[Career Start Year]]="NA",ISBLANK(Mentors[[#This Row],[Career Start Year]])),"",2026 - Mentors[[#This Row],[Career Start Year]])</f>
        <v>44</v>
      </c>
      <c r="H65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53" t="s">
        <v>51</v>
      </c>
      <c r="J653" t="s">
        <v>297</v>
      </c>
      <c r="K653" t="s">
        <v>4607</v>
      </c>
      <c r="L653" s="17">
        <v>9810104402</v>
      </c>
      <c r="M653" s="19">
        <v>46039</v>
      </c>
      <c r="N653" t="s">
        <v>4608</v>
      </c>
      <c r="O653" t="s">
        <v>0</v>
      </c>
      <c r="Q653" t="s">
        <v>63</v>
      </c>
      <c r="R653" t="s">
        <v>54</v>
      </c>
      <c r="S653" t="s">
        <v>54</v>
      </c>
      <c r="T653" t="s">
        <v>99</v>
      </c>
      <c r="U653" t="s">
        <v>65</v>
      </c>
      <c r="V653" t="s">
        <v>78</v>
      </c>
      <c r="W653" t="s">
        <v>79</v>
      </c>
      <c r="Z653" t="s">
        <v>4609</v>
      </c>
      <c r="AA653" t="s">
        <v>62</v>
      </c>
      <c r="AB653">
        <v>1</v>
      </c>
      <c r="AE653" t="s">
        <v>54</v>
      </c>
      <c r="AG653" t="s">
        <v>54</v>
      </c>
      <c r="AH653" t="s">
        <v>65</v>
      </c>
      <c r="AI653" t="s">
        <v>248</v>
      </c>
      <c r="AJ653" t="s">
        <v>54</v>
      </c>
      <c r="AK653" t="s">
        <v>1129</v>
      </c>
      <c r="AL653" t="s">
        <v>1129</v>
      </c>
      <c r="AN653" s="19">
        <f>IF(ISBLANK(Mentors[[#This Row],[Onboarded Date]]),"",Mentors[[#This Row],[Onboarded Date]]-WEEKDAY(Mentors[[#This Row],[Onboarded Date]],2)+1)</f>
        <v>46034</v>
      </c>
    </row>
    <row r="654" spans="1:40" ht="19.2" customHeight="1" x14ac:dyDescent="0.3">
      <c r="A654" t="s">
        <v>4610</v>
      </c>
      <c r="B654" t="s">
        <v>1672</v>
      </c>
      <c r="C654" t="s">
        <v>4611</v>
      </c>
      <c r="D654" s="24" t="s">
        <v>4612</v>
      </c>
      <c r="E654" t="s">
        <v>4613</v>
      </c>
      <c r="F654">
        <v>1985</v>
      </c>
      <c r="G654">
        <f>IF(OR(Mentors[[#This Row],[Career Start Year]]="NA",ISBLANK(Mentors[[#This Row],[Career Start Year]])),"",2026 - Mentors[[#This Row],[Career Start Year]])</f>
        <v>41</v>
      </c>
      <c r="H65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54" t="s">
        <v>51</v>
      </c>
      <c r="J654" t="s">
        <v>297</v>
      </c>
      <c r="K654" t="s">
        <v>4614</v>
      </c>
      <c r="M654" s="19">
        <v>46043</v>
      </c>
      <c r="N654" t="s">
        <v>4</v>
      </c>
      <c r="O654" t="s">
        <v>0</v>
      </c>
      <c r="Q654" t="s">
        <v>54</v>
      </c>
      <c r="R654" t="s">
        <v>54</v>
      </c>
      <c r="S654" t="s">
        <v>54</v>
      </c>
      <c r="T654" t="s">
        <v>4615</v>
      </c>
      <c r="U654" t="s">
        <v>65</v>
      </c>
      <c r="V654" t="s">
        <v>120</v>
      </c>
      <c r="W654" t="s">
        <v>168</v>
      </c>
      <c r="Z654" t="s">
        <v>169</v>
      </c>
      <c r="AA654" t="s">
        <v>170</v>
      </c>
      <c r="AB654">
        <v>1</v>
      </c>
      <c r="AE654" t="s">
        <v>54</v>
      </c>
      <c r="AG654" t="s">
        <v>4616</v>
      </c>
      <c r="AH654" t="s">
        <v>131</v>
      </c>
      <c r="AI654" t="s">
        <v>248</v>
      </c>
      <c r="AJ654" t="s">
        <v>54</v>
      </c>
      <c r="AK654" t="s">
        <v>1129</v>
      </c>
      <c r="AL654" t="s">
        <v>1129</v>
      </c>
      <c r="AN654" s="19">
        <f>IF(ISBLANK(Mentors[[#This Row],[Onboarded Date]]),"",Mentors[[#This Row],[Onboarded Date]]-WEEKDAY(Mentors[[#This Row],[Onboarded Date]],2)+1)</f>
        <v>46041</v>
      </c>
    </row>
    <row r="655" spans="1:40" ht="19.2" customHeight="1" x14ac:dyDescent="0.3">
      <c r="A655" t="s">
        <v>4617</v>
      </c>
      <c r="B655" t="s">
        <v>4618</v>
      </c>
      <c r="C655" t="s">
        <v>4619</v>
      </c>
      <c r="D655" s="24" t="s">
        <v>4620</v>
      </c>
      <c r="E655" t="s">
        <v>4621</v>
      </c>
      <c r="F655">
        <v>2000</v>
      </c>
      <c r="G655">
        <f>IF(OR(Mentors[[#This Row],[Career Start Year]]="NA",ISBLANK(Mentors[[#This Row],[Career Start Year]])),"",2026 - Mentors[[#This Row],[Career Start Year]])</f>
        <v>26</v>
      </c>
      <c r="H65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55" t="s">
        <v>51</v>
      </c>
      <c r="J655" t="s">
        <v>297</v>
      </c>
      <c r="K655" t="s">
        <v>4622</v>
      </c>
      <c r="L655" s="17">
        <v>7838320006</v>
      </c>
      <c r="M655" s="19">
        <v>46043</v>
      </c>
      <c r="N655" t="s">
        <v>4</v>
      </c>
      <c r="O655" t="s">
        <v>0</v>
      </c>
      <c r="Q655" t="s">
        <v>54</v>
      </c>
      <c r="R655" t="s">
        <v>54</v>
      </c>
      <c r="S655" t="s">
        <v>54</v>
      </c>
      <c r="T655" t="s">
        <v>4615</v>
      </c>
      <c r="U655" t="s">
        <v>77</v>
      </c>
      <c r="V655" s="4" t="s">
        <v>481</v>
      </c>
      <c r="W655" t="s">
        <v>79</v>
      </c>
      <c r="Z655" t="s">
        <v>169</v>
      </c>
      <c r="AA655" t="s">
        <v>170</v>
      </c>
      <c r="AB655">
        <v>1</v>
      </c>
      <c r="AE655" t="s">
        <v>54</v>
      </c>
      <c r="AG655" t="s">
        <v>54</v>
      </c>
      <c r="AH655" t="s">
        <v>65</v>
      </c>
      <c r="AI655" t="s">
        <v>248</v>
      </c>
      <c r="AJ655" t="s">
        <v>54</v>
      </c>
      <c r="AK655" t="s">
        <v>1129</v>
      </c>
      <c r="AL655" t="s">
        <v>1129</v>
      </c>
      <c r="AN655" s="19">
        <f>IF(ISBLANK(Mentors[[#This Row],[Onboarded Date]]),"",Mentors[[#This Row],[Onboarded Date]]-WEEKDAY(Mentors[[#This Row],[Onboarded Date]],2)+1)</f>
        <v>46041</v>
      </c>
    </row>
    <row r="656" spans="1:40" ht="19.2" customHeight="1" x14ac:dyDescent="0.3">
      <c r="A656" t="s">
        <v>4623</v>
      </c>
      <c r="B656" t="s">
        <v>4624</v>
      </c>
      <c r="C656" t="s">
        <v>4625</v>
      </c>
      <c r="D656" s="24" t="s">
        <v>4626</v>
      </c>
      <c r="E656" t="s">
        <v>4627</v>
      </c>
      <c r="F656">
        <v>1999</v>
      </c>
      <c r="G656">
        <f>IF(OR(Mentors[[#This Row],[Career Start Year]]="NA",ISBLANK(Mentors[[#This Row],[Career Start Year]])),"",2026 - Mentors[[#This Row],[Career Start Year]])</f>
        <v>27</v>
      </c>
      <c r="H65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56" t="s">
        <v>51</v>
      </c>
      <c r="K656" t="s">
        <v>4628</v>
      </c>
      <c r="L656" s="17">
        <v>8586925271</v>
      </c>
      <c r="M656" s="19">
        <v>46050</v>
      </c>
      <c r="N656" t="s">
        <v>8</v>
      </c>
      <c r="O656" t="s">
        <v>0</v>
      </c>
      <c r="Q656" t="s">
        <v>54</v>
      </c>
      <c r="R656" t="s">
        <v>54</v>
      </c>
      <c r="S656" t="s">
        <v>54</v>
      </c>
      <c r="T656" t="s">
        <v>77</v>
      </c>
      <c r="U656" t="s">
        <v>65</v>
      </c>
      <c r="V656" t="s">
        <v>57</v>
      </c>
      <c r="W656" t="s">
        <v>79</v>
      </c>
      <c r="X656" t="s">
        <v>60</v>
      </c>
      <c r="Z656" t="s">
        <v>81</v>
      </c>
      <c r="AA656" t="s">
        <v>62</v>
      </c>
      <c r="AB656">
        <v>1</v>
      </c>
      <c r="AE656" t="s">
        <v>54</v>
      </c>
      <c r="AG656" t="s">
        <v>54</v>
      </c>
      <c r="AJ656" t="s">
        <v>54</v>
      </c>
      <c r="AK656" t="s">
        <v>1129</v>
      </c>
      <c r="AL656" t="s">
        <v>1129</v>
      </c>
      <c r="AN656" s="19">
        <f>IF(ISBLANK(Mentors[[#This Row],[Onboarded Date]]),"",Mentors[[#This Row],[Onboarded Date]]-WEEKDAY(Mentors[[#This Row],[Onboarded Date]],2)+1)</f>
        <v>46048</v>
      </c>
    </row>
    <row r="657" spans="1:40" ht="19.2" customHeight="1" x14ac:dyDescent="0.3">
      <c r="A657" t="s">
        <v>4629</v>
      </c>
      <c r="B657" s="4" t="s">
        <v>358</v>
      </c>
      <c r="C657" s="4" t="s">
        <v>4630</v>
      </c>
      <c r="D657" s="9" t="s">
        <v>4631</v>
      </c>
      <c r="E657" s="7" t="s">
        <v>4632</v>
      </c>
      <c r="F657">
        <v>1998</v>
      </c>
      <c r="G657">
        <f>IF(OR(Mentors[[#This Row],[Career Start Year]]="NA",ISBLANK(Mentors[[#This Row],[Career Start Year]])),"",2026 - Mentors[[#This Row],[Career Start Year]])</f>
        <v>28</v>
      </c>
      <c r="H65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57" t="s">
        <v>51</v>
      </c>
      <c r="J657" t="s">
        <v>118</v>
      </c>
      <c r="K657" s="7" t="s">
        <v>4633</v>
      </c>
      <c r="L657" s="17" t="s">
        <v>4634</v>
      </c>
      <c r="M657" s="19">
        <v>46065</v>
      </c>
      <c r="N657" t="s">
        <v>4</v>
      </c>
      <c r="Q657" t="s">
        <v>54</v>
      </c>
      <c r="R657" t="s">
        <v>54</v>
      </c>
      <c r="S657" t="s">
        <v>54</v>
      </c>
      <c r="T657" t="s">
        <v>157</v>
      </c>
      <c r="U657" t="s">
        <v>77</v>
      </c>
      <c r="V657" t="s">
        <v>57</v>
      </c>
      <c r="W657" t="s">
        <v>65</v>
      </c>
      <c r="Z657" t="s">
        <v>169</v>
      </c>
      <c r="AA657" t="s">
        <v>170</v>
      </c>
      <c r="AB657">
        <v>1</v>
      </c>
      <c r="AE657" t="s">
        <v>54</v>
      </c>
      <c r="AG657" t="s">
        <v>54</v>
      </c>
      <c r="AH657" t="s">
        <v>131</v>
      </c>
      <c r="AI657" s="4" t="s">
        <v>248</v>
      </c>
      <c r="AN657" s="19">
        <f>IF(ISBLANK(Mentors[[#This Row],[Onboarded Date]]),"",Mentors[[#This Row],[Onboarded Date]]-WEEKDAY(Mentors[[#This Row],[Onboarded Date]],2)+1)</f>
        <v>46062</v>
      </c>
    </row>
    <row r="658" spans="1:40" ht="19.2" customHeight="1" x14ac:dyDescent="0.3">
      <c r="A658" t="s">
        <v>4635</v>
      </c>
      <c r="B658" t="s">
        <v>4636</v>
      </c>
      <c r="C658" t="s">
        <v>4637</v>
      </c>
      <c r="D658" s="9" t="s">
        <v>4638</v>
      </c>
      <c r="E658" s="7" t="s">
        <v>4639</v>
      </c>
      <c r="F658">
        <v>2010</v>
      </c>
      <c r="G658">
        <f>IF(OR(Mentors[[#This Row],[Career Start Year]]="NA",ISBLANK(Mentors[[#This Row],[Career Start Year]])),"",2026 - Mentors[[#This Row],[Career Start Year]])</f>
        <v>16</v>
      </c>
      <c r="H65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58" t="s">
        <v>51</v>
      </c>
      <c r="J658" t="s">
        <v>314</v>
      </c>
      <c r="K658" s="7" t="s">
        <v>4640</v>
      </c>
      <c r="L658" s="17">
        <v>9952069659</v>
      </c>
      <c r="M658" s="19">
        <v>46071</v>
      </c>
      <c r="N658" t="s">
        <v>4608</v>
      </c>
      <c r="Q658" t="s">
        <v>54</v>
      </c>
      <c r="R658" t="s">
        <v>54</v>
      </c>
      <c r="S658" t="s">
        <v>54</v>
      </c>
      <c r="T658" t="s">
        <v>756</v>
      </c>
      <c r="U658" t="s">
        <v>65</v>
      </c>
      <c r="V658" t="s">
        <v>58</v>
      </c>
      <c r="W658" s="4" t="s">
        <v>58</v>
      </c>
      <c r="Z658" t="s">
        <v>4609</v>
      </c>
      <c r="AA658" t="s">
        <v>62</v>
      </c>
      <c r="AB658">
        <v>1</v>
      </c>
      <c r="AD658" t="s">
        <v>63</v>
      </c>
      <c r="AE658" t="s">
        <v>54</v>
      </c>
      <c r="AG658" t="s">
        <v>54</v>
      </c>
      <c r="AN658" s="19">
        <f>IF(ISBLANK(Mentors[[#This Row],[Onboarded Date]]),"",Mentors[[#This Row],[Onboarded Date]]-WEEKDAY(Mentors[[#This Row],[Onboarded Date]],2)+1)</f>
        <v>46069</v>
      </c>
    </row>
    <row r="659" spans="1:40" ht="19.2" customHeight="1" x14ac:dyDescent="0.3">
      <c r="A659" t="s">
        <v>4641</v>
      </c>
      <c r="B659" s="24" t="s">
        <v>4642</v>
      </c>
      <c r="C659" t="s">
        <v>4643</v>
      </c>
      <c r="D659" s="9" t="s">
        <v>4644</v>
      </c>
      <c r="E659" s="7" t="s">
        <v>4645</v>
      </c>
      <c r="F659">
        <v>2013</v>
      </c>
      <c r="G659">
        <f>IF(OR(Mentors[[#This Row],[Career Start Year]]="NA",ISBLANK(Mentors[[#This Row],[Career Start Year]])),"",2026 - Mentors[[#This Row],[Career Start Year]])</f>
        <v>13</v>
      </c>
      <c r="H65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659" t="s">
        <v>51</v>
      </c>
      <c r="J659" t="s">
        <v>1039</v>
      </c>
      <c r="K659" s="7" t="s">
        <v>4646</v>
      </c>
      <c r="L659" s="17">
        <v>9561131654</v>
      </c>
      <c r="M659" s="19">
        <v>46074</v>
      </c>
      <c r="N659" t="s">
        <v>2</v>
      </c>
      <c r="Q659" t="s">
        <v>54</v>
      </c>
      <c r="R659" t="s">
        <v>54</v>
      </c>
      <c r="S659" t="s">
        <v>54</v>
      </c>
      <c r="T659" t="s">
        <v>756</v>
      </c>
      <c r="U659" t="s">
        <v>65</v>
      </c>
      <c r="V659" t="s">
        <v>421</v>
      </c>
      <c r="W659" t="s">
        <v>79</v>
      </c>
      <c r="Z659" t="s">
        <v>4609</v>
      </c>
      <c r="AA659" t="s">
        <v>62</v>
      </c>
      <c r="AB659">
        <v>1</v>
      </c>
      <c r="AD659" t="s">
        <v>63</v>
      </c>
      <c r="AN659" s="19">
        <f>IF(ISBLANK(Mentors[[#This Row],[Onboarded Date]]),"",Mentors[[#This Row],[Onboarded Date]]-WEEKDAY(Mentors[[#This Row],[Onboarded Date]],2)+1)</f>
        <v>46069</v>
      </c>
    </row>
    <row r="660" spans="1:40" ht="19.2" customHeight="1" x14ac:dyDescent="0.3">
      <c r="A660" t="s">
        <v>4647</v>
      </c>
      <c r="B660" s="9" t="s">
        <v>4648</v>
      </c>
      <c r="C660" s="4" t="s">
        <v>4649</v>
      </c>
      <c r="D660" s="9" t="s">
        <v>4650</v>
      </c>
      <c r="E660" s="7" t="s">
        <v>4651</v>
      </c>
      <c r="F660">
        <v>2008</v>
      </c>
      <c r="G660">
        <f>IF(OR(Mentors[[#This Row],[Career Start Year]]="NA",ISBLANK(Mentors[[#This Row],[Career Start Year]])),"",2026 - Mentors[[#This Row],[Career Start Year]])</f>
        <v>18</v>
      </c>
      <c r="H66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60" t="s">
        <v>51</v>
      </c>
      <c r="J660" t="s">
        <v>4652</v>
      </c>
      <c r="K660" s="7" t="s">
        <v>4653</v>
      </c>
      <c r="L660" s="17">
        <v>8805659898</v>
      </c>
      <c r="M660" s="19">
        <v>46076</v>
      </c>
      <c r="N660" t="s">
        <v>2</v>
      </c>
      <c r="Q660" t="s">
        <v>54</v>
      </c>
      <c r="R660" t="s">
        <v>54</v>
      </c>
      <c r="S660" t="s">
        <v>54</v>
      </c>
      <c r="T660" t="s">
        <v>1103</v>
      </c>
      <c r="U660" t="s">
        <v>411</v>
      </c>
      <c r="V660" t="s">
        <v>421</v>
      </c>
      <c r="W660" t="s">
        <v>65</v>
      </c>
      <c r="Z660" t="s">
        <v>4609</v>
      </c>
      <c r="AA660" t="s">
        <v>62</v>
      </c>
      <c r="AB660">
        <v>1</v>
      </c>
      <c r="AD660" t="s">
        <v>63</v>
      </c>
      <c r="AN660" s="19">
        <f>IF(ISBLANK(Mentors[[#This Row],[Onboarded Date]]),"",Mentors[[#This Row],[Onboarded Date]]-WEEKDAY(Mentors[[#This Row],[Onboarded Date]],2)+1)</f>
        <v>46076</v>
      </c>
    </row>
    <row r="661" spans="1:40" ht="19.2" customHeight="1" x14ac:dyDescent="0.3">
      <c r="A661" t="s">
        <v>4654</v>
      </c>
      <c r="B661" s="24" t="s">
        <v>4655</v>
      </c>
      <c r="C661" t="s">
        <v>4656</v>
      </c>
      <c r="D661" s="9" t="s">
        <v>4657</v>
      </c>
      <c r="E661" s="7" t="s">
        <v>4658</v>
      </c>
      <c r="F661">
        <v>2005</v>
      </c>
      <c r="G661">
        <f>IF(OR(Mentors[[#This Row],[Career Start Year]]="NA",ISBLANK(Mentors[[#This Row],[Career Start Year]])),"",2026 - Mentors[[#This Row],[Career Start Year]])</f>
        <v>21</v>
      </c>
      <c r="H66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61" t="s">
        <v>51</v>
      </c>
      <c r="K661" s="7" t="s">
        <v>4659</v>
      </c>
      <c r="L661" s="17">
        <v>9663048116</v>
      </c>
      <c r="M661" s="19">
        <v>46083</v>
      </c>
      <c r="N661" t="s">
        <v>2</v>
      </c>
      <c r="Q661" t="s">
        <v>54</v>
      </c>
      <c r="R661" t="s">
        <v>54</v>
      </c>
      <c r="S661" t="s">
        <v>54</v>
      </c>
      <c r="T661" t="s">
        <v>411</v>
      </c>
      <c r="U661" t="s">
        <v>65</v>
      </c>
      <c r="V661" t="s">
        <v>198</v>
      </c>
      <c r="W661" t="s">
        <v>79</v>
      </c>
      <c r="Z661" t="s">
        <v>4609</v>
      </c>
      <c r="AA661" t="s">
        <v>62</v>
      </c>
      <c r="AB661">
        <v>1</v>
      </c>
      <c r="AD661" t="s">
        <v>63</v>
      </c>
      <c r="AE661" t="s">
        <v>54</v>
      </c>
      <c r="AG661" t="s">
        <v>54</v>
      </c>
      <c r="AH661" t="s">
        <v>131</v>
      </c>
      <c r="AJ661" t="s">
        <v>54</v>
      </c>
      <c r="AN661" s="19">
        <f>IF(ISBLANK(Mentors[[#This Row],[Onboarded Date]]),"",Mentors[[#This Row],[Onboarded Date]]-WEEKDAY(Mentors[[#This Row],[Onboarded Date]],2)+1)</f>
        <v>46083</v>
      </c>
    </row>
    <row r="662" spans="1:40" ht="19.2" customHeight="1" x14ac:dyDescent="0.3">
      <c r="A662" t="s">
        <v>4660</v>
      </c>
      <c r="B662" s="9" t="s">
        <v>4661</v>
      </c>
      <c r="C662" s="15" t="s">
        <v>4662</v>
      </c>
      <c r="D662" s="9" t="s">
        <v>4663</v>
      </c>
      <c r="E662" s="7" t="s">
        <v>4664</v>
      </c>
      <c r="F662">
        <v>2004</v>
      </c>
      <c r="G662">
        <f>IF(OR(Mentors[[#This Row],[Career Start Year]]="NA",ISBLANK(Mentors[[#This Row],[Career Start Year]])),"",2026 - Mentors[[#This Row],[Career Start Year]])</f>
        <v>22</v>
      </c>
      <c r="H66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62" s="4" t="s">
        <v>4665</v>
      </c>
      <c r="J662" t="s">
        <v>4666</v>
      </c>
      <c r="K662" s="7" t="s">
        <v>4667</v>
      </c>
      <c r="L662" s="18" t="s">
        <v>4668</v>
      </c>
      <c r="M662" s="19">
        <v>46013</v>
      </c>
      <c r="N662" t="s">
        <v>10</v>
      </c>
      <c r="Q662" t="s">
        <v>54</v>
      </c>
      <c r="R662" t="s">
        <v>54</v>
      </c>
      <c r="S662" t="s">
        <v>54</v>
      </c>
      <c r="T662" s="4" t="s">
        <v>90</v>
      </c>
      <c r="U662" t="s">
        <v>99</v>
      </c>
      <c r="V662" t="s">
        <v>78</v>
      </c>
      <c r="W662" t="s">
        <v>57</v>
      </c>
      <c r="Z662" t="s">
        <v>169</v>
      </c>
      <c r="AA662" t="s">
        <v>170</v>
      </c>
      <c r="AB662">
        <v>1</v>
      </c>
      <c r="AD662" t="s">
        <v>54</v>
      </c>
      <c r="AE662" t="s">
        <v>54</v>
      </c>
      <c r="AG662" t="s">
        <v>63</v>
      </c>
      <c r="AH662" t="s">
        <v>131</v>
      </c>
      <c r="AI662" s="4" t="s">
        <v>248</v>
      </c>
      <c r="AJ662" t="s">
        <v>54</v>
      </c>
      <c r="AN662" s="19">
        <f>IF(ISBLANK(Mentors[[#This Row],[Onboarded Date]]),"",Mentors[[#This Row],[Onboarded Date]]-WEEKDAY(Mentors[[#This Row],[Onboarded Date]],2)+1)</f>
        <v>46013</v>
      </c>
    </row>
    <row r="663" spans="1:40" ht="19.2" customHeight="1" x14ac:dyDescent="0.3">
      <c r="A663" t="s">
        <v>4669</v>
      </c>
      <c r="B663" t="s">
        <v>94</v>
      </c>
      <c r="C663" t="s">
        <v>4670</v>
      </c>
      <c r="D663" s="9" t="s">
        <v>4671</v>
      </c>
      <c r="E663" s="7" t="s">
        <v>4672</v>
      </c>
      <c r="F663">
        <v>1990</v>
      </c>
      <c r="G663" s="17">
        <f>IF(OR(Mentors[[#This Row],[Career Start Year]]="NA",ISBLANK(Mentors[[#This Row],[Career Start Year]])),"",2026 - Mentors[[#This Row],[Career Start Year]])</f>
        <v>36</v>
      </c>
      <c r="H66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63" t="s">
        <v>51</v>
      </c>
      <c r="J663" t="s">
        <v>297</v>
      </c>
      <c r="K663" s="7" t="s">
        <v>4673</v>
      </c>
      <c r="L663" s="17">
        <v>9873938039</v>
      </c>
      <c r="M663" s="19">
        <v>46083</v>
      </c>
      <c r="N663" t="s">
        <v>8</v>
      </c>
      <c r="Q663" t="s">
        <v>63</v>
      </c>
      <c r="R663" t="s">
        <v>63</v>
      </c>
      <c r="S663" t="s">
        <v>63</v>
      </c>
      <c r="T663" t="s">
        <v>99</v>
      </c>
      <c r="U663" t="s">
        <v>157</v>
      </c>
      <c r="V663" t="s">
        <v>613</v>
      </c>
      <c r="W663" t="s">
        <v>306</v>
      </c>
      <c r="Z663" t="s">
        <v>81</v>
      </c>
      <c r="AA663" t="s">
        <v>170</v>
      </c>
      <c r="AB663" s="20">
        <v>4</v>
      </c>
      <c r="AC663" t="s">
        <v>1395</v>
      </c>
      <c r="AD663" t="s">
        <v>63</v>
      </c>
      <c r="AE663" t="s">
        <v>63</v>
      </c>
      <c r="AG663" t="s">
        <v>54</v>
      </c>
      <c r="AH663" t="s">
        <v>152</v>
      </c>
      <c r="AN663" s="19">
        <f>IF(ISBLANK(Mentors[[#This Row],[Onboarded Date]]),"",Mentors[[#This Row],[Onboarded Date]]-WEEKDAY(Mentors[[#This Row],[Onboarded Date]],2)+1)</f>
        <v>46083</v>
      </c>
    </row>
    <row r="664" spans="1:40" ht="19.2" customHeight="1" x14ac:dyDescent="0.3">
      <c r="A664" t="s">
        <v>4674</v>
      </c>
      <c r="B664" s="4" t="s">
        <v>260</v>
      </c>
      <c r="C664" t="s">
        <v>4675</v>
      </c>
      <c r="D664" s="9" t="s">
        <v>4676</v>
      </c>
      <c r="E664" s="7" t="s">
        <v>4677</v>
      </c>
      <c r="F664">
        <v>1990</v>
      </c>
      <c r="G664">
        <f>IF(OR(Mentors[[#This Row],[Career Start Year]]="NA",ISBLANK(Mentors[[#This Row],[Career Start Year]])),"",2026 - Mentors[[#This Row],[Career Start Year]])</f>
        <v>36</v>
      </c>
      <c r="H66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64" t="s">
        <v>51</v>
      </c>
      <c r="J664" t="s">
        <v>1039</v>
      </c>
      <c r="K664" s="7" t="s">
        <v>4678</v>
      </c>
      <c r="L664" s="17" t="s">
        <v>4679</v>
      </c>
      <c r="M664" s="19">
        <v>46084</v>
      </c>
      <c r="N664" t="s">
        <v>10</v>
      </c>
      <c r="Q664" t="s">
        <v>54</v>
      </c>
      <c r="R664" t="s">
        <v>63</v>
      </c>
      <c r="S664" t="s">
        <v>63</v>
      </c>
      <c r="T664" t="s">
        <v>166</v>
      </c>
      <c r="U664" t="s">
        <v>77</v>
      </c>
      <c r="V664" t="s">
        <v>57</v>
      </c>
      <c r="W664" t="s">
        <v>78</v>
      </c>
      <c r="Z664" t="s">
        <v>169</v>
      </c>
      <c r="AA664" t="s">
        <v>170</v>
      </c>
      <c r="AB664">
        <v>1</v>
      </c>
      <c r="AE664" t="s">
        <v>63</v>
      </c>
      <c r="AG664" t="s">
        <v>63</v>
      </c>
      <c r="AH664" t="s">
        <v>131</v>
      </c>
      <c r="AI664" t="s">
        <v>248</v>
      </c>
      <c r="AJ664" t="s">
        <v>54</v>
      </c>
      <c r="AN664" s="19">
        <f>IF(ISBLANK(Mentors[[#This Row],[Onboarded Date]]),"",Mentors[[#This Row],[Onboarded Date]]-WEEKDAY(Mentors[[#This Row],[Onboarded Date]],2)+1)</f>
        <v>46083</v>
      </c>
    </row>
    <row r="665" spans="1:40" ht="19.2" customHeight="1" x14ac:dyDescent="0.3">
      <c r="A665" t="s">
        <v>4680</v>
      </c>
      <c r="B665" t="s">
        <v>94</v>
      </c>
      <c r="C665" t="s">
        <v>4681</v>
      </c>
      <c r="D665" s="9" t="s">
        <v>4682</v>
      </c>
      <c r="E665" s="7" t="s">
        <v>4683</v>
      </c>
      <c r="F665">
        <v>2008</v>
      </c>
      <c r="G665">
        <f>IF(OR(Mentors[[#This Row],[Career Start Year]]="NA",ISBLANK(Mentors[[#This Row],[Career Start Year]])),"",2026 - Mentors[[#This Row],[Career Start Year]])</f>
        <v>18</v>
      </c>
      <c r="H66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65" t="s">
        <v>51</v>
      </c>
      <c r="J665" t="s">
        <v>4684</v>
      </c>
      <c r="K665" s="7" t="s">
        <v>4685</v>
      </c>
      <c r="L665" s="17" t="s">
        <v>4686</v>
      </c>
      <c r="M665" s="19">
        <v>46091</v>
      </c>
      <c r="N665" t="s">
        <v>8</v>
      </c>
      <c r="Q665" t="s">
        <v>54</v>
      </c>
      <c r="R665" t="s">
        <v>54</v>
      </c>
      <c r="S665" t="s">
        <v>54</v>
      </c>
      <c r="T665" t="s">
        <v>411</v>
      </c>
      <c r="U665" t="s">
        <v>157</v>
      </c>
      <c r="V665" t="s">
        <v>188</v>
      </c>
      <c r="W665" t="s">
        <v>79</v>
      </c>
      <c r="Z665" t="s">
        <v>4609</v>
      </c>
      <c r="AA665" t="s">
        <v>62</v>
      </c>
      <c r="AB665">
        <v>1</v>
      </c>
      <c r="AD665" t="s">
        <v>63</v>
      </c>
      <c r="AE665" t="s">
        <v>54</v>
      </c>
      <c r="AH665" t="s">
        <v>131</v>
      </c>
      <c r="AJ665" t="s">
        <v>54</v>
      </c>
      <c r="AN665" s="19">
        <f>IF(ISBLANK(Mentors[[#This Row],[Onboarded Date]]),"",Mentors[[#This Row],[Onboarded Date]]-WEEKDAY(Mentors[[#This Row],[Onboarded Date]],2)+1)</f>
        <v>46090</v>
      </c>
    </row>
    <row r="666" spans="1:40" ht="19.2" customHeight="1" x14ac:dyDescent="0.3">
      <c r="A666" t="s">
        <v>4687</v>
      </c>
      <c r="B666" t="s">
        <v>4688</v>
      </c>
      <c r="C666" t="s">
        <v>4689</v>
      </c>
      <c r="D666" s="9" t="s">
        <v>4690</v>
      </c>
      <c r="E666" s="7" t="s">
        <v>4691</v>
      </c>
      <c r="F666">
        <v>2003</v>
      </c>
      <c r="G666">
        <f>IF(OR(Mentors[[#This Row],[Career Start Year]]="NA",ISBLANK(Mentors[[#This Row],[Career Start Year]])),"",2026 - Mentors[[#This Row],[Career Start Year]])</f>
        <v>23</v>
      </c>
      <c r="H66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66" t="s">
        <v>51</v>
      </c>
      <c r="J666" t="s">
        <v>88</v>
      </c>
      <c r="K666" s="7" t="s">
        <v>4692</v>
      </c>
      <c r="L666" s="17">
        <v>6301097212</v>
      </c>
      <c r="M666" s="19">
        <v>46093</v>
      </c>
      <c r="N666" t="s">
        <v>2</v>
      </c>
      <c r="Q666" t="s">
        <v>54</v>
      </c>
      <c r="R666" t="s">
        <v>54</v>
      </c>
      <c r="S666" t="s">
        <v>54</v>
      </c>
      <c r="T666" t="s">
        <v>1405</v>
      </c>
      <c r="U666" t="s">
        <v>65</v>
      </c>
      <c r="V666" t="s">
        <v>481</v>
      </c>
      <c r="W666" t="s">
        <v>65</v>
      </c>
      <c r="Z666" t="s">
        <v>4609</v>
      </c>
      <c r="AA666" t="s">
        <v>62</v>
      </c>
      <c r="AB666">
        <v>2</v>
      </c>
      <c r="AD666" t="s">
        <v>63</v>
      </c>
      <c r="AE666" t="s">
        <v>54</v>
      </c>
      <c r="AG666" t="s">
        <v>54</v>
      </c>
      <c r="AH666" t="s">
        <v>131</v>
      </c>
      <c r="AJ666" t="s">
        <v>54</v>
      </c>
      <c r="AN666" s="19">
        <f>IF(ISBLANK(Mentors[[#This Row],[Onboarded Date]]),"",Mentors[[#This Row],[Onboarded Date]]-WEEKDAY(Mentors[[#This Row],[Onboarded Date]],2)+1)</f>
        <v>46090</v>
      </c>
    </row>
    <row r="667" spans="1:40" ht="19.2" customHeight="1" x14ac:dyDescent="0.3">
      <c r="A667" t="s">
        <v>4693</v>
      </c>
      <c r="B667" t="s">
        <v>4694</v>
      </c>
      <c r="C667" t="s">
        <v>4695</v>
      </c>
      <c r="D667" s="9" t="s">
        <v>4696</v>
      </c>
      <c r="E667" s="7" t="s">
        <v>4697</v>
      </c>
      <c r="F667">
        <v>2008</v>
      </c>
      <c r="G667">
        <f>IF(OR(Mentors[[#This Row],[Career Start Year]]="NA",ISBLANK(Mentors[[#This Row],[Career Start Year]])),"",2026 - Mentors[[#This Row],[Career Start Year]])</f>
        <v>18</v>
      </c>
      <c r="H66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67" t="s">
        <v>51</v>
      </c>
      <c r="K667" s="7" t="s">
        <v>4698</v>
      </c>
      <c r="L667" s="17">
        <v>9599957733</v>
      </c>
      <c r="M667" s="19">
        <v>46094</v>
      </c>
      <c r="N667" t="s">
        <v>2</v>
      </c>
      <c r="Q667" t="s">
        <v>54</v>
      </c>
      <c r="R667" t="s">
        <v>54</v>
      </c>
      <c r="S667" t="s">
        <v>54</v>
      </c>
      <c r="T667" t="s">
        <v>157</v>
      </c>
      <c r="U667" t="s">
        <v>77</v>
      </c>
      <c r="V667" t="s">
        <v>120</v>
      </c>
      <c r="W667" t="s">
        <v>481</v>
      </c>
      <c r="Z667" t="s">
        <v>4609</v>
      </c>
      <c r="AA667" t="s">
        <v>62</v>
      </c>
      <c r="AB667">
        <v>3</v>
      </c>
      <c r="AD667" t="s">
        <v>54</v>
      </c>
      <c r="AE667" t="s">
        <v>54</v>
      </c>
      <c r="AG667" t="s">
        <v>54</v>
      </c>
      <c r="AH667" t="s">
        <v>131</v>
      </c>
      <c r="AN667" s="19">
        <f>IF(ISBLANK(Mentors[[#This Row],[Onboarded Date]]),"",Mentors[[#This Row],[Onboarded Date]]-WEEKDAY(Mentors[[#This Row],[Onboarded Date]],2)+1)</f>
        <v>46090</v>
      </c>
    </row>
    <row r="668" spans="1:40" ht="19.2" customHeight="1" x14ac:dyDescent="0.3">
      <c r="A668" t="s">
        <v>4699</v>
      </c>
      <c r="B668" s="4" t="s">
        <v>4700</v>
      </c>
      <c r="C668" t="s">
        <v>4701</v>
      </c>
      <c r="D668" s="9" t="s">
        <v>4702</v>
      </c>
      <c r="E668" s="7" t="s">
        <v>4703</v>
      </c>
      <c r="F668">
        <v>2008</v>
      </c>
      <c r="G668">
        <f>IF(OR(Mentors[[#This Row],[Career Start Year]]="NA",ISBLANK(Mentors[[#This Row],[Career Start Year]])),"",2026 - Mentors[[#This Row],[Career Start Year]])</f>
        <v>18</v>
      </c>
      <c r="H66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68" t="s">
        <v>51</v>
      </c>
      <c r="J668" t="s">
        <v>314</v>
      </c>
      <c r="K668" s="7" t="s">
        <v>4704</v>
      </c>
      <c r="L668" s="17">
        <v>9994916687</v>
      </c>
      <c r="M668" s="19">
        <v>46100</v>
      </c>
      <c r="N668" t="s">
        <v>2</v>
      </c>
      <c r="Q668" t="s">
        <v>54</v>
      </c>
      <c r="R668" t="s">
        <v>54</v>
      </c>
      <c r="S668" t="s">
        <v>54</v>
      </c>
      <c r="T668" t="s">
        <v>1143</v>
      </c>
      <c r="U668" t="s">
        <v>157</v>
      </c>
      <c r="V668" t="s">
        <v>58</v>
      </c>
      <c r="W668" t="s">
        <v>79</v>
      </c>
      <c r="Z668" t="s">
        <v>4609</v>
      </c>
      <c r="AA668" t="s">
        <v>62</v>
      </c>
      <c r="AB668">
        <v>3</v>
      </c>
      <c r="AD668" t="s">
        <v>63</v>
      </c>
      <c r="AE668" t="s">
        <v>54</v>
      </c>
      <c r="AG668" t="s">
        <v>54</v>
      </c>
      <c r="AH668" t="s">
        <v>131</v>
      </c>
      <c r="AJ668" t="s">
        <v>54</v>
      </c>
      <c r="AN668" s="19">
        <f>IF(ISBLANK(Mentors[[#This Row],[Onboarded Date]]),"",Mentors[[#This Row],[Onboarded Date]]-WEEKDAY(Mentors[[#This Row],[Onboarded Date]],2)+1)</f>
        <v>46097</v>
      </c>
    </row>
    <row r="669" spans="1:40" ht="19.2" customHeight="1" x14ac:dyDescent="0.3">
      <c r="A669" t="s">
        <v>4705</v>
      </c>
      <c r="B669" s="4" t="s">
        <v>4706</v>
      </c>
      <c r="C669" t="s">
        <v>4496</v>
      </c>
      <c r="D669" s="9" t="s">
        <v>4707</v>
      </c>
      <c r="E669" s="7" t="s">
        <v>4708</v>
      </c>
      <c r="F669">
        <v>1993</v>
      </c>
      <c r="G669">
        <f>IF(OR(Mentors[[#This Row],[Career Start Year]]="NA",ISBLANK(Mentors[[#This Row],[Career Start Year]])),"",2026 - Mentors[[#This Row],[Career Start Year]])</f>
        <v>33</v>
      </c>
      <c r="H66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69" t="s">
        <v>51</v>
      </c>
      <c r="J669" t="s">
        <v>4652</v>
      </c>
      <c r="K669" s="7" t="s">
        <v>4709</v>
      </c>
      <c r="L669" s="18" t="s">
        <v>4710</v>
      </c>
      <c r="M669" s="19">
        <v>46104</v>
      </c>
      <c r="N669" t="s">
        <v>2</v>
      </c>
      <c r="Q669" t="s">
        <v>54</v>
      </c>
      <c r="R669" t="s">
        <v>54</v>
      </c>
      <c r="S669" t="s">
        <v>54</v>
      </c>
      <c r="T669" t="s">
        <v>1103</v>
      </c>
      <c r="U669" t="s">
        <v>445</v>
      </c>
      <c r="V669" t="s">
        <v>421</v>
      </c>
      <c r="W669" t="s">
        <v>65</v>
      </c>
      <c r="Z669" t="s">
        <v>4609</v>
      </c>
      <c r="AA669" t="s">
        <v>62</v>
      </c>
      <c r="AB669">
        <v>2</v>
      </c>
      <c r="AD669" t="s">
        <v>63</v>
      </c>
      <c r="AE669" t="s">
        <v>54</v>
      </c>
      <c r="AG669" t="s">
        <v>54</v>
      </c>
      <c r="AH669" t="s">
        <v>215</v>
      </c>
      <c r="AJ669" t="s">
        <v>54</v>
      </c>
      <c r="AN669" s="19">
        <f>IF(ISBLANK(Mentors[[#This Row],[Onboarded Date]]),"",Mentors[[#This Row],[Onboarded Date]]-WEEKDAY(Mentors[[#This Row],[Onboarded Date]],2)+1)</f>
        <v>46104</v>
      </c>
    </row>
    <row r="670" spans="1:40" ht="19.2" customHeight="1" x14ac:dyDescent="0.3">
      <c r="A670" t="s">
        <v>4711</v>
      </c>
      <c r="B670" t="s">
        <v>94</v>
      </c>
      <c r="C670" t="s">
        <v>4712</v>
      </c>
      <c r="D670" s="9" t="s">
        <v>4713</v>
      </c>
      <c r="E670" s="7" t="s">
        <v>4714</v>
      </c>
      <c r="F670">
        <v>1994</v>
      </c>
      <c r="G670">
        <f>IF(OR(Mentors[[#This Row],[Career Start Year]]="NA",ISBLANK(Mentors[[#This Row],[Career Start Year]])),"",2026 - Mentors[[#This Row],[Career Start Year]])</f>
        <v>32</v>
      </c>
      <c r="H67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70" t="s">
        <v>1071</v>
      </c>
      <c r="J670" t="s">
        <v>297</v>
      </c>
      <c r="K670" s="7" t="s">
        <v>4715</v>
      </c>
      <c r="L670" s="17">
        <v>8595779817</v>
      </c>
      <c r="M670" s="19">
        <v>46105</v>
      </c>
      <c r="N670" t="s">
        <v>4</v>
      </c>
      <c r="Q670" t="s">
        <v>54</v>
      </c>
      <c r="R670" t="s">
        <v>54</v>
      </c>
      <c r="S670" t="s">
        <v>54</v>
      </c>
      <c r="T670" t="s">
        <v>76</v>
      </c>
      <c r="U670" t="s">
        <v>1189</v>
      </c>
      <c r="V670" t="s">
        <v>613</v>
      </c>
      <c r="W670" t="s">
        <v>65</v>
      </c>
      <c r="Z670" t="s">
        <v>169</v>
      </c>
      <c r="AA670" t="s">
        <v>62</v>
      </c>
      <c r="AB670">
        <v>3</v>
      </c>
      <c r="AD670" t="s">
        <v>63</v>
      </c>
      <c r="AE670" t="s">
        <v>54</v>
      </c>
      <c r="AG670" t="s">
        <v>54</v>
      </c>
      <c r="AH670" t="s">
        <v>131</v>
      </c>
      <c r="AN670" s="19">
        <f>IF(ISBLANK(Mentors[[#This Row],[Onboarded Date]]),"",Mentors[[#This Row],[Onboarded Date]]-WEEKDAY(Mentors[[#This Row],[Onboarded Date]],2)+1)</f>
        <v>46104</v>
      </c>
    </row>
    <row r="671" spans="1:40" ht="19.2" customHeight="1" x14ac:dyDescent="0.3">
      <c r="A671" t="s">
        <v>4716</v>
      </c>
      <c r="B671" t="s">
        <v>152</v>
      </c>
      <c r="C671" t="s">
        <v>4717</v>
      </c>
      <c r="D671" s="9" t="s">
        <v>4718</v>
      </c>
      <c r="E671" s="7" t="s">
        <v>4719</v>
      </c>
      <c r="F671">
        <v>1989</v>
      </c>
      <c r="G671">
        <f>IF(OR(Mentors[[#This Row],[Career Start Year]]="NA",ISBLANK(Mentors[[#This Row],[Career Start Year]])),"",2026 - Mentors[[#This Row],[Career Start Year]])</f>
        <v>37</v>
      </c>
      <c r="H67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71" t="s">
        <v>1071</v>
      </c>
      <c r="J671" t="s">
        <v>118</v>
      </c>
      <c r="K671" s="7" t="s">
        <v>4720</v>
      </c>
      <c r="L671" s="17">
        <v>9820014999</v>
      </c>
      <c r="M671" s="19">
        <v>46105</v>
      </c>
      <c r="N671" t="s">
        <v>4</v>
      </c>
      <c r="Q671" t="s">
        <v>54</v>
      </c>
      <c r="R671" t="s">
        <v>54</v>
      </c>
      <c r="S671" t="s">
        <v>63</v>
      </c>
      <c r="T671" t="s">
        <v>77</v>
      </c>
      <c r="U671" t="s">
        <v>79</v>
      </c>
      <c r="V671" t="s">
        <v>78</v>
      </c>
      <c r="W671" t="s">
        <v>79</v>
      </c>
      <c r="Z671" t="s">
        <v>169</v>
      </c>
      <c r="AA671" t="s">
        <v>62</v>
      </c>
      <c r="AB671">
        <v>3</v>
      </c>
      <c r="AD671" t="s">
        <v>63</v>
      </c>
      <c r="AE671" t="s">
        <v>63</v>
      </c>
      <c r="AG671" t="s">
        <v>54</v>
      </c>
      <c r="AH671" t="s">
        <v>131</v>
      </c>
      <c r="AN671" s="19">
        <f>IF(ISBLANK(Mentors[[#This Row],[Onboarded Date]]),"",Mentors[[#This Row],[Onboarded Date]]-WEEKDAY(Mentors[[#This Row],[Onboarded Date]],2)+1)</f>
        <v>46104</v>
      </c>
    </row>
    <row r="672" spans="1:40" ht="19.2" customHeight="1" x14ac:dyDescent="0.3">
      <c r="A672" t="s">
        <v>4721</v>
      </c>
      <c r="B672" s="4" t="s">
        <v>4722</v>
      </c>
      <c r="C672" s="4" t="s">
        <v>4723</v>
      </c>
      <c r="D672" s="9" t="s">
        <v>4724</v>
      </c>
      <c r="E672" s="7" t="s">
        <v>4725</v>
      </c>
      <c r="F672">
        <v>2009</v>
      </c>
      <c r="G672">
        <f>IF(OR(Mentors[[#This Row],[Career Start Year]]="NA",ISBLANK(Mentors[[#This Row],[Career Start Year]])),"",2026 - Mentors[[#This Row],[Career Start Year]])</f>
        <v>17</v>
      </c>
      <c r="H67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72" t="s">
        <v>51</v>
      </c>
      <c r="J672" t="s">
        <v>1039</v>
      </c>
      <c r="K672" s="7" t="s">
        <v>4726</v>
      </c>
      <c r="L672" s="17">
        <v>9920833916</v>
      </c>
      <c r="M672" s="19">
        <v>46106</v>
      </c>
      <c r="N672" t="s">
        <v>2</v>
      </c>
      <c r="Q672" t="s">
        <v>54</v>
      </c>
      <c r="R672" t="s">
        <v>54</v>
      </c>
      <c r="S672" t="s">
        <v>54</v>
      </c>
      <c r="T672" t="s">
        <v>55</v>
      </c>
      <c r="U672" t="s">
        <v>65</v>
      </c>
      <c r="V672" t="s">
        <v>421</v>
      </c>
      <c r="W672" t="s">
        <v>65</v>
      </c>
      <c r="Z672" t="s">
        <v>4609</v>
      </c>
      <c r="AA672" t="s">
        <v>62</v>
      </c>
      <c r="AB672">
        <v>3</v>
      </c>
      <c r="AD672" t="s">
        <v>63</v>
      </c>
      <c r="AE672" t="s">
        <v>54</v>
      </c>
      <c r="AG672" t="s">
        <v>54</v>
      </c>
      <c r="AH672" t="s">
        <v>131</v>
      </c>
      <c r="AJ672" t="s">
        <v>54</v>
      </c>
      <c r="AN672" s="19">
        <f>IF(ISBLANK(Mentors[[#This Row],[Onboarded Date]]),"",Mentors[[#This Row],[Onboarded Date]]-WEEKDAY(Mentors[[#This Row],[Onboarded Date]],2)+1)</f>
        <v>46104</v>
      </c>
    </row>
    <row r="673" spans="1:40" ht="19.2" customHeight="1" x14ac:dyDescent="0.3">
      <c r="A673" t="s">
        <v>4727</v>
      </c>
      <c r="B673" s="4" t="s">
        <v>3838</v>
      </c>
      <c r="C673" t="s">
        <v>4728</v>
      </c>
      <c r="D673" s="9" t="s">
        <v>4729</v>
      </c>
      <c r="E673" s="7" t="s">
        <v>4730</v>
      </c>
      <c r="F673">
        <v>2004</v>
      </c>
      <c r="G673">
        <f>IF(OR(Mentors[[#This Row],[Career Start Year]]="NA",ISBLANK(Mentors[[#This Row],[Career Start Year]])),"",2026 - Mentors[[#This Row],[Career Start Year]])</f>
        <v>22</v>
      </c>
      <c r="H67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73" t="s">
        <v>51</v>
      </c>
      <c r="J673" t="s">
        <v>1039</v>
      </c>
      <c r="K673" s="7" t="s">
        <v>4731</v>
      </c>
      <c r="L673" s="17">
        <v>9483171717</v>
      </c>
      <c r="M673" s="19">
        <v>46106</v>
      </c>
      <c r="N673" t="s">
        <v>4</v>
      </c>
      <c r="Q673" t="s">
        <v>54</v>
      </c>
      <c r="R673" t="s">
        <v>63</v>
      </c>
      <c r="S673" t="s">
        <v>63</v>
      </c>
      <c r="T673" t="s">
        <v>77</v>
      </c>
      <c r="U673" t="s">
        <v>65</v>
      </c>
      <c r="V673" t="s">
        <v>58</v>
      </c>
      <c r="W673" t="s">
        <v>65</v>
      </c>
      <c r="Z673" t="s">
        <v>169</v>
      </c>
      <c r="AA673" t="s">
        <v>62</v>
      </c>
      <c r="AB673">
        <v>3</v>
      </c>
      <c r="AD673" t="s">
        <v>63</v>
      </c>
      <c r="AE673" t="s">
        <v>63</v>
      </c>
      <c r="AG673" t="s">
        <v>54</v>
      </c>
      <c r="AH673" t="s">
        <v>131</v>
      </c>
      <c r="AN673" s="19">
        <f>IF(ISBLANK(Mentors[[#This Row],[Onboarded Date]]),"",Mentors[[#This Row],[Onboarded Date]]-WEEKDAY(Mentors[[#This Row],[Onboarded Date]],2)+1)</f>
        <v>46104</v>
      </c>
    </row>
    <row r="674" spans="1:40" ht="19.2" customHeight="1" x14ac:dyDescent="0.3">
      <c r="A674" t="s">
        <v>4732</v>
      </c>
      <c r="B674" t="s">
        <v>260</v>
      </c>
      <c r="C674" t="s">
        <v>4733</v>
      </c>
      <c r="D674" s="9" t="s">
        <v>4734</v>
      </c>
      <c r="E674" s="7" t="s">
        <v>4735</v>
      </c>
      <c r="F674">
        <v>2012</v>
      </c>
      <c r="G674">
        <f>IF(OR(Mentors[[#This Row],[Career Start Year]]="NA",ISBLANK(Mentors[[#This Row],[Career Start Year]])),"",2026 - Mentors[[#This Row],[Career Start Year]])</f>
        <v>14</v>
      </c>
      <c r="H67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674" t="s">
        <v>51</v>
      </c>
      <c r="J674" t="s">
        <v>1007</v>
      </c>
      <c r="K674" s="7" t="s">
        <v>4736</v>
      </c>
      <c r="L674" s="17">
        <v>9952498572</v>
      </c>
      <c r="M674" s="19">
        <v>46111</v>
      </c>
      <c r="N674" t="s">
        <v>2</v>
      </c>
      <c r="Q674" t="s">
        <v>54</v>
      </c>
      <c r="R674" t="s">
        <v>63</v>
      </c>
      <c r="S674" t="s">
        <v>63</v>
      </c>
      <c r="T674" t="s">
        <v>4138</v>
      </c>
      <c r="U674" t="s">
        <v>65</v>
      </c>
      <c r="V674" t="s">
        <v>198</v>
      </c>
      <c r="W674" t="s">
        <v>65</v>
      </c>
      <c r="Z674" t="s">
        <v>4609</v>
      </c>
      <c r="AA674" t="s">
        <v>62</v>
      </c>
      <c r="AB674">
        <v>4</v>
      </c>
      <c r="AD674" t="s">
        <v>63</v>
      </c>
      <c r="AE674" t="s">
        <v>63</v>
      </c>
      <c r="AG674" t="s">
        <v>54</v>
      </c>
      <c r="AH674" t="s">
        <v>94</v>
      </c>
      <c r="AJ674" t="s">
        <v>54</v>
      </c>
      <c r="AN674" s="19">
        <f>IF(ISBLANK(Mentors[[#This Row],[Onboarded Date]]),"",Mentors[[#This Row],[Onboarded Date]]-WEEKDAY(Mentors[[#This Row],[Onboarded Date]],2)+1)</f>
        <v>46111</v>
      </c>
    </row>
    <row r="675" spans="1:40" ht="19.2" customHeight="1" x14ac:dyDescent="0.3">
      <c r="A675" t="s">
        <v>4737</v>
      </c>
      <c r="B675" s="4" t="s">
        <v>94</v>
      </c>
      <c r="C675" s="4" t="s">
        <v>4738</v>
      </c>
      <c r="D675" s="9" t="s">
        <v>4739</v>
      </c>
      <c r="E675" s="7" t="s">
        <v>4740</v>
      </c>
      <c r="F675">
        <v>2010</v>
      </c>
      <c r="G675">
        <f>IF(OR(Mentors[[#This Row],[Career Start Year]]="NA",ISBLANK(Mentors[[#This Row],[Career Start Year]])),"",2026 - Mentors[[#This Row],[Career Start Year]])</f>
        <v>16</v>
      </c>
      <c r="H67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75" t="s">
        <v>51</v>
      </c>
      <c r="J675" t="s">
        <v>4741</v>
      </c>
      <c r="K675" s="7" t="s">
        <v>4742</v>
      </c>
      <c r="L675" s="17">
        <v>9650361224</v>
      </c>
      <c r="M675" s="19">
        <v>46111</v>
      </c>
      <c r="N675" t="s">
        <v>8</v>
      </c>
      <c r="Q675" t="s">
        <v>54</v>
      </c>
      <c r="R675" t="s">
        <v>54</v>
      </c>
      <c r="S675" t="s">
        <v>54</v>
      </c>
      <c r="T675" t="s">
        <v>411</v>
      </c>
      <c r="U675" t="s">
        <v>187</v>
      </c>
      <c r="V675" t="s">
        <v>306</v>
      </c>
      <c r="W675" s="4" t="s">
        <v>421</v>
      </c>
      <c r="Z675" t="s">
        <v>169</v>
      </c>
      <c r="AD675" t="s">
        <v>63</v>
      </c>
      <c r="AE675" t="s">
        <v>54</v>
      </c>
      <c r="AG675" t="s">
        <v>63</v>
      </c>
      <c r="AH675" t="s">
        <v>94</v>
      </c>
      <c r="AJ675" t="s">
        <v>54</v>
      </c>
      <c r="AN675" s="19">
        <f>IF(ISBLANK(Mentors[[#This Row],[Onboarded Date]]),"",Mentors[[#This Row],[Onboarded Date]]-WEEKDAY(Mentors[[#This Row],[Onboarded Date]],2)+1)</f>
        <v>46111</v>
      </c>
    </row>
    <row r="676" spans="1:40" ht="19.2" customHeight="1" x14ac:dyDescent="0.3">
      <c r="A676" t="s">
        <v>4743</v>
      </c>
      <c r="B676" t="s">
        <v>1302</v>
      </c>
      <c r="C676" s="4" t="s">
        <v>4744</v>
      </c>
      <c r="D676" s="9" t="s">
        <v>4745</v>
      </c>
      <c r="E676" s="7" t="s">
        <v>4746</v>
      </c>
      <c r="F676">
        <v>2001</v>
      </c>
      <c r="G676">
        <f>IF(OR(Mentors[[#This Row],[Career Start Year]]="NA",ISBLANK(Mentors[[#This Row],[Career Start Year]])),"",2026 - Mentors[[#This Row],[Career Start Year]])</f>
        <v>25</v>
      </c>
      <c r="H67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76" t="s">
        <v>51</v>
      </c>
      <c r="J676" t="s">
        <v>1039</v>
      </c>
      <c r="K676" s="7" t="s">
        <v>4747</v>
      </c>
      <c r="L676" s="17">
        <v>9845652042</v>
      </c>
      <c r="M676" s="19">
        <v>46112</v>
      </c>
      <c r="N676" t="s">
        <v>2</v>
      </c>
      <c r="Q676" t="s">
        <v>54</v>
      </c>
      <c r="R676" t="s">
        <v>54</v>
      </c>
      <c r="S676" t="s">
        <v>54</v>
      </c>
      <c r="T676" t="s">
        <v>1143</v>
      </c>
      <c r="U676" t="s">
        <v>4138</v>
      </c>
      <c r="V676" t="s">
        <v>198</v>
      </c>
      <c r="W676" t="s">
        <v>57</v>
      </c>
      <c r="Z676" t="s">
        <v>4609</v>
      </c>
      <c r="AA676" t="s">
        <v>62</v>
      </c>
      <c r="AB676">
        <v>4</v>
      </c>
      <c r="AD676" t="s">
        <v>54</v>
      </c>
      <c r="AE676" t="s">
        <v>63</v>
      </c>
      <c r="AG676" t="s">
        <v>54</v>
      </c>
      <c r="AH676" t="s">
        <v>131</v>
      </c>
      <c r="AJ676" t="s">
        <v>54</v>
      </c>
      <c r="AN676" s="19">
        <f>IF(ISBLANK(Mentors[[#This Row],[Onboarded Date]]),"",Mentors[[#This Row],[Onboarded Date]]-WEEKDAY(Mentors[[#This Row],[Onboarded Date]],2)+1)</f>
        <v>46111</v>
      </c>
    </row>
    <row r="677" spans="1:40" ht="19.2" customHeight="1" x14ac:dyDescent="0.3">
      <c r="A677" s="9" t="s">
        <v>4748</v>
      </c>
      <c r="B677" s="4" t="s">
        <v>4749</v>
      </c>
      <c r="C677" t="s">
        <v>4701</v>
      </c>
      <c r="D677" s="9" t="s">
        <v>4750</v>
      </c>
      <c r="E677" s="7" t="s">
        <v>4751</v>
      </c>
      <c r="F677">
        <v>2008</v>
      </c>
      <c r="G677">
        <f>IF(OR(Mentors[[#This Row],[Career Start Year]]="NA",ISBLANK(Mentors[[#This Row],[Career Start Year]])),"",2026 - Mentors[[#This Row],[Career Start Year]])</f>
        <v>18</v>
      </c>
      <c r="H67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77" t="s">
        <v>51</v>
      </c>
      <c r="J677" t="s">
        <v>1007</v>
      </c>
      <c r="K677" s="7" t="s">
        <v>4752</v>
      </c>
      <c r="L677" s="17">
        <v>9786422542</v>
      </c>
      <c r="M677" s="19">
        <v>46113</v>
      </c>
      <c r="N677" t="s">
        <v>2</v>
      </c>
      <c r="Q677" t="s">
        <v>54</v>
      </c>
      <c r="R677" t="s">
        <v>54</v>
      </c>
      <c r="S677" t="s">
        <v>54</v>
      </c>
      <c r="T677" t="s">
        <v>1143</v>
      </c>
      <c r="U677" t="s">
        <v>1189</v>
      </c>
      <c r="V677" t="s">
        <v>58</v>
      </c>
      <c r="W677" t="s">
        <v>57</v>
      </c>
      <c r="Z677" t="s">
        <v>4609</v>
      </c>
      <c r="AA677" t="s">
        <v>62</v>
      </c>
      <c r="AB677">
        <v>4</v>
      </c>
      <c r="AD677" t="s">
        <v>54</v>
      </c>
      <c r="AE677" t="s">
        <v>54</v>
      </c>
      <c r="AG677" t="s">
        <v>54</v>
      </c>
      <c r="AH677" t="s">
        <v>131</v>
      </c>
      <c r="AJ677" t="s">
        <v>54</v>
      </c>
      <c r="AN677" s="19">
        <f>IF(ISBLANK(Mentors[[#This Row],[Onboarded Date]]),"",Mentors[[#This Row],[Onboarded Date]]-WEEKDAY(Mentors[[#This Row],[Onboarded Date]],2)+1)</f>
        <v>46111</v>
      </c>
    </row>
    <row r="678" spans="1:40" ht="19.2" customHeight="1" x14ac:dyDescent="0.3">
      <c r="A678" t="s">
        <v>4753</v>
      </c>
      <c r="B678" t="s">
        <v>4754</v>
      </c>
      <c r="C678" t="s">
        <v>4755</v>
      </c>
      <c r="D678" s="9" t="s">
        <v>4756</v>
      </c>
      <c r="E678" s="7" t="s">
        <v>4757</v>
      </c>
      <c r="F678">
        <v>2000</v>
      </c>
      <c r="G678">
        <f>IF(OR(Mentors[[#This Row],[Career Start Year]]="NA",ISBLANK(Mentors[[#This Row],[Career Start Year]])),"",2026 - Mentors[[#This Row],[Career Start Year]])</f>
        <v>26</v>
      </c>
      <c r="H678"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78" t="s">
        <v>51</v>
      </c>
      <c r="J678" t="s">
        <v>1039</v>
      </c>
      <c r="K678" s="7" t="s">
        <v>4758</v>
      </c>
      <c r="L678" s="17">
        <v>9986251163</v>
      </c>
      <c r="M678" s="19">
        <v>46121</v>
      </c>
      <c r="N678" t="s">
        <v>8</v>
      </c>
      <c r="Q678" t="s">
        <v>54</v>
      </c>
      <c r="R678" t="s">
        <v>54</v>
      </c>
      <c r="S678" t="s">
        <v>63</v>
      </c>
      <c r="T678" t="s">
        <v>756</v>
      </c>
      <c r="U678" t="s">
        <v>157</v>
      </c>
      <c r="V678" t="s">
        <v>198</v>
      </c>
      <c r="W678" t="s">
        <v>57</v>
      </c>
      <c r="Z678" t="s">
        <v>4609</v>
      </c>
      <c r="AA678" t="s">
        <v>62</v>
      </c>
      <c r="AB678">
        <v>2</v>
      </c>
      <c r="AD678" t="s">
        <v>63</v>
      </c>
      <c r="AE678" t="s">
        <v>63</v>
      </c>
      <c r="AG678" t="s">
        <v>54</v>
      </c>
      <c r="AH678" t="s">
        <v>131</v>
      </c>
      <c r="AJ678" t="s">
        <v>54</v>
      </c>
      <c r="AN678" s="19">
        <f>IF(ISBLANK(Mentors[[#This Row],[Onboarded Date]]),"",Mentors[[#This Row],[Onboarded Date]]-WEEKDAY(Mentors[[#This Row],[Onboarded Date]],2)+1)</f>
        <v>46118</v>
      </c>
    </row>
    <row r="679" spans="1:40" ht="19.2" customHeight="1" x14ac:dyDescent="0.3">
      <c r="A679" t="s">
        <v>4759</v>
      </c>
      <c r="B679" t="s">
        <v>94</v>
      </c>
      <c r="C679" t="s">
        <v>4760</v>
      </c>
      <c r="D679" s="9" t="s">
        <v>4761</v>
      </c>
      <c r="E679" s="7" t="s">
        <v>4762</v>
      </c>
      <c r="F679">
        <v>1990</v>
      </c>
      <c r="G679">
        <f>IF(OR(Mentors[[#This Row],[Career Start Year]]="NA",ISBLANK(Mentors[[#This Row],[Career Start Year]])),"",2026 - Mentors[[#This Row],[Career Start Year]])</f>
        <v>36</v>
      </c>
      <c r="H679"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79" t="s">
        <v>51</v>
      </c>
      <c r="J679" t="s">
        <v>88</v>
      </c>
      <c r="K679" s="7" t="s">
        <v>4763</v>
      </c>
      <c r="L679" s="18" t="s">
        <v>4764</v>
      </c>
      <c r="M679" s="19">
        <v>46125</v>
      </c>
      <c r="N679" t="s">
        <v>2</v>
      </c>
      <c r="Q679" t="s">
        <v>54</v>
      </c>
      <c r="R679" t="s">
        <v>54</v>
      </c>
      <c r="S679" t="s">
        <v>54</v>
      </c>
      <c r="T679" t="s">
        <v>157</v>
      </c>
      <c r="U679" t="s">
        <v>76</v>
      </c>
      <c r="V679" t="s">
        <v>613</v>
      </c>
      <c r="W679" t="s">
        <v>256</v>
      </c>
      <c r="Z679" t="s">
        <v>4609</v>
      </c>
      <c r="AA679" t="s">
        <v>62</v>
      </c>
      <c r="AB679">
        <v>2</v>
      </c>
      <c r="AD679" t="s">
        <v>63</v>
      </c>
      <c r="AE679" t="s">
        <v>54</v>
      </c>
      <c r="AG679" t="s">
        <v>54</v>
      </c>
      <c r="AH679" t="s">
        <v>131</v>
      </c>
      <c r="AJ679" t="s">
        <v>54</v>
      </c>
      <c r="AN679" s="19">
        <f>IF(ISBLANK(Mentors[[#This Row],[Onboarded Date]]),"",Mentors[[#This Row],[Onboarded Date]]-WEEKDAY(Mentors[[#This Row],[Onboarded Date]],2)+1)</f>
        <v>46125</v>
      </c>
    </row>
    <row r="680" spans="1:40" ht="19.2" customHeight="1" x14ac:dyDescent="0.3">
      <c r="A680" t="s">
        <v>4765</v>
      </c>
      <c r="B680" s="4" t="s">
        <v>4766</v>
      </c>
      <c r="C680" t="s">
        <v>4767</v>
      </c>
      <c r="D680" s="9" t="s">
        <v>4768</v>
      </c>
      <c r="E680" s="7" t="s">
        <v>4769</v>
      </c>
      <c r="F680">
        <v>1998</v>
      </c>
      <c r="G680">
        <f>IF(OR(Mentors[[#This Row],[Career Start Year]]="NA",ISBLANK(Mentors[[#This Row],[Career Start Year]])),"",2026 - Mentors[[#This Row],[Career Start Year]])</f>
        <v>28</v>
      </c>
      <c r="H680"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80" t="s">
        <v>51</v>
      </c>
      <c r="J680" t="s">
        <v>118</v>
      </c>
      <c r="K680" s="7" t="s">
        <v>4770</v>
      </c>
      <c r="L680" s="17">
        <v>8800311597</v>
      </c>
      <c r="M680" s="19">
        <v>46125</v>
      </c>
      <c r="N680" t="s">
        <v>2</v>
      </c>
      <c r="Q680" t="s">
        <v>54</v>
      </c>
      <c r="R680" t="s">
        <v>54</v>
      </c>
      <c r="S680" t="s">
        <v>54</v>
      </c>
      <c r="T680" s="4" t="s">
        <v>157</v>
      </c>
      <c r="U680" t="s">
        <v>411</v>
      </c>
      <c r="V680" t="s">
        <v>765</v>
      </c>
      <c r="W680" t="s">
        <v>382</v>
      </c>
      <c r="Z680" t="s">
        <v>4609</v>
      </c>
      <c r="AA680" t="s">
        <v>62</v>
      </c>
      <c r="AB680">
        <v>2</v>
      </c>
      <c r="AD680" t="s">
        <v>63</v>
      </c>
      <c r="AE680" t="s">
        <v>54</v>
      </c>
      <c r="AG680" t="s">
        <v>54</v>
      </c>
      <c r="AH680" t="s">
        <v>131</v>
      </c>
      <c r="AJ680" t="s">
        <v>54</v>
      </c>
      <c r="AN680" s="19">
        <f>IF(ISBLANK(Mentors[[#This Row],[Onboarded Date]]),"",Mentors[[#This Row],[Onboarded Date]]-WEEKDAY(Mentors[[#This Row],[Onboarded Date]],2)+1)</f>
        <v>46125</v>
      </c>
    </row>
    <row r="681" spans="1:40" ht="19.2" customHeight="1" x14ac:dyDescent="0.3">
      <c r="A681" t="s">
        <v>4771</v>
      </c>
      <c r="B681" t="s">
        <v>4772</v>
      </c>
      <c r="C681" t="s">
        <v>85</v>
      </c>
      <c r="D681" s="9" t="s">
        <v>4773</v>
      </c>
      <c r="E681" s="7" t="s">
        <v>4774</v>
      </c>
      <c r="F681">
        <v>1995</v>
      </c>
      <c r="G681">
        <f>IF(OR(Mentors[[#This Row],[Career Start Year]]="NA",ISBLANK(Mentors[[#This Row],[Career Start Year]])),"",2026 - Mentors[[#This Row],[Career Start Year]])</f>
        <v>31</v>
      </c>
      <c r="H681"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81" t="s">
        <v>51</v>
      </c>
      <c r="J681" t="s">
        <v>1039</v>
      </c>
      <c r="K681" s="7" t="s">
        <v>4775</v>
      </c>
      <c r="L681" s="17">
        <v>9845019190</v>
      </c>
      <c r="M681" s="19">
        <v>46125</v>
      </c>
      <c r="N681" t="s">
        <v>2</v>
      </c>
      <c r="Q681" t="s">
        <v>54</v>
      </c>
      <c r="R681" t="s">
        <v>54</v>
      </c>
      <c r="S681" t="s">
        <v>54</v>
      </c>
      <c r="T681" t="s">
        <v>4615</v>
      </c>
      <c r="U681" t="s">
        <v>411</v>
      </c>
      <c r="V681" t="s">
        <v>382</v>
      </c>
      <c r="W681" t="s">
        <v>65</v>
      </c>
      <c r="Z681" t="s">
        <v>4609</v>
      </c>
      <c r="AA681" t="s">
        <v>62</v>
      </c>
      <c r="AB681">
        <v>2</v>
      </c>
      <c r="AD681" t="s">
        <v>63</v>
      </c>
      <c r="AE681" t="s">
        <v>54</v>
      </c>
      <c r="AG681" t="s">
        <v>54</v>
      </c>
      <c r="AJ681" t="s">
        <v>54</v>
      </c>
      <c r="AN681" s="19">
        <f>IF(ISBLANK(Mentors[[#This Row],[Onboarded Date]]),"",Mentors[[#This Row],[Onboarded Date]]-WEEKDAY(Mentors[[#This Row],[Onboarded Date]],2)+1)</f>
        <v>46125</v>
      </c>
    </row>
    <row r="682" spans="1:40" ht="19.2" customHeight="1" x14ac:dyDescent="0.3">
      <c r="A682" t="s">
        <v>4776</v>
      </c>
      <c r="B682" s="24" t="s">
        <v>152</v>
      </c>
      <c r="C682" t="s">
        <v>4777</v>
      </c>
      <c r="D682" s="9" t="s">
        <v>4778</v>
      </c>
      <c r="E682" s="7" t="s">
        <v>4779</v>
      </c>
      <c r="F682">
        <v>2003</v>
      </c>
      <c r="G682">
        <f>IF(OR(Mentors[[#This Row],[Career Start Year]]="NA",ISBLANK(Mentors[[#This Row],[Career Start Year]])),"",2026 - Mentors[[#This Row],[Career Start Year]])</f>
        <v>23</v>
      </c>
      <c r="H682"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82" t="s">
        <v>51</v>
      </c>
      <c r="J682" t="s">
        <v>74</v>
      </c>
      <c r="K682" s="7" t="s">
        <v>4780</v>
      </c>
      <c r="L682" s="17">
        <v>9250003250</v>
      </c>
      <c r="M682" s="19">
        <v>46127</v>
      </c>
      <c r="N682" t="s">
        <v>2</v>
      </c>
      <c r="Q682" t="s">
        <v>54</v>
      </c>
      <c r="R682" t="s">
        <v>54</v>
      </c>
      <c r="S682" t="s">
        <v>63</v>
      </c>
      <c r="T682" t="s">
        <v>157</v>
      </c>
      <c r="U682" t="s">
        <v>65</v>
      </c>
      <c r="V682" t="s">
        <v>765</v>
      </c>
      <c r="W682" t="s">
        <v>65</v>
      </c>
      <c r="Z682" t="s">
        <v>4609</v>
      </c>
      <c r="AA682" t="s">
        <v>62</v>
      </c>
      <c r="AB682">
        <v>2</v>
      </c>
      <c r="AD682" t="s">
        <v>63</v>
      </c>
      <c r="AE682" t="s">
        <v>63</v>
      </c>
      <c r="AG682" t="s">
        <v>54</v>
      </c>
      <c r="AH682" t="s">
        <v>131</v>
      </c>
      <c r="AJ682" t="s">
        <v>54</v>
      </c>
      <c r="AN682" s="19">
        <f>IF(ISBLANK(Mentors[[#This Row],[Onboarded Date]]),"",Mentors[[#This Row],[Onboarded Date]]-WEEKDAY(Mentors[[#This Row],[Onboarded Date]],2)+1)</f>
        <v>46125</v>
      </c>
    </row>
    <row r="683" spans="1:40" ht="19.2" customHeight="1" x14ac:dyDescent="0.3">
      <c r="A683" t="s">
        <v>4781</v>
      </c>
      <c r="B683" s="9" t="s">
        <v>4782</v>
      </c>
      <c r="C683" t="s">
        <v>4783</v>
      </c>
      <c r="D683" s="9" t="s">
        <v>4784</v>
      </c>
      <c r="E683" s="7" t="s">
        <v>4785</v>
      </c>
      <c r="F683">
        <v>1994</v>
      </c>
      <c r="G683">
        <f>IF(OR(Mentors[[#This Row],[Career Start Year]]="NA",ISBLANK(Mentors[[#This Row],[Career Start Year]])),"",2026 - Mentors[[#This Row],[Career Start Year]])</f>
        <v>32</v>
      </c>
      <c r="H683"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83" t="s">
        <v>51</v>
      </c>
      <c r="J683" t="s">
        <v>1007</v>
      </c>
      <c r="K683" s="7" t="s">
        <v>4786</v>
      </c>
      <c r="L683" s="17">
        <v>9500134200</v>
      </c>
      <c r="M683" s="19">
        <v>46127</v>
      </c>
      <c r="N683" t="s">
        <v>2</v>
      </c>
      <c r="Q683" t="s">
        <v>54</v>
      </c>
      <c r="R683" t="s">
        <v>63</v>
      </c>
      <c r="S683" t="s">
        <v>63</v>
      </c>
      <c r="T683" t="s">
        <v>1143</v>
      </c>
      <c r="U683" t="s">
        <v>4138</v>
      </c>
      <c r="V683" t="s">
        <v>198</v>
      </c>
      <c r="W683" t="s">
        <v>57</v>
      </c>
      <c r="Z683" t="s">
        <v>4609</v>
      </c>
      <c r="AA683" t="s">
        <v>62</v>
      </c>
      <c r="AB683">
        <v>2</v>
      </c>
      <c r="AD683" t="s">
        <v>63</v>
      </c>
      <c r="AE683" t="s">
        <v>63</v>
      </c>
      <c r="AG683" t="s">
        <v>54</v>
      </c>
      <c r="AH683" t="s">
        <v>131</v>
      </c>
      <c r="AJ683" t="s">
        <v>54</v>
      </c>
      <c r="AN683" s="19">
        <f>IF(ISBLANK(Mentors[[#This Row],[Onboarded Date]]),"",Mentors[[#This Row],[Onboarded Date]]-WEEKDAY(Mentors[[#This Row],[Onboarded Date]],2)+1)</f>
        <v>46125</v>
      </c>
    </row>
    <row r="684" spans="1:40" ht="19.2" customHeight="1" x14ac:dyDescent="0.3">
      <c r="A684" t="s">
        <v>4787</v>
      </c>
      <c r="B684" s="24" t="s">
        <v>1163</v>
      </c>
      <c r="C684" t="s">
        <v>4788</v>
      </c>
      <c r="D684" s="9" t="s">
        <v>4789</v>
      </c>
      <c r="E684" s="7" t="s">
        <v>4790</v>
      </c>
      <c r="F684">
        <v>2008</v>
      </c>
      <c r="G684">
        <f>IF(OR(Mentors[[#This Row],[Career Start Year]]="NA",ISBLANK(Mentors[[#This Row],[Career Start Year]])),"",2026 - Mentors[[#This Row],[Career Start Year]])</f>
        <v>18</v>
      </c>
      <c r="H684"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84" t="s">
        <v>51</v>
      </c>
      <c r="J684" t="s">
        <v>1007</v>
      </c>
      <c r="K684" s="7" t="s">
        <v>4791</v>
      </c>
      <c r="L684" s="17">
        <v>8754053975</v>
      </c>
      <c r="M684" s="19">
        <v>46127</v>
      </c>
      <c r="N684" t="s">
        <v>2</v>
      </c>
      <c r="Q684" t="s">
        <v>54</v>
      </c>
      <c r="R684" t="s">
        <v>54</v>
      </c>
      <c r="S684" t="s">
        <v>63</v>
      </c>
      <c r="T684" t="s">
        <v>77</v>
      </c>
      <c r="U684" t="s">
        <v>65</v>
      </c>
      <c r="V684" t="s">
        <v>382</v>
      </c>
      <c r="W684" t="s">
        <v>65</v>
      </c>
      <c r="Z684" t="s">
        <v>4609</v>
      </c>
      <c r="AA684" t="s">
        <v>62</v>
      </c>
      <c r="AB684">
        <v>3</v>
      </c>
      <c r="AD684" t="s">
        <v>63</v>
      </c>
      <c r="AE684" t="s">
        <v>63</v>
      </c>
      <c r="AG684" t="s">
        <v>54</v>
      </c>
      <c r="AH684" t="s">
        <v>131</v>
      </c>
      <c r="AJ684" t="s">
        <v>54</v>
      </c>
      <c r="AN684" s="19">
        <f>IF(ISBLANK(Mentors[[#This Row],[Onboarded Date]]),"",Mentors[[#This Row],[Onboarded Date]]-WEEKDAY(Mentors[[#This Row],[Onboarded Date]],2)+1)</f>
        <v>46125</v>
      </c>
    </row>
    <row r="685" spans="1:40" ht="19.2" customHeight="1" x14ac:dyDescent="0.3">
      <c r="A685" t="s">
        <v>4792</v>
      </c>
      <c r="B685" s="24" t="s">
        <v>396</v>
      </c>
      <c r="C685" t="s">
        <v>4793</v>
      </c>
      <c r="D685" s="9" t="s">
        <v>4794</v>
      </c>
      <c r="E685" s="7" t="s">
        <v>4795</v>
      </c>
      <c r="F685">
        <v>2008</v>
      </c>
      <c r="G685">
        <f>IF(OR(Mentors[[#This Row],[Career Start Year]]="NA",ISBLANK(Mentors[[#This Row],[Career Start Year]])),"",2026 - Mentors[[#This Row],[Career Start Year]])</f>
        <v>18</v>
      </c>
      <c r="H685"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85" t="s">
        <v>51</v>
      </c>
      <c r="J685" t="s">
        <v>118</v>
      </c>
      <c r="K685" s="7" t="s">
        <v>4796</v>
      </c>
      <c r="L685" s="17">
        <v>9324110429</v>
      </c>
      <c r="M685" s="19">
        <v>46127</v>
      </c>
      <c r="N685" t="s">
        <v>2</v>
      </c>
      <c r="Q685" t="s">
        <v>54</v>
      </c>
      <c r="R685" t="s">
        <v>63</v>
      </c>
      <c r="S685" t="s">
        <v>63</v>
      </c>
      <c r="T685" t="s">
        <v>1151</v>
      </c>
      <c r="U685" t="s">
        <v>1048</v>
      </c>
      <c r="V685" t="s">
        <v>306</v>
      </c>
      <c r="W685" t="s">
        <v>65</v>
      </c>
      <c r="Z685" t="s">
        <v>4609</v>
      </c>
      <c r="AA685" t="s">
        <v>62</v>
      </c>
      <c r="AB685">
        <v>2</v>
      </c>
      <c r="AD685" t="s">
        <v>63</v>
      </c>
      <c r="AE685" t="s">
        <v>63</v>
      </c>
      <c r="AG685" t="s">
        <v>54</v>
      </c>
      <c r="AH685" t="s">
        <v>131</v>
      </c>
      <c r="AJ685" t="s">
        <v>54</v>
      </c>
      <c r="AN685" s="19">
        <f>IF(ISBLANK(Mentors[[#This Row],[Onboarded Date]]),"",Mentors[[#This Row],[Onboarded Date]]-WEEKDAY(Mentors[[#This Row],[Onboarded Date]],2)+1)</f>
        <v>46125</v>
      </c>
    </row>
    <row r="686" spans="1:40" ht="19.2" customHeight="1" x14ac:dyDescent="0.3">
      <c r="A686" t="s">
        <v>4797</v>
      </c>
      <c r="B686" s="24" t="s">
        <v>962</v>
      </c>
      <c r="C686" t="s">
        <v>4798</v>
      </c>
      <c r="D686" s="9" t="s">
        <v>4799</v>
      </c>
      <c r="E686" s="7" t="s">
        <v>4800</v>
      </c>
      <c r="F686">
        <v>2011</v>
      </c>
      <c r="G686">
        <f>IF(OR(Mentors[[#This Row],[Career Start Year]]="NA",ISBLANK(Mentors[[#This Row],[Career Start Year]])),"",2026 - Mentors[[#This Row],[Career Start Year]])</f>
        <v>15</v>
      </c>
      <c r="H68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11-15 Yrs</v>
      </c>
      <c r="I686" t="s">
        <v>51</v>
      </c>
      <c r="J686" t="s">
        <v>88</v>
      </c>
      <c r="K686" s="7" t="s">
        <v>4801</v>
      </c>
      <c r="L686" s="17">
        <v>9550114466</v>
      </c>
      <c r="M686" s="19">
        <v>46127</v>
      </c>
      <c r="N686" t="s">
        <v>2</v>
      </c>
      <c r="Q686" t="s">
        <v>54</v>
      </c>
      <c r="R686" t="s">
        <v>63</v>
      </c>
      <c r="S686" t="s">
        <v>63</v>
      </c>
      <c r="T686" t="s">
        <v>1151</v>
      </c>
      <c r="U686" t="s">
        <v>65</v>
      </c>
      <c r="V686" t="s">
        <v>256</v>
      </c>
      <c r="W686" t="s">
        <v>481</v>
      </c>
      <c r="Z686" t="s">
        <v>4609</v>
      </c>
      <c r="AA686" t="s">
        <v>62</v>
      </c>
      <c r="AB686">
        <v>2</v>
      </c>
      <c r="AD686" t="s">
        <v>63</v>
      </c>
      <c r="AE686" t="s">
        <v>63</v>
      </c>
      <c r="AG686" t="s">
        <v>54</v>
      </c>
      <c r="AH686" t="s">
        <v>131</v>
      </c>
      <c r="AJ686" t="s">
        <v>54</v>
      </c>
      <c r="AN686" s="19">
        <f>IF(ISBLANK(Mentors[[#This Row],[Onboarded Date]]),"",Mentors[[#This Row],[Onboarded Date]]-WEEKDAY(Mentors[[#This Row],[Onboarded Date]],2)+1)</f>
        <v>46125</v>
      </c>
    </row>
    <row r="687" spans="1:40" ht="19.2" customHeight="1" x14ac:dyDescent="0.3">
      <c r="A687" t="s">
        <v>4802</v>
      </c>
      <c r="B687" s="4" t="s">
        <v>4803</v>
      </c>
      <c r="C687" t="s">
        <v>4804</v>
      </c>
      <c r="D687" s="9" t="s">
        <v>4805</v>
      </c>
      <c r="E687" s="7" t="s">
        <v>4806</v>
      </c>
      <c r="F687">
        <v>2001</v>
      </c>
      <c r="G687">
        <f>IF(OR(Mentors[[#This Row],[Career Start Year]]="NA",ISBLANK(Mentors[[#This Row],[Career Start Year]])),"",2026 - Mentors[[#This Row],[Career Start Year]])</f>
        <v>25</v>
      </c>
      <c r="H687"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20+ Yrs</v>
      </c>
      <c r="I687" t="s">
        <v>51</v>
      </c>
      <c r="J687" t="s">
        <v>4807</v>
      </c>
      <c r="K687" s="7" t="s">
        <v>4808</v>
      </c>
      <c r="L687" s="17">
        <v>9898657571</v>
      </c>
      <c r="M687" s="19">
        <v>46128</v>
      </c>
      <c r="N687" t="s">
        <v>10</v>
      </c>
      <c r="O687" t="s">
        <v>0</v>
      </c>
      <c r="Q687" t="s">
        <v>54</v>
      </c>
      <c r="R687" t="s">
        <v>54</v>
      </c>
      <c r="S687" t="s">
        <v>54</v>
      </c>
      <c r="T687" t="s">
        <v>1103</v>
      </c>
      <c r="U687" t="s">
        <v>77</v>
      </c>
      <c r="V687" t="s">
        <v>78</v>
      </c>
      <c r="W687" t="s">
        <v>57</v>
      </c>
      <c r="Z687" t="s">
        <v>4809</v>
      </c>
      <c r="AA687" t="s">
        <v>62</v>
      </c>
      <c r="AB687">
        <v>1</v>
      </c>
      <c r="AD687" t="s">
        <v>63</v>
      </c>
      <c r="AE687" t="s">
        <v>54</v>
      </c>
      <c r="AG687" t="s">
        <v>54</v>
      </c>
      <c r="AH687" t="s">
        <v>131</v>
      </c>
      <c r="AJ687" t="s">
        <v>54</v>
      </c>
      <c r="AN687" s="19">
        <f>IF(ISBLANK(Mentors[[#This Row],[Onboarded Date]]),"",Mentors[[#This Row],[Onboarded Date]]-WEEKDAY(Mentors[[#This Row],[Onboarded Date]],2)+1)</f>
        <v>46125</v>
      </c>
    </row>
    <row r="688" spans="1:40" ht="19.2" customHeight="1" x14ac:dyDescent="0.3">
      <c r="A688" t="s">
        <v>4811</v>
      </c>
      <c r="B688" t="s">
        <v>4812</v>
      </c>
      <c r="C688" t="s">
        <v>4813</v>
      </c>
      <c r="D688" s="4" t="s">
        <v>4810</v>
      </c>
      <c r="E688" s="7" t="s">
        <v>4814</v>
      </c>
      <c r="F688">
        <v>2007</v>
      </c>
      <c r="G688" s="26">
        <f>IF(OR(Mentors[[#This Row],[Career Start Year]]="NA",ISBLANK(Mentors[[#This Row],[Career Start Year]])),"",2026 - Mentors[[#This Row],[Career Start Year]])</f>
        <v>19</v>
      </c>
      <c r="H688" s="26" t="str">
        <f>IF(Mentors[[#This Row],[Years of Experience]]="","",IF(AND(Mentors[[#This Row],[Years of Experience]]&gt;=1,Mentors[[#This Row],[Years of Experience]]&lt;=10),"1-10 Yrs",IF(AND(Mentors[[#This Row],[Years of Experience]]&gt;=11,Mentors[[#This Row],[Years of Experience]]&lt;=15),"11-15 Yrs",IF(AND(Mentors[[#This Row],[Years of Experience]]&gt;=16,Mentors[[#This Row],[Years of Experience]]&lt;=20),"16-20 Yrs",IF(Mentors[[#This Row],[Years of Experience]]&gt;20,"20+ Yrs")))))</f>
        <v>16-20 Yrs</v>
      </c>
      <c r="I688" t="s">
        <v>51</v>
      </c>
      <c r="J688" t="s">
        <v>74</v>
      </c>
      <c r="K688" s="7" t="s">
        <v>4815</v>
      </c>
      <c r="L688" s="17">
        <v>9811423110</v>
      </c>
      <c r="M688" s="19">
        <v>46132</v>
      </c>
      <c r="N688" t="s">
        <v>8</v>
      </c>
      <c r="Q688" t="s">
        <v>54</v>
      </c>
      <c r="R688" t="s">
        <v>54</v>
      </c>
      <c r="S688" t="s">
        <v>54</v>
      </c>
      <c r="T688" t="s">
        <v>4615</v>
      </c>
      <c r="U688" t="s">
        <v>65</v>
      </c>
      <c r="V688" t="s">
        <v>120</v>
      </c>
      <c r="W688" t="s">
        <v>2772</v>
      </c>
      <c r="X688" s="26"/>
      <c r="Y688" s="26"/>
      <c r="Z688" t="s">
        <v>4609</v>
      </c>
      <c r="AA688" t="s">
        <v>62</v>
      </c>
      <c r="AB688">
        <v>3</v>
      </c>
      <c r="AD688" t="s">
        <v>63</v>
      </c>
      <c r="AE688" t="s">
        <v>54</v>
      </c>
      <c r="AG688" t="s">
        <v>54</v>
      </c>
      <c r="AJ688" t="s">
        <v>54</v>
      </c>
      <c r="AK688" s="26"/>
      <c r="AL688" s="26"/>
      <c r="AM688" s="26"/>
      <c r="AN688" s="19">
        <f>IF(ISBLANK(Mentors[[#This Row],[Onboarded Date]]),"",Mentors[[#This Row],[Onboarded Date]]-WEEKDAY(Mentors[[#This Row],[Onboarded Date]],2)+1)</f>
        <v>46132</v>
      </c>
    </row>
  </sheetData>
  <phoneticPr fontId="5" type="noConversion"/>
  <hyperlinks>
    <hyperlink ref="K306" r:id="rId1" xr:uid="{0C2F8351-A197-4FC6-892C-C610E36119BF}"/>
    <hyperlink ref="K329" r:id="rId2" xr:uid="{BF0ED8E0-1DE5-4468-9186-31F4672BD420}"/>
    <hyperlink ref="K181" r:id="rId3" xr:uid="{765F7C26-B98F-42ED-960A-573160CC633B}"/>
    <hyperlink ref="E43" r:id="rId4" xr:uid="{93575AD8-6D28-40D1-82FE-E1727E728BA9}"/>
    <hyperlink ref="K463" r:id="rId5" xr:uid="{30C9BDE1-2149-4432-AFC4-E9D0EEB2BC57}"/>
    <hyperlink ref="E287" r:id="rId6" xr:uid="{8BBB47DD-B056-4528-9F28-09942F6F52B3}"/>
    <hyperlink ref="K504" r:id="rId7" xr:uid="{BE8B707E-EC16-42B4-A9ED-E7B2BD9466DF}"/>
    <hyperlink ref="E353" r:id="rId8" xr:uid="{F782029D-45E1-454F-A7E3-4B4A841D3346}"/>
    <hyperlink ref="K469" r:id="rId9" xr:uid="{79392A88-2A6E-468D-8109-5C6CF3BDE92B}"/>
    <hyperlink ref="E515" r:id="rId10" xr:uid="{27C7A44C-ED70-40FD-9365-A9733E5CF0CB}"/>
    <hyperlink ref="E518" r:id="rId11" xr:uid="{F4B23157-0E5A-4368-8903-3733641D96CF}"/>
    <hyperlink ref="K508" r:id="rId12" xr:uid="{09ECED59-5677-4CEB-8375-FFFBBE8DBA53}"/>
    <hyperlink ref="E657" r:id="rId13" xr:uid="{6B28A425-4FEF-4593-A520-56FCD82959E5}"/>
    <hyperlink ref="K657" r:id="rId14" xr:uid="{86F27102-0625-45DC-BF4A-EA2D674CA4CB}"/>
    <hyperlink ref="E375" r:id="rId15" xr:uid="{491F9286-DBA9-4EFE-A232-905D90E98CC2}"/>
    <hyperlink ref="E314" r:id="rId16" xr:uid="{DE1F81ED-0222-4987-9519-C26ABD523D65}"/>
    <hyperlink ref="K454" r:id="rId17" xr:uid="{7A8B6D95-50B7-4C00-BE31-47AC5FFB042E}"/>
    <hyperlink ref="K182" r:id="rId18" display="amiya_srivastava@hotmail.co.uk" xr:uid="{5AE6C43C-E061-4B0A-850D-D982B5E08F04}"/>
    <hyperlink ref="K162" r:id="rId19" xr:uid="{70FABF87-E039-4DBF-BC7B-EA3052A49D6C}"/>
    <hyperlink ref="E658" r:id="rId20" xr:uid="{9EE3C9DE-82CF-4A0C-AECA-AD0C80074005}"/>
    <hyperlink ref="K658" r:id="rId21" xr:uid="{6AB474D0-3B16-4B2D-A66E-83B03FD248D1}"/>
    <hyperlink ref="E659" r:id="rId22" xr:uid="{D7A2FECC-0D59-424A-8CD2-AB102555B2B9}"/>
    <hyperlink ref="K659" r:id="rId23" xr:uid="{6AE9F06E-57CA-48DD-96B7-C8F1ECC7B028}"/>
    <hyperlink ref="E660" r:id="rId24" xr:uid="{9F85A9DD-5C17-4448-995F-08E4C3D7E1E0}"/>
    <hyperlink ref="K660" r:id="rId25" xr:uid="{B58AE8EF-9161-4294-A80D-620B14941EEF}"/>
    <hyperlink ref="E664" r:id="rId26" xr:uid="{A24A0129-49C4-4DA4-92DC-6CC29A634FF8}"/>
    <hyperlink ref="K664" r:id="rId27" xr:uid="{64163C41-0E46-4EFE-BDC7-705CF23D9C66}"/>
    <hyperlink ref="E652" r:id="rId28" xr:uid="{54A45C23-9D4A-4FEC-81F6-B9D0D7040206}"/>
    <hyperlink ref="K652" r:id="rId29" xr:uid="{A0A8BA6D-4A05-4B81-AB99-06C31F7E0753}"/>
    <hyperlink ref="E662" r:id="rId30" xr:uid="{F0B1A76F-66CD-4DDA-A9C7-42A173EF8718}"/>
    <hyperlink ref="K662" r:id="rId31" xr:uid="{A816F8A8-7A99-4E02-A2A0-E88A63501F6F}"/>
    <hyperlink ref="E661" r:id="rId32" xr:uid="{E65E74D0-C188-45BA-AAEF-75A8770621BD}"/>
    <hyperlink ref="K661" r:id="rId33" xr:uid="{5A63B0D4-9BBE-49CA-BC1A-14B44CECC21F}"/>
    <hyperlink ref="E244" r:id="rId34" xr:uid="{B9EF129D-CD61-409C-90A1-E8DD57672B93}"/>
    <hyperlink ref="E614" r:id="rId35" xr:uid="{B7BA7D39-6DFB-4819-A442-08F5042A659B}"/>
    <hyperlink ref="K614" r:id="rId36" xr:uid="{DF282924-F192-4519-96FE-40FD1AD06833}"/>
    <hyperlink ref="K542" r:id="rId37" xr:uid="{E21FBDEA-4C15-4F55-9218-64E734738991}"/>
    <hyperlink ref="E649" r:id="rId38" xr:uid="{6ECC17EB-DAD6-4ABC-B69A-CEC23C0D8E12}"/>
    <hyperlink ref="E665" r:id="rId39" xr:uid="{E0BDFCD7-0DC4-4AD9-9670-1699BB8E676F}"/>
    <hyperlink ref="K665" r:id="rId40" xr:uid="{0F0C0851-65B5-4A97-BF46-FF1F3F0AF133}"/>
    <hyperlink ref="E663" r:id="rId41" xr:uid="{B75F5BDC-9982-449E-84FD-2374DB3E6594}"/>
    <hyperlink ref="K663" r:id="rId42" xr:uid="{107C4883-9C03-4A9D-A5B9-03FF36C49358}"/>
    <hyperlink ref="E666" r:id="rId43" xr:uid="{6E84C27E-D6C1-4976-8375-8AECC734BCA4}"/>
    <hyperlink ref="K666" r:id="rId44" xr:uid="{B2526631-B4A1-48EF-A0BC-7BC46DF61AE4}"/>
    <hyperlink ref="E412" r:id="rId45" xr:uid="{9999BB1D-66E5-47E2-B062-A8D65AE460A0}"/>
    <hyperlink ref="E452" r:id="rId46" xr:uid="{F8465EB2-D587-4786-B511-B35C56DA57AA}"/>
    <hyperlink ref="E373" r:id="rId47" xr:uid="{01AF644B-A83C-441A-8104-4752A655C7F3}"/>
    <hyperlink ref="E667" r:id="rId48" xr:uid="{344860D7-DF83-4E9E-B3EB-D6E383951E24}"/>
    <hyperlink ref="K667" r:id="rId49" xr:uid="{D38D558C-B586-47D5-95FE-3A707E1434D7}"/>
    <hyperlink ref="K470" r:id="rId50" display="mailto:bksumit.thakur@gmail.com" xr:uid="{373B5101-C20F-48F3-94AF-E5289BD5D0BD}"/>
    <hyperlink ref="E5" r:id="rId51" xr:uid="{BC262DE1-17B3-4F20-B323-7E86E2E8C440}"/>
    <hyperlink ref="K258" r:id="rId52" xr:uid="{A8B732FA-1229-4557-859C-55C32C410169}"/>
    <hyperlink ref="K448" r:id="rId53" xr:uid="{4E3CAF54-D062-47EA-8DA8-84517344743A}"/>
    <hyperlink ref="E623" r:id="rId54" xr:uid="{CBD49102-8E13-42ED-B80A-E1D02BCCCECC}"/>
    <hyperlink ref="E668" r:id="rId55" xr:uid="{1982DD2C-86A7-40F9-8967-E2A82E71B5EB}"/>
    <hyperlink ref="K668" r:id="rId56" xr:uid="{CCBC6D4E-E0D7-4D26-A9E2-015680D89BBF}"/>
    <hyperlink ref="E51" r:id="rId57" xr:uid="{0510B592-125F-450A-BC34-E71670E6539A}"/>
    <hyperlink ref="E220" r:id="rId58" xr:uid="{280D01FB-7315-4183-AD6A-E19BC04CA85B}"/>
    <hyperlink ref="E482" r:id="rId59" xr:uid="{671C2F44-06D3-4CB5-B1E7-CA0F8C25D74F}"/>
    <hyperlink ref="E484" r:id="rId60" xr:uid="{BBD0F814-A72A-48C7-A1F3-3A06AB5CBB84}"/>
    <hyperlink ref="E485" r:id="rId61" xr:uid="{D6219BD1-494B-4F40-A7CB-CAE5573F2DA6}"/>
    <hyperlink ref="E422" r:id="rId62" xr:uid="{136E22F9-5870-4224-B4F0-5290B6554700}"/>
    <hyperlink ref="K37" r:id="rId63" xr:uid="{797BB4EC-DF36-4B3B-B456-B3B242634DC5}"/>
    <hyperlink ref="E491" r:id="rId64" xr:uid="{0A5907A6-85BB-4FE5-A87A-1F7B2DEB193D}"/>
    <hyperlink ref="E151" r:id="rId65" xr:uid="{DF21AE95-8816-46CC-A95C-B3F300D084CD}"/>
    <hyperlink ref="E610" r:id="rId66" xr:uid="{D9CA5A5C-E14B-4ABA-BFCA-C1567446F3B1}"/>
    <hyperlink ref="E539" r:id="rId67" xr:uid="{B636E623-6B31-4106-B790-7A41CBF73DDC}"/>
    <hyperlink ref="E103" r:id="rId68" xr:uid="{FAD4D188-C0B3-4B7A-91B7-6EC606ADCB05}"/>
    <hyperlink ref="K669" r:id="rId69" xr:uid="{7F52F257-6210-43CB-9FB3-C873ACEB7B0A}"/>
    <hyperlink ref="E669" r:id="rId70" xr:uid="{1E4A9BF6-06DD-46F2-9E4A-DFF48022259D}"/>
    <hyperlink ref="E670" r:id="rId71" xr:uid="{D1CCA74B-B214-4364-9614-B08B238C1F16}"/>
    <hyperlink ref="K670" r:id="rId72" xr:uid="{1175FED7-0F36-406B-B71E-DBDCA23EA433}"/>
    <hyperlink ref="E671" r:id="rId73" xr:uid="{61CA030D-CC13-4020-A24B-BED89A061170}"/>
    <hyperlink ref="K671" r:id="rId74" xr:uid="{003854DE-7653-489C-B46C-8F9CB9B65C3C}"/>
    <hyperlink ref="E219" r:id="rId75" xr:uid="{B1621C18-5F46-4E67-BB4A-110555D57A24}"/>
    <hyperlink ref="E672" r:id="rId76" xr:uid="{4E039299-B613-4A29-B131-F9B43224CF56}"/>
    <hyperlink ref="K672" r:id="rId77" xr:uid="{BF4E8444-39B3-4CC7-B07F-7B570B03ED5F}"/>
    <hyperlink ref="E673" r:id="rId78" xr:uid="{58451310-352D-4450-AE91-0D1C0143CFAC}"/>
    <hyperlink ref="K673" r:id="rId79" xr:uid="{DA1D635F-DC2D-4ABA-A478-67ED31316D2B}"/>
    <hyperlink ref="E183" r:id="rId80" xr:uid="{D2431475-7B5E-4A0A-A445-26EC9F12FB0E}"/>
    <hyperlink ref="E157" r:id="rId81" xr:uid="{E5D405A7-D859-4FD8-B56C-CF0DFF17716F}"/>
    <hyperlink ref="E322" r:id="rId82" xr:uid="{CDD0339C-EBB2-4F9D-80AA-1A8721C8E4B7}"/>
    <hyperlink ref="E79" r:id="rId83" xr:uid="{BDCFD30F-1555-4EA9-B95A-09DD3B8730B0}"/>
    <hyperlink ref="E288" r:id="rId84" xr:uid="{9303870C-0EBB-407C-BA56-5B907F95CBB7}"/>
    <hyperlink ref="K397" r:id="rId85" xr:uid="{0CC4DAC3-8F52-4E99-803C-DB21A85028BE}"/>
    <hyperlink ref="E674" r:id="rId86" xr:uid="{D8B1AF8A-5055-48AC-936C-25CC9BCC468C}"/>
    <hyperlink ref="K674" r:id="rId87" xr:uid="{74D1AC10-0CC4-4BDB-BE49-B7DB85D89E73}"/>
    <hyperlink ref="E675" r:id="rId88" xr:uid="{CEA156BE-FCBE-4109-B876-A62A439E95E7}"/>
    <hyperlink ref="K675" r:id="rId89" xr:uid="{CC0279E8-8A6B-4363-B347-A6277285D83E}"/>
    <hyperlink ref="E676" r:id="rId90" xr:uid="{8214E98D-5949-4BD2-BFE8-2841CBF170D3}"/>
    <hyperlink ref="K676" r:id="rId91" xr:uid="{83C15AA0-B2DA-48FB-BEE9-7B8BF01AA252}"/>
    <hyperlink ref="E92" r:id="rId92" xr:uid="{BBF916DA-4E5B-4655-AE92-DAD46C012F14}"/>
    <hyperlink ref="E380" r:id="rId93" xr:uid="{01671DA1-9A7B-4DC3-BE1C-8EE97B062FA8}"/>
    <hyperlink ref="E457" r:id="rId94" xr:uid="{516E60F2-F9D3-4527-AD20-40607A081820}"/>
    <hyperlink ref="E397" r:id="rId95" xr:uid="{5522968D-4B74-4808-91FB-BC50309182A4}"/>
    <hyperlink ref="E160" r:id="rId96" xr:uid="{645B8571-FD7D-4A0A-B8B6-2C8BCDBDB263}"/>
    <hyperlink ref="E523" r:id="rId97" xr:uid="{A3A454ED-67A4-43BF-B725-37B19A9A8C0F}"/>
    <hyperlink ref="E605" r:id="rId98" xr:uid="{B87D8DC5-CE31-4CC1-874E-2EEA3A3C1805}"/>
    <hyperlink ref="E276" r:id="rId99" xr:uid="{7A6E8FFD-60FE-4167-A9AA-FF6AA8EDAD04}"/>
    <hyperlink ref="E306" r:id="rId100" xr:uid="{B5DE5BFC-BC0A-4B05-B6E6-2CE616FD655F}"/>
    <hyperlink ref="E650" r:id="rId101" xr:uid="{F866DAAD-65C4-4215-BB65-8E4707218F35}"/>
    <hyperlink ref="E328" r:id="rId102" xr:uid="{149DCA9E-676E-46C6-9A56-009921A9CB0C}"/>
    <hyperlink ref="E199" r:id="rId103" xr:uid="{4EA632A3-7F22-4511-B477-78D79AD94C7B}"/>
    <hyperlink ref="E22" r:id="rId104" xr:uid="{13205301-D11A-47AA-ACCD-F21FACA7F1EB}"/>
    <hyperlink ref="E181" r:id="rId105" xr:uid="{6D4C154A-6E26-4C17-94C7-9737B7CFBD4D}"/>
    <hyperlink ref="E651" r:id="rId106" xr:uid="{CBFD91A6-E449-421D-919E-5FF6A0B372AD}"/>
    <hyperlink ref="E448" r:id="rId107" xr:uid="{41F8B904-1902-4708-ADF3-2BFFBC8A476F}"/>
    <hyperlink ref="E258" r:id="rId108" xr:uid="{C7E2CAFF-BA36-462F-9DDA-46CA20993AF8}"/>
    <hyperlink ref="E27" r:id="rId109" xr:uid="{814598D0-BB8E-4559-A10F-014553627C5C}"/>
    <hyperlink ref="E464" r:id="rId110" xr:uid="{1978D764-8328-423B-BE07-B84C5751F43C}"/>
    <hyperlink ref="E222" r:id="rId111" xr:uid="{08C8FD1C-515D-4C6D-9A9E-0A413877C3FA}"/>
    <hyperlink ref="E261" r:id="rId112" xr:uid="{27A967AF-375D-475E-9AC7-5BB658C15329}"/>
    <hyperlink ref="E611" r:id="rId113" xr:uid="{3596E63D-703A-4DA0-B32B-F917A794E70F}"/>
    <hyperlink ref="E241" r:id="rId114" xr:uid="{F76CA4A9-638F-45F5-B919-E4D08078726E}"/>
    <hyperlink ref="E182" r:id="rId115" xr:uid="{D2660996-AECE-4E68-84EE-B3A9EF1E65A4}"/>
    <hyperlink ref="E206" r:id="rId116" xr:uid="{25C20CC6-EFDF-416E-8826-F73B6AD15FED}"/>
    <hyperlink ref="E12" r:id="rId117" xr:uid="{C7447018-C7F7-4282-BBF7-219EEB1DF974}"/>
    <hyperlink ref="E192" r:id="rId118" xr:uid="{FA18E1AE-7805-4049-805D-6518B55EA425}"/>
    <hyperlink ref="E388" r:id="rId119" xr:uid="{C9244D37-D2B2-4B97-97E2-74165904236E}"/>
    <hyperlink ref="E61" r:id="rId120" xr:uid="{C2BE34F8-8EE8-4645-964F-A82F5F83DF24}"/>
    <hyperlink ref="E70" r:id="rId121" xr:uid="{E3FE392D-AF8E-4FD7-A4EA-CB352B52A499}"/>
    <hyperlink ref="E37" r:id="rId122" xr:uid="{C2DCED79-D2DA-4905-BCDA-6861C92A6917}"/>
    <hyperlink ref="E2" r:id="rId123" xr:uid="{D189B76E-9E90-417B-9A74-8B4F436F15DA}"/>
    <hyperlink ref="E47" r:id="rId124" xr:uid="{215FF9E8-9FE2-440A-8E19-4A78A212831A}"/>
    <hyperlink ref="E60" r:id="rId125" xr:uid="{4DBD2966-A652-4B80-B494-9752C9599E07}"/>
    <hyperlink ref="E298" r:id="rId126" xr:uid="{77656A77-E33D-483F-BF32-00D43A56EBB8}"/>
    <hyperlink ref="E463" r:id="rId127" xr:uid="{3E2C94E8-502A-43EE-9DA6-4516E7021F8E}"/>
    <hyperlink ref="E315" r:id="rId128" xr:uid="{544D37A1-D57B-406C-9427-1EDDB63C6171}"/>
    <hyperlink ref="E513" r:id="rId129" xr:uid="{CD907A66-5B93-4ECF-8127-5CC40E972A46}"/>
    <hyperlink ref="E677" r:id="rId130" xr:uid="{4E27E064-CFE0-4908-BF28-055D987AF3EC}"/>
    <hyperlink ref="K677" r:id="rId131" xr:uid="{7DDFDEBD-BEF8-4184-8087-8EBB64161005}"/>
    <hyperlink ref="K531" r:id="rId132" xr:uid="{4F0D0D43-3DE5-4405-B7FA-A25CD3693BF6}"/>
    <hyperlink ref="E341" r:id="rId133" xr:uid="{4817B11D-4EE4-4615-886C-CCCA2DC9B283}"/>
    <hyperlink ref="E589" r:id="rId134" xr:uid="{B1286439-BC0C-44FB-8222-94DDE8EBBC7B}"/>
    <hyperlink ref="E16" r:id="rId135" xr:uid="{7EC158D4-CA07-4ACB-AAE1-7228E3437615}"/>
    <hyperlink ref="E38" r:id="rId136" xr:uid="{C2E319DC-376F-47C7-9A4C-2FE7FBA21EB3}"/>
    <hyperlink ref="E395" r:id="rId137" xr:uid="{DBD300A0-362E-4811-AED9-AF76B37BEF29}"/>
    <hyperlink ref="K616" r:id="rId138" xr:uid="{BEF67190-0693-4E85-9AD1-A7F491752138}"/>
    <hyperlink ref="E678" r:id="rId139" xr:uid="{21568634-BFB1-43B2-821C-424F10B3B0DB}"/>
    <hyperlink ref="K678" r:id="rId140" xr:uid="{57D85C2A-128E-4EEB-BF4D-7DF58D2D954A}"/>
    <hyperlink ref="E89" r:id="rId141" xr:uid="{4DB1BCEA-0167-4F54-A47C-76FCC6611ED6}"/>
    <hyperlink ref="E196" r:id="rId142" xr:uid="{F65FF807-B408-4645-A4D4-41D141B4001D}"/>
    <hyperlink ref="E97" r:id="rId143" xr:uid="{A2599DEC-0A9C-4CDA-99CB-5BD98FCB79FA}"/>
    <hyperlink ref="E332" r:id="rId144" xr:uid="{9BD9F37E-E980-439A-98F3-172D66BB022A}"/>
    <hyperlink ref="E87" r:id="rId145" xr:uid="{5591942E-60A6-4C10-B9E5-B70C120D9304}"/>
    <hyperlink ref="E197" r:id="rId146" xr:uid="{9EE0A2B1-D376-419D-835B-BD0BEB2F4D7B}"/>
    <hyperlink ref="E41" r:id="rId147" xr:uid="{B1FCB943-D933-4F90-9BB6-6B9E2DD5A36F}"/>
    <hyperlink ref="E50" r:id="rId148" xr:uid="{F4DCA3C4-CE03-4604-B505-FF613C45A365}"/>
    <hyperlink ref="E630" r:id="rId149" xr:uid="{81C6AA89-86DD-4946-A44D-ED44E3385178}"/>
    <hyperlink ref="K17" r:id="rId150" xr:uid="{EBC3C278-EDA2-473B-B25D-C7F607E0983B}"/>
    <hyperlink ref="K12" r:id="rId151" xr:uid="{3917C576-3E2D-4E18-9C83-19173A6658D1}"/>
    <hyperlink ref="K11" r:id="rId152" xr:uid="{14461AF3-DF42-4D2D-A34A-0AE60323EC57}"/>
    <hyperlink ref="K248" r:id="rId153" xr:uid="{60EE8B61-5F4B-44FD-B00D-5D87C88A3B7D}"/>
    <hyperlink ref="K57" r:id="rId154" xr:uid="{41FCB604-DBEE-44DA-9FBA-DE58BDDB4EE6}"/>
    <hyperlink ref="K305" r:id="rId155" xr:uid="{9FD13E87-C82E-40D2-9772-1D77821D0512}"/>
    <hyperlink ref="K63" r:id="rId156" xr:uid="{F288AA27-ACF1-49BB-8150-E608C52C5F60}"/>
    <hyperlink ref="K421" r:id="rId157" xr:uid="{7D23691F-476E-4F82-90C7-24A8BE7615C3}"/>
    <hyperlink ref="K3" r:id="rId158" xr:uid="{086F7367-453B-4205-AD8E-AB3EF28BEB08}"/>
    <hyperlink ref="K456" r:id="rId159" xr:uid="{E13FF2E9-2372-4BAD-97AE-28F1759A53A2}"/>
    <hyperlink ref="K180" r:id="rId160" xr:uid="{1A7A4D7C-A187-41D6-9C27-6CF6BD24B00D}"/>
    <hyperlink ref="K175" r:id="rId161" xr:uid="{90C0F0D5-8587-4BB1-913F-DDB92EADEF35}"/>
    <hyperlink ref="E679" r:id="rId162" xr:uid="{49D9595F-C5E7-4F8D-A1BD-9FAAD4856B03}"/>
    <hyperlink ref="K679" r:id="rId163" xr:uid="{EB4161BF-6A6E-4133-9B9B-8C33CE2B26E1}"/>
    <hyperlink ref="E680" r:id="rId164" xr:uid="{90DD4784-68CA-4686-B331-BF079D09371B}"/>
    <hyperlink ref="K680" r:id="rId165" xr:uid="{2A1E02BA-D4E9-4517-B880-4C0620D2EB30}"/>
    <hyperlink ref="E681" r:id="rId166" xr:uid="{A2E8B3A2-06B8-4210-9060-BB528DC4445A}"/>
    <hyperlink ref="K681" r:id="rId167" xr:uid="{36FA669E-1EEC-450E-97DB-B5F024BD9EFC}"/>
    <hyperlink ref="E682" r:id="rId168" xr:uid="{6E76157A-5AFA-424D-8DCE-667BAC9041EC}"/>
    <hyperlink ref="K682" r:id="rId169" xr:uid="{E5BE503C-A659-44BC-9D2A-D985809C92CD}"/>
    <hyperlink ref="E683" r:id="rId170" xr:uid="{1A45A263-D85E-414B-B0B1-A6383E0CA40D}"/>
    <hyperlink ref="K683" r:id="rId171" xr:uid="{5F8D2908-2EEE-4BAB-8406-8EC560EDDFA1}"/>
    <hyperlink ref="E684" r:id="rId172" xr:uid="{77F35D9E-311E-48F5-95B6-5D1FD76C7E7A}"/>
    <hyperlink ref="K684" r:id="rId173" xr:uid="{A5653382-A740-45D0-B122-223D7C5DFBE8}"/>
    <hyperlink ref="E685" r:id="rId174" xr:uid="{E5BDB5DF-F1D9-48AD-86A5-708AB2DD2938}"/>
    <hyperlink ref="K685" r:id="rId175" xr:uid="{D8DC1AA5-23BB-40A3-8872-6613C2395390}"/>
    <hyperlink ref="E686" r:id="rId176" xr:uid="{1DA3B30C-CD7E-4183-9F7F-240A2B97F5EF}"/>
    <hyperlink ref="K686" r:id="rId177" xr:uid="{CFBE4E74-4629-4852-BD62-DD6B341B53D4}"/>
    <hyperlink ref="E687" r:id="rId178" xr:uid="{E0D2ED01-6078-4DF0-90C8-655D915B22F8}"/>
    <hyperlink ref="K687" r:id="rId179" xr:uid="{D539027F-1133-43FC-9C4B-1471C55BE72F}"/>
    <hyperlink ref="K483" r:id="rId180" xr:uid="{CF168DB0-7215-4257-960A-23332926019F}"/>
    <hyperlink ref="E483" r:id="rId181" xr:uid="{4D1E36EC-ECDD-4181-B1A6-DAD25F4E6C08}"/>
    <hyperlink ref="E688" r:id="rId182" xr:uid="{FA1F3135-6E62-46D4-B412-F55806087F5C}"/>
    <hyperlink ref="K688" r:id="rId183" xr:uid="{EF65E3BC-DE2F-42A2-B7CA-C12ACDF3DDF3}"/>
  </hyperlinks>
  <pageMargins left="0.7" right="0.7" top="0.75" bottom="0.75" header="0.3" footer="0.3"/>
  <tableParts count="1">
    <tablePart r:id="rId184"/>
  </tableParts>
  <extLst>
    <ext xmlns:x14="http://schemas.microsoft.com/office/spreadsheetml/2009/9/main" uri="{CCE6A557-97BC-4b89-ADB6-D9C93CAAB3DF}">
      <x14:dataValidations xmlns:xm="http://schemas.microsoft.com/office/excel/2006/main" count="3">
        <x14:dataValidation type="list" allowBlank="1" showInputMessage="1" showErrorMessage="1" xr:uid="{E12DC8F0-9C80-4FFC-AABE-F1FAFDF8BB8A}">
          <x14:formula1>
            <xm:f>#REF!</xm:f>
          </x14:formula1>
          <xm:sqref>AC154:AD154</xm:sqref>
        </x14:dataValidation>
        <x14:dataValidation type="list" allowBlank="1" showInputMessage="1" showErrorMessage="1" xr:uid="{E747EE76-ECBD-49EC-9D39-2680D71FC8F8}">
          <x14:formula1>
            <xm:f>#REF!</xm:f>
          </x14:formula1>
          <xm:sqref>V2:W688</xm:sqref>
        </x14:dataValidation>
        <x14:dataValidation type="list" allowBlank="1" showInputMessage="1" showErrorMessage="1" xr:uid="{7293E5F6-D42D-41B2-8802-EF85F8DE9E0C}">
          <x14:formula1>
            <xm:f>#REF!</xm:f>
          </x14:formula1>
          <xm:sqref>T2:U688</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926951-ED04-4DE5-8018-7AE3B9360DA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Mentors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Meenakshi Singh</dc:creator>
  <cp:keywords/>
  <dc:description/>
  <cp:lastModifiedBy>Meenakshi Singh</cp:lastModifiedBy>
  <cp:revision/>
  <dcterms:created xsi:type="dcterms:W3CDTF">2026-02-03T07:25:35Z</dcterms:created>
  <dcterms:modified xsi:type="dcterms:W3CDTF">2026-04-21T13:53:44Z</dcterms:modified>
  <cp:category/>
  <cp:contentStatus/>
</cp:coreProperties>
</file>